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навчання\біпки\mysql\ecomerce dataset\"/>
    </mc:Choice>
  </mc:AlternateContent>
  <xr:revisionPtr revIDLastSave="0" documentId="13_ncr:1_{0A6F7827-91D4-44CC-A93D-CC92A9B5C61E}" xr6:coauthVersionLast="47" xr6:coauthVersionMax="47" xr10:uidLastSave="{00000000-0000-0000-0000-000000000000}"/>
  <bookViews>
    <workbookView xWindow="-108" yWindow="-108" windowWidth="23256" windowHeight="12456" activeTab="3" xr2:uid="{19986B5A-EBFF-474E-854D-5B989D8D468F}"/>
  </bookViews>
  <sheets>
    <sheet name="raw_data" sheetId="1" r:id="rId1"/>
    <sheet name="clean_data" sheetId="2" r:id="rId2"/>
    <sheet name="pivot_tables" sheetId="4" r:id="rId3"/>
    <sheet name="dashboard" sheetId="5" r:id="rId4"/>
  </sheets>
  <definedNames>
    <definedName name="_xlnm._FilterDatabase" localSheetId="1" hidden="1">clean_data!$A$2:$N$1018</definedName>
    <definedName name="Роздільник_Gender">#N/A</definedName>
    <definedName name="Роздільник_Holiday">#N/A</definedName>
    <definedName name="Роздільник_Season">#N/A</definedName>
    <definedName name="Роздільник_Terrai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18" i="2" l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Q17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2" i="2"/>
</calcChain>
</file>

<file path=xl/sharedStrings.xml><?xml version="1.0" encoding="utf-8"?>
<sst xmlns="http://schemas.openxmlformats.org/spreadsheetml/2006/main" count="15842" uniqueCount="195">
  <si>
    <t>Number of clicks on similar products</t>
  </si>
  <si>
    <t>Number of similar products purchased so far</t>
  </si>
  <si>
    <t>Average rating given to similar products</t>
  </si>
  <si>
    <t>Gender</t>
  </si>
  <si>
    <t>Median purchasing price (in rupees)</t>
  </si>
  <si>
    <t>Rating of the product</t>
  </si>
  <si>
    <t>Brand of the product</t>
  </si>
  <si>
    <t>Customer review sentiment score (overall)</t>
  </si>
  <si>
    <t>Price of the product</t>
  </si>
  <si>
    <t>Holiday</t>
  </si>
  <si>
    <t>Season</t>
  </si>
  <si>
    <t>Geographical locations</t>
  </si>
  <si>
    <t>Probability for the product to be recommended to the person</t>
  </si>
  <si>
    <t>male</t>
  </si>
  <si>
    <t>PUMA</t>
  </si>
  <si>
    <t>0.8</t>
  </si>
  <si>
    <t>No</t>
  </si>
  <si>
    <t>winter</t>
  </si>
  <si>
    <t>plains</t>
  </si>
  <si>
    <t>0.9</t>
  </si>
  <si>
    <t>female</t>
  </si>
  <si>
    <t>Lee</t>
  </si>
  <si>
    <t>-0.4</t>
  </si>
  <si>
    <t>Yes</t>
  </si>
  <si>
    <t>monsoon</t>
  </si>
  <si>
    <t>mountains</t>
  </si>
  <si>
    <t>0.2</t>
  </si>
  <si>
    <t>Head Hunters</t>
  </si>
  <si>
    <t>0.6</t>
  </si>
  <si>
    <t>spring</t>
  </si>
  <si>
    <t>0.7</t>
  </si>
  <si>
    <t>Johnson &amp; Johnson</t>
  </si>
  <si>
    <t>0.1</t>
  </si>
  <si>
    <t>summer</t>
  </si>
  <si>
    <t>coastal</t>
  </si>
  <si>
    <t>Wakefit</t>
  </si>
  <si>
    <t>0.0</t>
  </si>
  <si>
    <t>Dabur Chyawanprash</t>
  </si>
  <si>
    <t>-0.7</t>
  </si>
  <si>
    <t>Manyavar Mohey</t>
  </si>
  <si>
    <t>0.95</t>
  </si>
  <si>
    <t>1.0</t>
  </si>
  <si>
    <t>Pepperfry</t>
  </si>
  <si>
    <t>0.3</t>
  </si>
  <si>
    <t>Lee Cooper</t>
  </si>
  <si>
    <t>-0.3</t>
  </si>
  <si>
    <t>0.05</t>
  </si>
  <si>
    <t>Libram</t>
  </si>
  <si>
    <t>Flying Machine</t>
  </si>
  <si>
    <t>0.85</t>
  </si>
  <si>
    <t>SleepyCat</t>
  </si>
  <si>
    <t>0.75</t>
  </si>
  <si>
    <t>3.0</t>
  </si>
  <si>
    <t>Streax</t>
  </si>
  <si>
    <t>-0.5</t>
  </si>
  <si>
    <t>Lakme Ayurveda</t>
  </si>
  <si>
    <t>2.0</t>
  </si>
  <si>
    <t>Forest Essentials</t>
  </si>
  <si>
    <t>-0.2</t>
  </si>
  <si>
    <t>Dove Hair</t>
  </si>
  <si>
    <t>Pepe Jeans London</t>
  </si>
  <si>
    <t>0.4</t>
  </si>
  <si>
    <t>The Moms Co.</t>
  </si>
  <si>
    <t>0.5</t>
  </si>
  <si>
    <t>4.0</t>
  </si>
  <si>
    <t>Himalaya Liv.52</t>
  </si>
  <si>
    <t>Wildcraft</t>
  </si>
  <si>
    <t>-0.1</t>
  </si>
  <si>
    <t>Godrej Interio</t>
  </si>
  <si>
    <t>Patanjali Ayurved (Health Care)</t>
  </si>
  <si>
    <t>Lijoba</t>
  </si>
  <si>
    <t>Moov</t>
  </si>
  <si>
    <t>Kama Ayurveda</t>
  </si>
  <si>
    <t>Urban Ladder</t>
  </si>
  <si>
    <t>Allen Solly Woman</t>
  </si>
  <si>
    <t>Max</t>
  </si>
  <si>
    <t>Head &amp; Shoulders</t>
  </si>
  <si>
    <t>Fastrack</t>
  </si>
  <si>
    <t>Sugar Cosmetics</t>
  </si>
  <si>
    <t>Parachute</t>
  </si>
  <si>
    <t>Dettol</t>
  </si>
  <si>
    <t>5.0</t>
  </si>
  <si>
    <t>AmazonBasics</t>
  </si>
  <si>
    <t>U.S. Polo Assn. Women</t>
  </si>
  <si>
    <t>0.62</t>
  </si>
  <si>
    <t>0.65</t>
  </si>
  <si>
    <t>0.92</t>
  </si>
  <si>
    <t>0.88</t>
  </si>
  <si>
    <t>0.78</t>
  </si>
  <si>
    <t>-0.15</t>
  </si>
  <si>
    <t>0.45</t>
  </si>
  <si>
    <t>0.55</t>
  </si>
  <si>
    <t>0.72</t>
  </si>
  <si>
    <t>0.82</t>
  </si>
  <si>
    <t>0.68</t>
  </si>
  <si>
    <t>Khadi Essentials</t>
  </si>
  <si>
    <t>Whisper</t>
  </si>
  <si>
    <t>Levis Strauss &amp; Co.</t>
  </si>
  <si>
    <t>Wild Stone</t>
  </si>
  <si>
    <t>Biovea</t>
  </si>
  <si>
    <t>Vero Moda</t>
  </si>
  <si>
    <t>0.35</t>
  </si>
  <si>
    <t>Zandu</t>
  </si>
  <si>
    <t>0.58</t>
  </si>
  <si>
    <t>-0.8</t>
  </si>
  <si>
    <t>0.15</t>
  </si>
  <si>
    <t>-0.9</t>
  </si>
  <si>
    <t>-0.95</t>
  </si>
  <si>
    <t>0.025</t>
  </si>
  <si>
    <t>-1.0</t>
  </si>
  <si>
    <t>-0.85</t>
  </si>
  <si>
    <t>0.03</t>
  </si>
  <si>
    <t>-0.6</t>
  </si>
  <si>
    <t>0.25</t>
  </si>
  <si>
    <t>0.015</t>
  </si>
  <si>
    <t>HRX</t>
  </si>
  <si>
    <t>Mothercare</t>
  </si>
  <si>
    <t>Duroflex</t>
  </si>
  <si>
    <t>Spyker</t>
  </si>
  <si>
    <t>0.02</t>
  </si>
  <si>
    <t>Stayfree</t>
  </si>
  <si>
    <t>0.32</t>
  </si>
  <si>
    <t>0.91</t>
  </si>
  <si>
    <t>-0.05</t>
  </si>
  <si>
    <t>0.33</t>
  </si>
  <si>
    <t>0.07</t>
  </si>
  <si>
    <t>0.42</t>
  </si>
  <si>
    <t>0.89</t>
  </si>
  <si>
    <t>Baidyanath</t>
  </si>
  <si>
    <t>0.01</t>
  </si>
  <si>
    <t>0.48</t>
  </si>
  <si>
    <t>0.83</t>
  </si>
  <si>
    <t>0.04</t>
  </si>
  <si>
    <t>0.74</t>
  </si>
  <si>
    <t>0.36</t>
  </si>
  <si>
    <t>0.11</t>
  </si>
  <si>
    <t>0.87</t>
  </si>
  <si>
    <t>0.22</t>
  </si>
  <si>
    <t>0.86</t>
  </si>
  <si>
    <t>0.93</t>
  </si>
  <si>
    <t>0.12</t>
  </si>
  <si>
    <t>0.09</t>
  </si>
  <si>
    <t>0.77</t>
  </si>
  <si>
    <t>0.18</t>
  </si>
  <si>
    <t>0.59</t>
  </si>
  <si>
    <t>0.81</t>
  </si>
  <si>
    <t>0.31</t>
  </si>
  <si>
    <t>0.47</t>
  </si>
  <si>
    <t>0.28</t>
  </si>
  <si>
    <t>0.52</t>
  </si>
  <si>
    <t>0.79</t>
  </si>
  <si>
    <t>0.39</t>
  </si>
  <si>
    <t>0.23</t>
  </si>
  <si>
    <t>0.84</t>
  </si>
  <si>
    <t>0.08</t>
  </si>
  <si>
    <t>0.37</t>
  </si>
  <si>
    <t>0.16</t>
  </si>
  <si>
    <t>0.71</t>
  </si>
  <si>
    <t>0.56</t>
  </si>
  <si>
    <t>0.97</t>
  </si>
  <si>
    <t>0.69</t>
  </si>
  <si>
    <t>0.14</t>
  </si>
  <si>
    <t>0.76</t>
  </si>
  <si>
    <t>0.63</t>
  </si>
  <si>
    <t>0.21</t>
  </si>
  <si>
    <t>0.41</t>
  </si>
  <si>
    <t>Similar products purchased</t>
  </si>
  <si>
    <t>Clicks on similar products</t>
  </si>
  <si>
    <t>Median purchasing price</t>
  </si>
  <si>
    <t xml:space="preserve"> Product Brand</t>
  </si>
  <si>
    <t>Product Price</t>
  </si>
  <si>
    <t>Product Rating</t>
  </si>
  <si>
    <t>Customer Review</t>
  </si>
  <si>
    <t>Avg Rating (similar products)</t>
  </si>
  <si>
    <t>Terrain</t>
  </si>
  <si>
    <t>Позначки рядків</t>
  </si>
  <si>
    <t>Загальний підсумок</t>
  </si>
  <si>
    <t>Позначки стовпців</t>
  </si>
  <si>
    <t>Сума з Similar products purchased</t>
  </si>
  <si>
    <t>Non-Holiday</t>
  </si>
  <si>
    <t>Product Price Brackets</t>
  </si>
  <si>
    <t>Low Price</t>
  </si>
  <si>
    <t>Medium Price</t>
  </si>
  <si>
    <t>High Price</t>
  </si>
  <si>
    <t>Середнє з Product Rating</t>
  </si>
  <si>
    <t>Revenue</t>
  </si>
  <si>
    <t>Сума з Revenue</t>
  </si>
  <si>
    <t>Conversion Rate</t>
  </si>
  <si>
    <t>Сума з Conversion Rate</t>
  </si>
  <si>
    <t>Середнє з Median purchasing price</t>
  </si>
  <si>
    <t>Probability Brackets</t>
  </si>
  <si>
    <t>High</t>
  </si>
  <si>
    <t>Low</t>
  </si>
  <si>
    <t>Medium</t>
  </si>
  <si>
    <t>Середнє з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</si>
</sst>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₹-458]\ #,##0.00"/>
  </numFmts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3" borderId="0" xfId="0" applyFill="1"/>
    <xf numFmtId="0" fontId="0" fillId="0" borderId="0" xfId="0" applyAlignment="1">
      <alignment horizontal="left" indent="1"/>
    </xf>
    <xf numFmtId="10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2">
    <dxf>
      <numFmt numFmtId="165" formatCode="[$₹-458]\ #,##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[content_based_recommendation_dataset.xlsx]pivot_tables!Зведена таблиця7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Products Purchased by</a:t>
            </a:r>
            <a:r>
              <a:rPr lang="uk-U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Season</a:t>
            </a:r>
            <a:r>
              <a:rPr lang="uk-U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pivot_tables!$B$2:$B$3</c:f>
              <c:strCache>
                <c:ptCount val="1"/>
                <c:pt idx="0">
                  <c:v>coastal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pivot_tables!$A$4:$A$8</c:f>
              <c:strCache>
                <c:ptCount val="4"/>
                <c:pt idx="0">
                  <c:v>monsoon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pivot_tables!$B$4:$B$8</c:f>
              <c:numCache>
                <c:formatCode>0</c:formatCode>
                <c:ptCount val="4"/>
                <c:pt idx="0">
                  <c:v>150</c:v>
                </c:pt>
                <c:pt idx="1">
                  <c:v>190</c:v>
                </c:pt>
                <c:pt idx="2">
                  <c:v>755</c:v>
                </c:pt>
                <c:pt idx="3">
                  <c:v>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3-435B-A85F-CDEC90B46052}"/>
            </c:ext>
          </c:extLst>
        </c:ser>
        <c:ser>
          <c:idx val="1"/>
          <c:order val="1"/>
          <c:tx>
            <c:strRef>
              <c:f>pivot_tables!$C$2:$C$3</c:f>
              <c:strCache>
                <c:ptCount val="1"/>
                <c:pt idx="0">
                  <c:v>mountains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pivot_tables!$A$4:$A$8</c:f>
              <c:strCache>
                <c:ptCount val="4"/>
                <c:pt idx="0">
                  <c:v>monsoon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pivot_tables!$C$4:$C$8</c:f>
              <c:numCache>
                <c:formatCode>0</c:formatCode>
                <c:ptCount val="4"/>
                <c:pt idx="0">
                  <c:v>585</c:v>
                </c:pt>
                <c:pt idx="1">
                  <c:v>128</c:v>
                </c:pt>
                <c:pt idx="2">
                  <c:v>573</c:v>
                </c:pt>
                <c:pt idx="3">
                  <c:v>1679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BA7-4344-B3A2-7A72EB2DC4CE}"/>
            </c:ext>
          </c:extLst>
        </c:ser>
        <c:ser>
          <c:idx val="2"/>
          <c:order val="2"/>
          <c:tx>
            <c:strRef>
              <c:f>pivot_tables!$D$2:$D$3</c:f>
              <c:strCache>
                <c:ptCount val="1"/>
                <c:pt idx="0">
                  <c:v>plains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pivot_tables!$A$4:$A$8</c:f>
              <c:strCache>
                <c:ptCount val="4"/>
                <c:pt idx="0">
                  <c:v>monsoon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pivot_tables!$D$4:$D$8</c:f>
              <c:numCache>
                <c:formatCode>0</c:formatCode>
                <c:ptCount val="4"/>
                <c:pt idx="0">
                  <c:v>264</c:v>
                </c:pt>
                <c:pt idx="1">
                  <c:v>763</c:v>
                </c:pt>
                <c:pt idx="2">
                  <c:v>2002</c:v>
                </c:pt>
                <c:pt idx="3">
                  <c:v>1888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BA7-4344-B3A2-7A72EB2DC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282943"/>
        <c:axId val="285283903"/>
      </c:lineChart>
      <c:catAx>
        <c:axId val="285282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Season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85283903"/>
        <c:crosses val="autoZero"/>
        <c:auto val="1"/>
        <c:lblAlgn val="ctr"/>
        <c:lblOffset val="100"/>
        <c:noMultiLvlLbl val="0"/>
      </c:catAx>
      <c:valAx>
        <c:axId val="28528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Purchases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8528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[content_based_recommendation_dataset.xlsx]pivot_tables!Зведена таблиця8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Avg Median Price by Gender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pivot_tables!$B$45</c:f>
              <c:strCache>
                <c:ptCount val="1"/>
                <c:pt idx="0">
                  <c:v>Підсумок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C3-4FB0-BED3-671D81111F6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C3-4FB0-BED3-671D81111F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pivot_tables!$A$46:$A$48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pivot_tables!$B$46:$B$48</c:f>
              <c:numCache>
                <c:formatCode>0</c:formatCode>
                <c:ptCount val="2"/>
                <c:pt idx="0">
                  <c:v>2567.5944333996022</c:v>
                </c:pt>
                <c:pt idx="1">
                  <c:v>3547.6653696498056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C3-4FB0-BED3-671D81111F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[content_based_recommendation_dataset.xlsx]pivot_tables!Зведена таблиця9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Brands by Revenue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pivot_tables!$B$51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pivot_tables!$A$52:$A$62</c:f>
              <c:strCache>
                <c:ptCount val="10"/>
                <c:pt idx="0">
                  <c:v>Streax</c:v>
                </c:pt>
                <c:pt idx="1">
                  <c:v>Manyavar Mohey</c:v>
                </c:pt>
                <c:pt idx="2">
                  <c:v>Pepperfry</c:v>
                </c:pt>
                <c:pt idx="3">
                  <c:v>Wildcraft</c:v>
                </c:pt>
                <c:pt idx="4">
                  <c:v>Urban Ladder</c:v>
                </c:pt>
                <c:pt idx="5">
                  <c:v>Dettol</c:v>
                </c:pt>
                <c:pt idx="6">
                  <c:v>Fastrack</c:v>
                </c:pt>
                <c:pt idx="7">
                  <c:v>Allen Solly Woman</c:v>
                </c:pt>
                <c:pt idx="8">
                  <c:v>Patanjali Ayurved (Health Care)</c:v>
                </c:pt>
                <c:pt idx="9">
                  <c:v>Himalaya Liv.52</c:v>
                </c:pt>
              </c:strCache>
            </c:strRef>
          </c:cat>
          <c:val>
            <c:numRef>
              <c:f>pivot_tables!$B$52:$B$62</c:f>
              <c:numCache>
                <c:formatCode>[$₹-458]\ #\ ##0.00</c:formatCode>
                <c:ptCount val="10"/>
                <c:pt idx="0">
                  <c:v>437100</c:v>
                </c:pt>
                <c:pt idx="1">
                  <c:v>508310</c:v>
                </c:pt>
                <c:pt idx="2">
                  <c:v>571000</c:v>
                </c:pt>
                <c:pt idx="3">
                  <c:v>633100</c:v>
                </c:pt>
                <c:pt idx="4">
                  <c:v>640000</c:v>
                </c:pt>
                <c:pt idx="5">
                  <c:v>1283270</c:v>
                </c:pt>
                <c:pt idx="6">
                  <c:v>1298800</c:v>
                </c:pt>
                <c:pt idx="7">
                  <c:v>1644100</c:v>
                </c:pt>
                <c:pt idx="8">
                  <c:v>2522100</c:v>
                </c:pt>
                <c:pt idx="9">
                  <c:v>3367000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0-4745-8A00-04476D7B4A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76988127"/>
        <c:axId val="276981887"/>
      </c:barChart>
      <c:catAx>
        <c:axId val="276988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76981887"/>
        <c:crosses val="autoZero"/>
        <c:auto val="1"/>
        <c:lblAlgn val="ctr"/>
        <c:lblOffset val="100"/>
        <c:noMultiLvlLbl val="0"/>
      </c:catAx>
      <c:valAx>
        <c:axId val="27698188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58]\ #\ ##0.00" sourceLinked="1"/>
        <c:majorTickMark val="none"/>
        <c:minorTickMark val="none"/>
        <c:tickLblPos val="nextTo"/>
        <c:crossAx val="27698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[content_based_recommendation_dataset.xlsx]pivot_tables!Зведена таблиця6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Estimated Revenue by Season</a:t>
            </a:r>
            <a:endParaRPr lang="uk-UA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pivot_tables!$B$11</c:f>
              <c:strCache>
                <c:ptCount val="1"/>
                <c:pt idx="0">
                  <c:v>Підсумок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pivot_tables!$A$12:$A$28</c:f>
              <c:multiLvlStrCache>
                <c:ptCount val="12"/>
                <c:lvl>
                  <c:pt idx="0">
                    <c:v>coastal</c:v>
                  </c:pt>
                  <c:pt idx="1">
                    <c:v>mountains</c:v>
                  </c:pt>
                  <c:pt idx="2">
                    <c:v>plains</c:v>
                  </c:pt>
                  <c:pt idx="3">
                    <c:v>coastal</c:v>
                  </c:pt>
                  <c:pt idx="4">
                    <c:v>mountains</c:v>
                  </c:pt>
                  <c:pt idx="5">
                    <c:v>plains</c:v>
                  </c:pt>
                  <c:pt idx="6">
                    <c:v>coastal</c:v>
                  </c:pt>
                  <c:pt idx="7">
                    <c:v>mountains</c:v>
                  </c:pt>
                  <c:pt idx="8">
                    <c:v>plains</c:v>
                  </c:pt>
                  <c:pt idx="9">
                    <c:v>coastal</c:v>
                  </c:pt>
                  <c:pt idx="10">
                    <c:v>mountains</c:v>
                  </c:pt>
                  <c:pt idx="11">
                    <c:v>plains</c:v>
                  </c:pt>
                </c:lvl>
                <c:lvl>
                  <c:pt idx="0">
                    <c:v>monsoon</c:v>
                  </c:pt>
                  <c:pt idx="3">
                    <c:v>spring</c:v>
                  </c:pt>
                  <c:pt idx="6">
                    <c:v>summer</c:v>
                  </c:pt>
                  <c:pt idx="9">
                    <c:v>winter</c:v>
                  </c:pt>
                </c:lvl>
              </c:multiLvlStrCache>
            </c:multiLvlStrRef>
          </c:cat>
          <c:val>
            <c:numRef>
              <c:f>pivot_tables!$B$12:$B$28</c:f>
              <c:numCache>
                <c:formatCode>General</c:formatCode>
                <c:ptCount val="12"/>
                <c:pt idx="0">
                  <c:v>73470</c:v>
                </c:pt>
                <c:pt idx="1">
                  <c:v>4143800</c:v>
                </c:pt>
                <c:pt idx="2">
                  <c:v>142500</c:v>
                </c:pt>
                <c:pt idx="3">
                  <c:v>158100</c:v>
                </c:pt>
                <c:pt idx="4">
                  <c:v>243100</c:v>
                </c:pt>
                <c:pt idx="5">
                  <c:v>708110</c:v>
                </c:pt>
                <c:pt idx="6">
                  <c:v>569900</c:v>
                </c:pt>
                <c:pt idx="7">
                  <c:v>461000</c:v>
                </c:pt>
                <c:pt idx="8">
                  <c:v>1348000</c:v>
                </c:pt>
                <c:pt idx="9">
                  <c:v>126900</c:v>
                </c:pt>
                <c:pt idx="10">
                  <c:v>7922250</c:v>
                </c:pt>
                <c:pt idx="11">
                  <c:v>1697550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5-4198-83B0-12A32DE41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285343"/>
        <c:axId val="285288223"/>
      </c:lineChart>
      <c:catAx>
        <c:axId val="28528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85288223"/>
        <c:crosses val="autoZero"/>
        <c:auto val="1"/>
        <c:lblAlgn val="ctr"/>
        <c:lblOffset val="100"/>
        <c:noMultiLvlLbl val="0"/>
      </c:catAx>
      <c:valAx>
        <c:axId val="28528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8528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[content_based_recommendation_dataset.xlsx]pivot_tables!Зведена таблиця11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Conversion Rate by Price Range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pivot_tables!$B$71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pivot_tables!$A$72:$A$75</c:f>
              <c:strCache>
                <c:ptCount val="3"/>
                <c:pt idx="0">
                  <c:v>High Price</c:v>
                </c:pt>
                <c:pt idx="1">
                  <c:v>Medium Price</c:v>
                </c:pt>
                <c:pt idx="2">
                  <c:v>Low Price</c:v>
                </c:pt>
              </c:strCache>
            </c:strRef>
          </c:cat>
          <c:val>
            <c:numRef>
              <c:f>pivot_tables!$B$72:$B$75</c:f>
              <c:numCache>
                <c:formatCode>0.00%</c:formatCode>
                <c:ptCount val="3"/>
                <c:pt idx="0">
                  <c:v>8.4043432949060831E-2</c:v>
                </c:pt>
                <c:pt idx="1">
                  <c:v>0.1839137467806905</c:v>
                </c:pt>
                <c:pt idx="2">
                  <c:v>0.7320428202702487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D-47F9-A553-9055915AE1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4231584"/>
        <c:axId val="1314232064"/>
      </c:barChart>
      <c:catAx>
        <c:axId val="131423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314232064"/>
        <c:crosses val="autoZero"/>
        <c:auto val="1"/>
        <c:lblAlgn val="ctr"/>
        <c:lblOffset val="100"/>
        <c:noMultiLvlLbl val="0"/>
      </c:catAx>
      <c:valAx>
        <c:axId val="131423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31423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[content_based_recommendation_dataset.xlsx]pivot_tables!Зведена таблиця16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Probability of Recommendation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pivot_tables!$B$78</c:f>
              <c:strCache>
                <c:ptCount val="1"/>
                <c:pt idx="0">
                  <c:v>Підсумок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pivot_tables!$A$79:$A$91</c:f>
              <c:multiLvlStrCache>
                <c:ptCount val="9"/>
                <c:lvl>
                  <c:pt idx="0">
                    <c:v>High</c:v>
                  </c:pt>
                  <c:pt idx="1">
                    <c:v>Medium</c:v>
                  </c:pt>
                  <c:pt idx="2">
                    <c:v>Low</c:v>
                  </c:pt>
                  <c:pt idx="3">
                    <c:v>High</c:v>
                  </c:pt>
                  <c:pt idx="4">
                    <c:v>Medium</c:v>
                  </c:pt>
                  <c:pt idx="5">
                    <c:v>Low</c:v>
                  </c:pt>
                  <c:pt idx="6">
                    <c:v>High</c:v>
                  </c:pt>
                  <c:pt idx="7">
                    <c:v>Medium</c:v>
                  </c:pt>
                  <c:pt idx="8">
                    <c:v>Low</c:v>
                  </c:pt>
                </c:lvl>
                <c:lvl>
                  <c:pt idx="0">
                    <c:v>High Price</c:v>
                  </c:pt>
                  <c:pt idx="3">
                    <c:v>Medium Price</c:v>
                  </c:pt>
                  <c:pt idx="6">
                    <c:v>Low Price</c:v>
                  </c:pt>
                </c:lvl>
              </c:multiLvlStrCache>
            </c:multiLvlStrRef>
          </c:cat>
          <c:val>
            <c:numRef>
              <c:f>pivot_tables!$B$79:$B$91</c:f>
              <c:numCache>
                <c:formatCode>0</c:formatCode>
                <c:ptCount val="9"/>
                <c:pt idx="0">
                  <c:v>138181.81818181818</c:v>
                </c:pt>
                <c:pt idx="1">
                  <c:v>60000</c:v>
                </c:pt>
                <c:pt idx="2">
                  <c:v>50000</c:v>
                </c:pt>
                <c:pt idx="3">
                  <c:v>21654.117647058825</c:v>
                </c:pt>
                <c:pt idx="4">
                  <c:v>14118.072289156626</c:v>
                </c:pt>
                <c:pt idx="5">
                  <c:v>3800</c:v>
                </c:pt>
                <c:pt idx="6">
                  <c:v>8063.2080924855491</c:v>
                </c:pt>
                <c:pt idx="7">
                  <c:v>3680.5911330049262</c:v>
                </c:pt>
                <c:pt idx="8">
                  <c:v>1231.367924528302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67-4BDF-8EE0-F336EA84F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362400"/>
        <c:axId val="1424362880"/>
      </c:lineChart>
      <c:catAx>
        <c:axId val="142436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24362880"/>
        <c:crosses val="autoZero"/>
        <c:auto val="1"/>
        <c:lblAlgn val="ctr"/>
        <c:lblOffset val="100"/>
        <c:noMultiLvlLbl val="0"/>
      </c:catAx>
      <c:valAx>
        <c:axId val="142436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2436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80682</xdr:colOff>
      <xdr:row>4</xdr:row>
      <xdr:rowOff>24974</xdr:rowOff>
    </xdr:from>
    <xdr:to>
      <xdr:col>9</xdr:col>
      <xdr:colOff>567624</xdr:colOff>
      <xdr:row>17</xdr:row>
      <xdr:rowOff>145677</xdr:rowOff>
    </xdr:to>
    <xdr:graphicFrame macro="">
      <xdr:nvGraphicFramePr>
        <xdr:cNvPr id="15" name="Діаграма 14">
          <a:extLst>
            <a:ext uri="{FF2B5EF4-FFF2-40B4-BE49-F238E27FC236}">
              <a16:creationId xmlns:a16="http://schemas.microsoft.com/office/drawing/2014/main" id="{88CACCE3-F3AA-417F-A963-3DCCA2A2B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38548</xdr:colOff>
      <xdr:row>4</xdr:row>
      <xdr:rowOff>24973</xdr:rowOff>
    </xdr:from>
    <xdr:to>
      <xdr:col>3</xdr:col>
      <xdr:colOff>38548</xdr:colOff>
      <xdr:row>9</xdr:row>
      <xdr:rowOff>80681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Gender">
              <a:extLst>
                <a:ext uri="{FF2B5EF4-FFF2-40B4-BE49-F238E27FC236}">
                  <a16:creationId xmlns:a16="http://schemas.microsoft.com/office/drawing/2014/main" id="{438D4393-A173-2AC1-48E1-81C9F522E9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548" y="742149"/>
              <a:ext cx="1828800" cy="9521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38548</xdr:colOff>
      <xdr:row>9</xdr:row>
      <xdr:rowOff>122368</xdr:rowOff>
    </xdr:from>
    <xdr:to>
      <xdr:col>3</xdr:col>
      <xdr:colOff>38548</xdr:colOff>
      <xdr:row>14</xdr:row>
      <xdr:rowOff>161364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Holiday">
              <a:extLst>
                <a:ext uri="{FF2B5EF4-FFF2-40B4-BE49-F238E27FC236}">
                  <a16:creationId xmlns:a16="http://schemas.microsoft.com/office/drawing/2014/main" id="{A47F1BFF-C685-9F5C-BB10-982279D706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lida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548" y="1736015"/>
              <a:ext cx="1828800" cy="9354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38548</xdr:colOff>
      <xdr:row>15</xdr:row>
      <xdr:rowOff>12999</xdr:rowOff>
    </xdr:from>
    <xdr:to>
      <xdr:col>3</xdr:col>
      <xdr:colOff>38548</xdr:colOff>
      <xdr:row>23</xdr:row>
      <xdr:rowOff>89648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Season">
              <a:extLst>
                <a:ext uri="{FF2B5EF4-FFF2-40B4-BE49-F238E27FC236}">
                  <a16:creationId xmlns:a16="http://schemas.microsoft.com/office/drawing/2014/main" id="{4E63D1A4-C92C-FE7A-9DE9-AF686E8747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548" y="2702411"/>
              <a:ext cx="1828800" cy="15110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38548</xdr:colOff>
      <xdr:row>23</xdr:row>
      <xdr:rowOff>134470</xdr:rowOff>
    </xdr:from>
    <xdr:to>
      <xdr:col>3</xdr:col>
      <xdr:colOff>38548</xdr:colOff>
      <xdr:row>30</xdr:row>
      <xdr:rowOff>98612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Terrain">
              <a:extLst>
                <a:ext uri="{FF2B5EF4-FFF2-40B4-BE49-F238E27FC236}">
                  <a16:creationId xmlns:a16="http://schemas.microsoft.com/office/drawing/2014/main" id="{C3AF52B5-32A7-E6CA-C8DA-9E13672488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rrai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548" y="4258235"/>
              <a:ext cx="1828800" cy="1219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>
    <xdr:from>
      <xdr:col>9</xdr:col>
      <xdr:colOff>477690</xdr:colOff>
      <xdr:row>1</xdr:row>
      <xdr:rowOff>80682</xdr:rowOff>
    </xdr:from>
    <xdr:to>
      <xdr:col>18</xdr:col>
      <xdr:colOff>56349</xdr:colOff>
      <xdr:row>2</xdr:row>
      <xdr:rowOff>98612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22582E2-0EDE-AAE9-5208-530D6D66ADCD}"/>
            </a:ext>
          </a:extLst>
        </xdr:cNvPr>
        <xdr:cNvSpPr txBox="1"/>
      </xdr:nvSpPr>
      <xdr:spPr>
        <a:xfrm>
          <a:off x="5964090" y="265739"/>
          <a:ext cx="5065059" cy="2029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>
              <a:solidFill>
                <a:schemeClr val="tx1">
                  <a:lumMod val="75000"/>
                  <a:lumOff val="25000"/>
                </a:schemeClr>
              </a:solidFill>
            </a:rPr>
            <a:t>E-commerce Performance Dashboard</a:t>
          </a:r>
          <a:endParaRPr lang="uk-UA" sz="24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9</xdr:col>
      <xdr:colOff>600635</xdr:colOff>
      <xdr:row>4</xdr:row>
      <xdr:rowOff>24974</xdr:rowOff>
    </xdr:from>
    <xdr:to>
      <xdr:col>15</xdr:col>
      <xdr:colOff>573741</xdr:colOff>
      <xdr:row>17</xdr:row>
      <xdr:rowOff>141515</xdr:rowOff>
    </xdr:to>
    <xdr:graphicFrame macro="">
      <xdr:nvGraphicFramePr>
        <xdr:cNvPr id="21" name="Діаграма 20">
          <a:extLst>
            <a:ext uri="{FF2B5EF4-FFF2-40B4-BE49-F238E27FC236}">
              <a16:creationId xmlns:a16="http://schemas.microsoft.com/office/drawing/2014/main" id="{FB71DBB8-72AA-4EDC-816A-FAE0E340A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80682</xdr:colOff>
      <xdr:row>17</xdr:row>
      <xdr:rowOff>170329</xdr:rowOff>
    </xdr:from>
    <xdr:to>
      <xdr:col>15</xdr:col>
      <xdr:colOff>573741</xdr:colOff>
      <xdr:row>30</xdr:row>
      <xdr:rowOff>96252</xdr:rowOff>
    </xdr:to>
    <xdr:graphicFrame macro="">
      <xdr:nvGraphicFramePr>
        <xdr:cNvPr id="22" name="Діаграма 21">
          <a:extLst>
            <a:ext uri="{FF2B5EF4-FFF2-40B4-BE49-F238E27FC236}">
              <a16:creationId xmlns:a16="http://schemas.microsoft.com/office/drawing/2014/main" id="{7DD04CA6-244D-4E29-9D8F-9523CFAD3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600634</xdr:colOff>
      <xdr:row>4</xdr:row>
      <xdr:rowOff>24975</xdr:rowOff>
    </xdr:from>
    <xdr:to>
      <xdr:col>21</xdr:col>
      <xdr:colOff>604433</xdr:colOff>
      <xdr:row>30</xdr:row>
      <xdr:rowOff>95573</xdr:rowOff>
    </xdr:to>
    <xdr:graphicFrame macro="">
      <xdr:nvGraphicFramePr>
        <xdr:cNvPr id="23" name="Діаграма 22">
          <a:extLst>
            <a:ext uri="{FF2B5EF4-FFF2-40B4-BE49-F238E27FC236}">
              <a16:creationId xmlns:a16="http://schemas.microsoft.com/office/drawing/2014/main" id="{FC254A25-4DD3-9729-3017-C5EE005CD9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41564</xdr:colOff>
      <xdr:row>4</xdr:row>
      <xdr:rowOff>24975</xdr:rowOff>
    </xdr:from>
    <xdr:to>
      <xdr:col>29</xdr:col>
      <xdr:colOff>0</xdr:colOff>
      <xdr:row>14</xdr:row>
      <xdr:rowOff>119743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96F1768B-5EA0-454B-B802-5B8DBA6BE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32658</xdr:colOff>
      <xdr:row>14</xdr:row>
      <xdr:rowOff>174171</xdr:rowOff>
    </xdr:from>
    <xdr:to>
      <xdr:col>29</xdr:col>
      <xdr:colOff>0</xdr:colOff>
      <xdr:row>30</xdr:row>
      <xdr:rowOff>93518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F0FA3E3D-C536-4B1C-B1E3-21F208991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sa" refreshedDate="46122.727619907404" createdVersion="8" refreshedVersion="8" minRefreshableVersion="3" recordCount="1017" xr:uid="{6EFAE009-F396-403F-A167-4D668AF4E1C9}">
  <cacheSource type="worksheet">
    <worksheetSource ref="A1:Q1018" sheet="clean_data"/>
  </cacheSource>
  <cacheFields count="17">
    <cacheField name="Clicks on similar products" numFmtId="1">
      <sharedItems containsSemiMixedTypes="0" containsString="0" containsNumber="1" containsInteger="1" minValue="1" maxValue="55"/>
    </cacheField>
    <cacheField name="Similar products purchased" numFmtId="1">
      <sharedItems containsSemiMixedTypes="0" containsString="0" containsNumber="1" containsInteger="1" minValue="0" maxValue="24"/>
    </cacheField>
    <cacheField name="Avg Rating (similar products)" numFmtId="164">
      <sharedItems containsSemiMixedTypes="0" containsString="0" containsNumber="1" minValue="1" maxValue="5"/>
    </cacheField>
    <cacheField name="Gender" numFmtId="0">
      <sharedItems count="2">
        <s v="male"/>
        <s v="female"/>
      </sharedItems>
    </cacheField>
    <cacheField name="Median purchasing price" numFmtId="1">
      <sharedItems containsSemiMixedTypes="0" containsString="0" containsNumber="1" containsInteger="1" minValue="100" maxValue="19000"/>
    </cacheField>
    <cacheField name="Product Rating" numFmtId="164">
      <sharedItems containsSemiMixedTypes="0" containsString="0" containsNumber="1" minValue="1" maxValue="5"/>
    </cacheField>
    <cacheField name=" Product Brand" numFmtId="0">
      <sharedItems count="48">
        <s v="PUMA"/>
        <s v="Lee"/>
        <s v="Head Hunters"/>
        <s v="Johnson &amp; Johnson"/>
        <s v="Wakefit"/>
        <s v="Manyavar Mohey"/>
        <s v="Pepperfry"/>
        <s v="Lee Cooper"/>
        <s v="Libram"/>
        <s v="Flying Machine"/>
        <s v="SleepyCat"/>
        <s v="Streax"/>
        <s v="Lakme Ayurveda"/>
        <s v="Forest Essentials"/>
        <s v="Dove Hair"/>
        <s v="Pepe Jeans London"/>
        <s v="The Moms Co."/>
        <s v="Himalaya Liv.52"/>
        <s v="Wildcraft"/>
        <s v="Godrej Interio"/>
        <s v="Patanjali Ayurved (Health Care)"/>
        <s v="Lijoba"/>
        <s v="Moov"/>
        <s v="Kama Ayurveda"/>
        <s v="Urban Ladder"/>
        <s v="Allen Solly Woman"/>
        <s v="Max"/>
        <s v="Head &amp; Shoulders"/>
        <s v="Fastrack"/>
        <s v="Sugar Cosmetics"/>
        <s v="Parachute"/>
        <s v="Dettol"/>
        <s v="AmazonBasics"/>
        <s v="U.S. Polo Assn. Women"/>
        <s v="Khadi Essentials"/>
        <s v="Whisper"/>
        <s v="Levis Strauss &amp; Co."/>
        <s v="Wild Stone"/>
        <s v="Biovea"/>
        <s v="Vero Moda"/>
        <s v="Zandu"/>
        <s v="HRX"/>
        <s v="Mothercare"/>
        <s v="Duroflex"/>
        <s v="Dabur Chyawanprash"/>
        <s v="Spyker"/>
        <s v="Stayfree"/>
        <s v="Baidyanath"/>
      </sharedItems>
    </cacheField>
    <cacheField name="Customer Review" numFmtId="2">
      <sharedItems containsSemiMixedTypes="0" containsString="0" containsNumber="1" minValue="-1" maxValue="1"/>
    </cacheField>
    <cacheField name="Product Price" numFmtId="1">
      <sharedItems containsSemiMixedTypes="0" containsString="0" containsNumber="1" containsInteger="1" minValue="90" maxValue="10000"/>
    </cacheField>
    <cacheField name="Product Price Brackets" numFmtId="1">
      <sharedItems count="3">
        <s v="Low Price"/>
        <s v="Medium Price"/>
        <s v="High Price"/>
      </sharedItems>
    </cacheField>
    <cacheField name="Holiday" numFmtId="0">
      <sharedItems count="2">
        <s v="Non-Holiday"/>
        <s v="Holiday"/>
      </sharedItems>
    </cacheField>
    <cacheField name="Season" numFmtId="0">
      <sharedItems count="4">
        <s v="winter"/>
        <s v="monsoon"/>
        <s v="spring"/>
        <s v="summer"/>
      </sharedItems>
    </cacheField>
    <cacheField name="Terrain" numFmtId="0">
      <sharedItems count="3">
        <s v="plains"/>
        <s v="mountains"/>
        <s v="coastal"/>
      </sharedItems>
    </cacheField>
    <cacheField name="Probability for the product to be recommended to the person" numFmtId="0">
      <sharedItems containsSemiMixedTypes="0" containsString="0" containsNumber="1" minValue="0" maxValue="1" count="76">
        <n v="0.9"/>
        <n v="0.2"/>
        <n v="0.7"/>
        <n v="0.1"/>
        <n v="0.8"/>
        <n v="1"/>
        <n v="0.3"/>
        <n v="0.05"/>
        <n v="0.6"/>
        <n v="0.95"/>
        <n v="0.85"/>
        <n v="0.4"/>
        <n v="0.5"/>
        <n v="0.65"/>
        <n v="0.92"/>
        <n v="0.88"/>
        <n v="0.55000000000000004"/>
        <n v="0.78"/>
        <n v="0.72"/>
        <n v="0.68"/>
        <n v="0.45"/>
        <n v="0.82"/>
        <n v="0.75"/>
        <n v="0.62"/>
        <n v="0.35"/>
        <n v="0.15"/>
        <n v="2.5000000000000001E-2"/>
        <n v="0"/>
        <n v="0.03"/>
        <n v="0.25"/>
        <n v="1.4999999999999999E-2"/>
        <n v="0.02"/>
        <n v="0.91"/>
        <n v="0.33"/>
        <n v="7.0000000000000007E-2"/>
        <n v="0.42"/>
        <n v="0.89"/>
        <n v="0.01"/>
        <n v="0.48"/>
        <n v="0.57999999999999996"/>
        <n v="0.83"/>
        <n v="0.04"/>
        <n v="0.74"/>
        <n v="0.36"/>
        <n v="0.11"/>
        <n v="0.87"/>
        <n v="0.22"/>
        <n v="0.93"/>
        <n v="0.12"/>
        <n v="0.09"/>
        <n v="0.77"/>
        <n v="0.18"/>
        <n v="0.59"/>
        <n v="0.81"/>
        <n v="0.31"/>
        <n v="0.47"/>
        <n v="0.28000000000000003"/>
        <n v="0.86"/>
        <n v="0.52"/>
        <n v="0.79"/>
        <n v="0.39"/>
        <n v="0.23"/>
        <n v="0.84"/>
        <n v="0.08"/>
        <n v="0.37"/>
        <n v="0.16"/>
        <n v="0.71"/>
        <n v="0.56000000000000005"/>
        <n v="0.97"/>
        <n v="0.69"/>
        <n v="0.14000000000000001"/>
        <n v="0.76"/>
        <n v="0.63"/>
        <n v="0.21"/>
        <n v="0.32"/>
        <n v="0.41"/>
      </sharedItems>
    </cacheField>
    <cacheField name="Probability Brackets" numFmtId="0">
      <sharedItems count="3">
        <s v="High"/>
        <s v="Low"/>
        <s v="Medium"/>
      </sharedItems>
    </cacheField>
    <cacheField name="Revenue" numFmtId="0">
      <sharedItems containsSemiMixedTypes="0" containsString="0" containsNumber="1" containsInteger="1" minValue="0" maxValue="200000"/>
    </cacheField>
    <cacheField name="Conversion Rate" numFmtId="2">
      <sharedItems containsSemiMixedTypes="0" containsString="0" containsNumber="1" minValue="0" maxValue="1.1818181818181819"/>
    </cacheField>
  </cacheFields>
  <extLst>
    <ext xmlns:x14="http://schemas.microsoft.com/office/spreadsheetml/2009/9/main" uri="{725AE2AE-9491-48be-B2B4-4EB974FC3084}">
      <x14:pivotCacheDefinition pivotCacheId="51173823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7">
  <r>
    <n v="12"/>
    <n v="4"/>
    <n v="4.2"/>
    <x v="0"/>
    <n v="500"/>
    <n v="4.5"/>
    <x v="0"/>
    <n v="0.8"/>
    <n v="200"/>
    <x v="0"/>
    <x v="0"/>
    <x v="0"/>
    <x v="0"/>
    <x v="0"/>
    <x v="0"/>
    <n v="800"/>
    <n v="0.33333333333333331"/>
  </r>
  <r>
    <n v="8"/>
    <n v="2"/>
    <n v="3.8"/>
    <x v="1"/>
    <n v="3000"/>
    <n v="3.2"/>
    <x v="1"/>
    <n v="-0.4"/>
    <n v="300"/>
    <x v="0"/>
    <x v="1"/>
    <x v="1"/>
    <x v="1"/>
    <x v="1"/>
    <x v="1"/>
    <n v="600"/>
    <n v="0.25"/>
  </r>
  <r>
    <n v="25"/>
    <n v="10"/>
    <n v="4.5"/>
    <x v="1"/>
    <n v="600"/>
    <n v="4.8"/>
    <x v="2"/>
    <n v="0.6"/>
    <n v="1000"/>
    <x v="1"/>
    <x v="0"/>
    <x v="2"/>
    <x v="0"/>
    <x v="2"/>
    <x v="2"/>
    <n v="10000"/>
    <n v="0.4"/>
  </r>
  <r>
    <n v="6"/>
    <n v="1"/>
    <n v="2.1"/>
    <x v="1"/>
    <n v="100"/>
    <n v="2.5"/>
    <x v="3"/>
    <n v="0.1"/>
    <n v="300"/>
    <x v="0"/>
    <x v="0"/>
    <x v="3"/>
    <x v="2"/>
    <x v="3"/>
    <x v="1"/>
    <n v="300"/>
    <n v="0.16666666666666666"/>
  </r>
  <r>
    <n v="18"/>
    <n v="5"/>
    <n v="4.7"/>
    <x v="0"/>
    <n v="2000"/>
    <n v="4.3"/>
    <x v="4"/>
    <n v="0.9"/>
    <n v="700"/>
    <x v="0"/>
    <x v="1"/>
    <x v="0"/>
    <x v="0"/>
    <x v="4"/>
    <x v="0"/>
    <n v="3500"/>
    <n v="0.27777777777777779"/>
  </r>
  <r>
    <n v="38"/>
    <n v="15"/>
    <n v="4.9000000000000004"/>
    <x v="1"/>
    <n v="700"/>
    <n v="4.9000000000000004"/>
    <x v="5"/>
    <n v="0.95"/>
    <n v="700"/>
    <x v="0"/>
    <x v="0"/>
    <x v="3"/>
    <x v="0"/>
    <x v="5"/>
    <x v="0"/>
    <n v="10500"/>
    <n v="0.39473684210526316"/>
  </r>
  <r>
    <n v="7"/>
    <n v="3"/>
    <n v="3.4"/>
    <x v="0"/>
    <n v="5000"/>
    <n v="3.7"/>
    <x v="6"/>
    <n v="0.2"/>
    <n v="900"/>
    <x v="0"/>
    <x v="0"/>
    <x v="0"/>
    <x v="2"/>
    <x v="6"/>
    <x v="1"/>
    <n v="2700"/>
    <n v="0.42857142857142855"/>
  </r>
  <r>
    <n v="4"/>
    <n v="0"/>
    <n v="1.5"/>
    <x v="0"/>
    <n v="900"/>
    <n v="1.8"/>
    <x v="7"/>
    <n v="-0.3"/>
    <n v="400"/>
    <x v="0"/>
    <x v="0"/>
    <x v="1"/>
    <x v="1"/>
    <x v="7"/>
    <x v="1"/>
    <n v="0"/>
    <n v="0"/>
  </r>
  <r>
    <n v="10"/>
    <n v="4"/>
    <n v="3.9"/>
    <x v="1"/>
    <n v="300"/>
    <n v="4.0999999999999996"/>
    <x v="8"/>
    <n v="0.7"/>
    <n v="200"/>
    <x v="0"/>
    <x v="1"/>
    <x v="2"/>
    <x v="0"/>
    <x v="8"/>
    <x v="2"/>
    <n v="800"/>
    <n v="0.4"/>
  </r>
  <r>
    <n v="42"/>
    <n v="18"/>
    <n v="4.5999999999999996"/>
    <x v="0"/>
    <n v="300"/>
    <n v="4.7"/>
    <x v="9"/>
    <n v="0.85"/>
    <n v="600"/>
    <x v="0"/>
    <x v="0"/>
    <x v="3"/>
    <x v="0"/>
    <x v="9"/>
    <x v="0"/>
    <n v="10800"/>
    <n v="0.42857142857142855"/>
  </r>
  <r>
    <n v="20"/>
    <n v="8"/>
    <n v="4.3"/>
    <x v="1"/>
    <n v="1000"/>
    <n v="4.4000000000000004"/>
    <x v="10"/>
    <n v="0.75"/>
    <n v="1000"/>
    <x v="1"/>
    <x v="1"/>
    <x v="3"/>
    <x v="2"/>
    <x v="10"/>
    <x v="0"/>
    <n v="8000"/>
    <n v="0.4"/>
  </r>
  <r>
    <n v="5"/>
    <n v="2"/>
    <n v="2.8"/>
    <x v="0"/>
    <n v="8000"/>
    <n v="3"/>
    <x v="11"/>
    <n v="-0.5"/>
    <n v="500"/>
    <x v="0"/>
    <x v="1"/>
    <x v="3"/>
    <x v="0"/>
    <x v="3"/>
    <x v="1"/>
    <n v="1000"/>
    <n v="0.4"/>
  </r>
  <r>
    <n v="31"/>
    <n v="12"/>
    <n v="4.8"/>
    <x v="1"/>
    <n v="400"/>
    <n v="4.5999999999999996"/>
    <x v="12"/>
    <n v="0.85"/>
    <n v="600"/>
    <x v="0"/>
    <x v="0"/>
    <x v="0"/>
    <x v="0"/>
    <x v="0"/>
    <x v="0"/>
    <n v="7200"/>
    <n v="0.38709677419354838"/>
  </r>
  <r>
    <n v="2"/>
    <n v="1"/>
    <n v="2"/>
    <x v="0"/>
    <n v="4000"/>
    <n v="2.2000000000000002"/>
    <x v="13"/>
    <n v="-0.2"/>
    <n v="200"/>
    <x v="0"/>
    <x v="1"/>
    <x v="3"/>
    <x v="1"/>
    <x v="7"/>
    <x v="1"/>
    <n v="200"/>
    <n v="0.5"/>
  </r>
  <r>
    <n v="17"/>
    <n v="7"/>
    <n v="4.0999999999999996"/>
    <x v="1"/>
    <n v="900"/>
    <n v="4.2"/>
    <x v="14"/>
    <n v="0.8"/>
    <n v="100"/>
    <x v="0"/>
    <x v="1"/>
    <x v="0"/>
    <x v="0"/>
    <x v="2"/>
    <x v="2"/>
    <n v="700"/>
    <n v="0.41176470588235292"/>
  </r>
  <r>
    <n v="14"/>
    <n v="6"/>
    <n v="3.6"/>
    <x v="0"/>
    <n v="200"/>
    <n v="3.4"/>
    <x v="15"/>
    <n v="0.3"/>
    <n v="900"/>
    <x v="0"/>
    <x v="0"/>
    <x v="3"/>
    <x v="0"/>
    <x v="11"/>
    <x v="2"/>
    <n v="5400"/>
    <n v="0.42857142857142855"/>
  </r>
  <r>
    <n v="9"/>
    <n v="3"/>
    <n v="3.3"/>
    <x v="1"/>
    <n v="2000"/>
    <n v="3.5"/>
    <x v="16"/>
    <n v="0.4"/>
    <n v="800"/>
    <x v="0"/>
    <x v="0"/>
    <x v="0"/>
    <x v="0"/>
    <x v="12"/>
    <x v="2"/>
    <n v="2400"/>
    <n v="0.33333333333333331"/>
  </r>
  <r>
    <n v="23"/>
    <n v="9"/>
    <n v="4"/>
    <x v="0"/>
    <n v="6000"/>
    <n v="4.2"/>
    <x v="17"/>
    <n v="0.9"/>
    <n v="600"/>
    <x v="0"/>
    <x v="1"/>
    <x v="0"/>
    <x v="1"/>
    <x v="0"/>
    <x v="0"/>
    <n v="5400"/>
    <n v="0.39130434782608697"/>
  </r>
  <r>
    <n v="3"/>
    <n v="1"/>
    <n v="1.7"/>
    <x v="0"/>
    <n v="500"/>
    <n v="2"/>
    <x v="18"/>
    <n v="-0.1"/>
    <n v="700"/>
    <x v="0"/>
    <x v="0"/>
    <x v="1"/>
    <x v="1"/>
    <x v="7"/>
    <x v="1"/>
    <n v="700"/>
    <n v="0.33333333333333331"/>
  </r>
  <r>
    <n v="28"/>
    <n v="11"/>
    <n v="4.5"/>
    <x v="1"/>
    <n v="7000"/>
    <n v="4.5"/>
    <x v="19"/>
    <n v="0.9"/>
    <n v="10000"/>
    <x v="2"/>
    <x v="1"/>
    <x v="0"/>
    <x v="1"/>
    <x v="5"/>
    <x v="0"/>
    <n v="110000"/>
    <n v="0.39285714285714285"/>
  </r>
  <r>
    <n v="16"/>
    <n v="6"/>
    <n v="3.7"/>
    <x v="0"/>
    <n v="700"/>
    <n v="3.8"/>
    <x v="20"/>
    <n v="0.6"/>
    <n v="300"/>
    <x v="0"/>
    <x v="0"/>
    <x v="1"/>
    <x v="1"/>
    <x v="8"/>
    <x v="2"/>
    <n v="1800"/>
    <n v="0.375"/>
  </r>
  <r>
    <n v="11"/>
    <n v="5"/>
    <n v="4.2"/>
    <x v="1"/>
    <n v="100"/>
    <n v="4.3"/>
    <x v="21"/>
    <n v="0.85"/>
    <n v="200"/>
    <x v="0"/>
    <x v="1"/>
    <x v="2"/>
    <x v="0"/>
    <x v="4"/>
    <x v="0"/>
    <n v="1000"/>
    <n v="0.45454545454545453"/>
  </r>
  <r>
    <n v="36"/>
    <n v="14"/>
    <n v="4.7"/>
    <x v="0"/>
    <n v="100"/>
    <n v="4.5999999999999996"/>
    <x v="22"/>
    <n v="0.7"/>
    <n v="900"/>
    <x v="0"/>
    <x v="0"/>
    <x v="3"/>
    <x v="0"/>
    <x v="10"/>
    <x v="0"/>
    <n v="12600"/>
    <n v="0.3888888888888889"/>
  </r>
  <r>
    <n v="19"/>
    <n v="8"/>
    <n v="4.4000000000000004"/>
    <x v="1"/>
    <n v="4000"/>
    <n v="4.5"/>
    <x v="23"/>
    <n v="0.8"/>
    <n v="800"/>
    <x v="0"/>
    <x v="0"/>
    <x v="3"/>
    <x v="2"/>
    <x v="0"/>
    <x v="0"/>
    <n v="6400"/>
    <n v="0.42105263157894735"/>
  </r>
  <r>
    <n v="22"/>
    <n v="9"/>
    <n v="4.5999999999999996"/>
    <x v="1"/>
    <n v="3000"/>
    <n v="4.7"/>
    <x v="24"/>
    <n v="0.85"/>
    <n v="800"/>
    <x v="0"/>
    <x v="0"/>
    <x v="0"/>
    <x v="0"/>
    <x v="0"/>
    <x v="0"/>
    <n v="7200"/>
    <n v="0.40909090909090912"/>
  </r>
  <r>
    <n v="13"/>
    <n v="5"/>
    <n v="3.5"/>
    <x v="0"/>
    <n v="800"/>
    <n v="3.6"/>
    <x v="25"/>
    <n v="0.6"/>
    <n v="400"/>
    <x v="0"/>
    <x v="1"/>
    <x v="0"/>
    <x v="0"/>
    <x v="2"/>
    <x v="2"/>
    <n v="2000"/>
    <n v="0.38461538461538464"/>
  </r>
  <r>
    <n v="8"/>
    <n v="3"/>
    <n v="2.9"/>
    <x v="1"/>
    <n v="200"/>
    <n v="3"/>
    <x v="7"/>
    <n v="0.1"/>
    <n v="300"/>
    <x v="0"/>
    <x v="0"/>
    <x v="3"/>
    <x v="1"/>
    <x v="7"/>
    <x v="1"/>
    <n v="900"/>
    <n v="0.375"/>
  </r>
  <r>
    <n v="27"/>
    <n v="11"/>
    <n v="4.4000000000000004"/>
    <x v="0"/>
    <n v="1000"/>
    <n v="4.5"/>
    <x v="10"/>
    <n v="0.8"/>
    <n v="1000"/>
    <x v="1"/>
    <x v="1"/>
    <x v="0"/>
    <x v="2"/>
    <x v="10"/>
    <x v="0"/>
    <n v="11000"/>
    <n v="0.40740740740740738"/>
  </r>
  <r>
    <n v="6"/>
    <n v="2"/>
    <n v="2.5"/>
    <x v="0"/>
    <n v="5000"/>
    <n v="2.7"/>
    <x v="22"/>
    <n v="-0.3"/>
    <n v="500"/>
    <x v="0"/>
    <x v="0"/>
    <x v="3"/>
    <x v="1"/>
    <x v="3"/>
    <x v="1"/>
    <n v="1000"/>
    <n v="0.33333333333333331"/>
  </r>
  <r>
    <n v="39"/>
    <n v="16"/>
    <n v="4.8"/>
    <x v="1"/>
    <n v="2000"/>
    <n v="4.8"/>
    <x v="18"/>
    <n v="0.9"/>
    <n v="800"/>
    <x v="0"/>
    <x v="0"/>
    <x v="3"/>
    <x v="0"/>
    <x v="9"/>
    <x v="0"/>
    <n v="12800"/>
    <n v="0.41025641025641024"/>
  </r>
  <r>
    <n v="4"/>
    <n v="1"/>
    <n v="1.8"/>
    <x v="1"/>
    <n v="900"/>
    <n v="2"/>
    <x v="3"/>
    <n v="-0.2"/>
    <n v="400"/>
    <x v="0"/>
    <x v="0"/>
    <x v="1"/>
    <x v="2"/>
    <x v="7"/>
    <x v="1"/>
    <n v="400"/>
    <n v="0.25"/>
  </r>
  <r>
    <n v="19"/>
    <n v="7"/>
    <n v="4.2"/>
    <x v="0"/>
    <n v="700"/>
    <n v="4.3"/>
    <x v="0"/>
    <n v="0.7"/>
    <n v="200"/>
    <x v="0"/>
    <x v="0"/>
    <x v="0"/>
    <x v="0"/>
    <x v="4"/>
    <x v="0"/>
    <n v="1400"/>
    <n v="0.36842105263157893"/>
  </r>
  <r>
    <n v="9"/>
    <n v="4"/>
    <n v="3.1"/>
    <x v="1"/>
    <n v="6000"/>
    <n v="3.3"/>
    <x v="6"/>
    <n v="0.3"/>
    <n v="900"/>
    <x v="0"/>
    <x v="1"/>
    <x v="0"/>
    <x v="2"/>
    <x v="11"/>
    <x v="2"/>
    <n v="3600"/>
    <n v="0.44444444444444442"/>
  </r>
  <r>
    <n v="32"/>
    <n v="13"/>
    <n v="4.7"/>
    <x v="0"/>
    <n v="100"/>
    <n v="4.8"/>
    <x v="5"/>
    <n v="0.9"/>
    <n v="700"/>
    <x v="0"/>
    <x v="0"/>
    <x v="3"/>
    <x v="0"/>
    <x v="0"/>
    <x v="0"/>
    <n v="9100"/>
    <n v="0.40625"/>
  </r>
  <r>
    <n v="14"/>
    <n v="6"/>
    <n v="3.6"/>
    <x v="1"/>
    <n v="500"/>
    <n v="3.8"/>
    <x v="26"/>
    <n v="0.5"/>
    <n v="300"/>
    <x v="0"/>
    <x v="0"/>
    <x v="0"/>
    <x v="0"/>
    <x v="8"/>
    <x v="2"/>
    <n v="1800"/>
    <n v="0.42857142857142855"/>
  </r>
  <r>
    <n v="7"/>
    <n v="2"/>
    <n v="2.2999999999999998"/>
    <x v="0"/>
    <n v="2000"/>
    <n v="2.5"/>
    <x v="4"/>
    <n v="-0.1"/>
    <n v="700"/>
    <x v="0"/>
    <x v="1"/>
    <x v="3"/>
    <x v="1"/>
    <x v="7"/>
    <x v="1"/>
    <n v="1400"/>
    <n v="0.2857142857142857"/>
  </r>
  <r>
    <n v="18"/>
    <n v="8"/>
    <n v="4"/>
    <x v="0"/>
    <n v="300"/>
    <n v="4.2"/>
    <x v="12"/>
    <n v="0.8"/>
    <n v="100"/>
    <x v="0"/>
    <x v="0"/>
    <x v="0"/>
    <x v="0"/>
    <x v="0"/>
    <x v="0"/>
    <n v="800"/>
    <n v="0.44444444444444442"/>
  </r>
  <r>
    <n v="23"/>
    <n v="10"/>
    <n v="4.5"/>
    <x v="1"/>
    <n v="4000"/>
    <n v="4.5999999999999996"/>
    <x v="11"/>
    <n v="0.9"/>
    <n v="100"/>
    <x v="0"/>
    <x v="1"/>
    <x v="3"/>
    <x v="2"/>
    <x v="5"/>
    <x v="0"/>
    <n v="1000"/>
    <n v="0.43478260869565216"/>
  </r>
  <r>
    <n v="11"/>
    <n v="3"/>
    <n v="2.8"/>
    <x v="0"/>
    <n v="600"/>
    <n v="3"/>
    <x v="9"/>
    <n v="0.2"/>
    <n v="400"/>
    <x v="0"/>
    <x v="0"/>
    <x v="1"/>
    <x v="1"/>
    <x v="3"/>
    <x v="1"/>
    <n v="1200"/>
    <n v="0.27272727272727271"/>
  </r>
  <r>
    <n v="26"/>
    <n v="11"/>
    <n v="4.2"/>
    <x v="1"/>
    <n v="100"/>
    <n v="4.4000000000000004"/>
    <x v="1"/>
    <n v="0.8"/>
    <n v="300"/>
    <x v="0"/>
    <x v="0"/>
    <x v="0"/>
    <x v="0"/>
    <x v="0"/>
    <x v="0"/>
    <n v="3300"/>
    <n v="0.42307692307692307"/>
  </r>
  <r>
    <n v="17"/>
    <n v="7"/>
    <n v="3.9"/>
    <x v="0"/>
    <n v="5000"/>
    <n v="4"/>
    <x v="27"/>
    <n v="0.7"/>
    <n v="900"/>
    <x v="0"/>
    <x v="1"/>
    <x v="0"/>
    <x v="0"/>
    <x v="4"/>
    <x v="0"/>
    <n v="6300"/>
    <n v="0.41176470588235292"/>
  </r>
  <r>
    <n v="12"/>
    <n v="5"/>
    <n v="3.2"/>
    <x v="1"/>
    <n v="2000"/>
    <n v="3.3"/>
    <x v="28"/>
    <n v="0.4"/>
    <n v="600"/>
    <x v="0"/>
    <x v="1"/>
    <x v="0"/>
    <x v="0"/>
    <x v="12"/>
    <x v="2"/>
    <n v="3000"/>
    <n v="0.41666666666666669"/>
  </r>
  <r>
    <n v="5"/>
    <n v="1"/>
    <n v="1.9"/>
    <x v="0"/>
    <n v="900"/>
    <n v="2"/>
    <x v="29"/>
    <n v="-0.3"/>
    <n v="400"/>
    <x v="0"/>
    <x v="0"/>
    <x v="1"/>
    <x v="1"/>
    <x v="7"/>
    <x v="1"/>
    <n v="400"/>
    <n v="0.2"/>
  </r>
  <r>
    <n v="31"/>
    <n v="12"/>
    <n v="4.3"/>
    <x v="1"/>
    <n v="7000"/>
    <n v="4.5"/>
    <x v="5"/>
    <n v="0.9"/>
    <n v="10000"/>
    <x v="2"/>
    <x v="1"/>
    <x v="0"/>
    <x v="1"/>
    <x v="5"/>
    <x v="0"/>
    <n v="120000"/>
    <n v="0.38709677419354838"/>
  </r>
  <r>
    <n v="10"/>
    <n v="4"/>
    <n v="3"/>
    <x v="0"/>
    <n v="300"/>
    <n v="3.2"/>
    <x v="23"/>
    <n v="0.1"/>
    <n v="100"/>
    <x v="0"/>
    <x v="0"/>
    <x v="3"/>
    <x v="2"/>
    <x v="3"/>
    <x v="1"/>
    <n v="400"/>
    <n v="0.4"/>
  </r>
  <r>
    <n v="20"/>
    <n v="9"/>
    <n v="4.3"/>
    <x v="1"/>
    <n v="600"/>
    <n v="4.5"/>
    <x v="3"/>
    <n v="0.7"/>
    <n v="200"/>
    <x v="0"/>
    <x v="0"/>
    <x v="0"/>
    <x v="0"/>
    <x v="4"/>
    <x v="0"/>
    <n v="1800"/>
    <n v="0.45"/>
  </r>
  <r>
    <n v="16"/>
    <n v="6"/>
    <n v="3.7"/>
    <x v="0"/>
    <n v="4000"/>
    <n v="3.8"/>
    <x v="6"/>
    <n v="0.6"/>
    <n v="800"/>
    <x v="0"/>
    <x v="1"/>
    <x v="3"/>
    <x v="1"/>
    <x v="4"/>
    <x v="0"/>
    <n v="4800"/>
    <n v="0.375"/>
  </r>
  <r>
    <n v="29"/>
    <n v="12"/>
    <n v="4.5999999999999996"/>
    <x v="1"/>
    <n v="500"/>
    <n v="4.7"/>
    <x v="30"/>
    <n v="0.9"/>
    <n v="700"/>
    <x v="0"/>
    <x v="0"/>
    <x v="0"/>
    <x v="0"/>
    <x v="9"/>
    <x v="0"/>
    <n v="8400"/>
    <n v="0.41379310344827586"/>
  </r>
  <r>
    <n v="24"/>
    <n v="10"/>
    <n v="4.4000000000000004"/>
    <x v="0"/>
    <n v="200"/>
    <n v="4.5"/>
    <x v="7"/>
    <n v="0.8"/>
    <n v="300"/>
    <x v="0"/>
    <x v="0"/>
    <x v="3"/>
    <x v="1"/>
    <x v="0"/>
    <x v="0"/>
    <n v="3000"/>
    <n v="0.41666666666666669"/>
  </r>
  <r>
    <n v="8"/>
    <n v="3"/>
    <n v="3.2"/>
    <x v="1"/>
    <n v="4000"/>
    <n v="3.4"/>
    <x v="18"/>
    <n v="0.4"/>
    <n v="900"/>
    <x v="0"/>
    <x v="1"/>
    <x v="0"/>
    <x v="0"/>
    <x v="12"/>
    <x v="2"/>
    <n v="2700"/>
    <n v="0.375"/>
  </r>
  <r>
    <n v="21"/>
    <n v="9"/>
    <n v="4.0999999999999996"/>
    <x v="0"/>
    <n v="500"/>
    <n v="4.3"/>
    <x v="29"/>
    <n v="0.8"/>
    <n v="200"/>
    <x v="0"/>
    <x v="0"/>
    <x v="3"/>
    <x v="2"/>
    <x v="0"/>
    <x v="0"/>
    <n v="1800"/>
    <n v="0.42857142857142855"/>
  </r>
  <r>
    <n v="5"/>
    <n v="2"/>
    <n v="2.6"/>
    <x v="0"/>
    <n v="700"/>
    <n v="2.8"/>
    <x v="12"/>
    <n v="-0.2"/>
    <n v="500"/>
    <x v="0"/>
    <x v="0"/>
    <x v="0"/>
    <x v="0"/>
    <x v="7"/>
    <x v="1"/>
    <n v="1000"/>
    <n v="0.4"/>
  </r>
  <r>
    <n v="17"/>
    <n v="7"/>
    <n v="3.9"/>
    <x v="1"/>
    <n v="3000"/>
    <n v="4"/>
    <x v="26"/>
    <n v="0.7"/>
    <n v="600"/>
    <x v="0"/>
    <x v="1"/>
    <x v="3"/>
    <x v="0"/>
    <x v="4"/>
    <x v="0"/>
    <n v="4200"/>
    <n v="0.41176470588235292"/>
  </r>
  <r>
    <n v="11"/>
    <n v="4"/>
    <n v="3.1"/>
    <x v="0"/>
    <n v="200"/>
    <n v="3.2"/>
    <x v="21"/>
    <n v="0.1"/>
    <n v="100"/>
    <x v="0"/>
    <x v="0"/>
    <x v="1"/>
    <x v="0"/>
    <x v="3"/>
    <x v="1"/>
    <n v="400"/>
    <n v="0.36363636363636365"/>
  </r>
  <r>
    <n v="28"/>
    <n v="13"/>
    <n v="4.5"/>
    <x v="1"/>
    <n v="2000"/>
    <n v="4.5999999999999996"/>
    <x v="19"/>
    <n v="0.85"/>
    <n v="1000"/>
    <x v="1"/>
    <x v="0"/>
    <x v="0"/>
    <x v="0"/>
    <x v="0"/>
    <x v="0"/>
    <n v="13000"/>
    <n v="0.4642857142857143"/>
  </r>
  <r>
    <n v="13"/>
    <n v="5"/>
    <n v="3.4"/>
    <x v="0"/>
    <n v="8000"/>
    <n v="3.5"/>
    <x v="10"/>
    <n v="0.7"/>
    <n v="900"/>
    <x v="0"/>
    <x v="0"/>
    <x v="3"/>
    <x v="2"/>
    <x v="4"/>
    <x v="0"/>
    <n v="4500"/>
    <n v="0.38461538461538464"/>
  </r>
  <r>
    <n v="9"/>
    <n v="4"/>
    <n v="2.9"/>
    <x v="1"/>
    <n v="4000"/>
    <n v="3"/>
    <x v="31"/>
    <n v="-0.2"/>
    <n v="500"/>
    <x v="0"/>
    <x v="1"/>
    <x v="0"/>
    <x v="0"/>
    <x v="7"/>
    <x v="1"/>
    <n v="2000"/>
    <n v="0.44444444444444442"/>
  </r>
  <r>
    <n v="36"/>
    <n v="15"/>
    <n v="4.7"/>
    <x v="0"/>
    <n v="300"/>
    <n v="4.8"/>
    <x v="22"/>
    <n v="0.9"/>
    <n v="800"/>
    <x v="0"/>
    <x v="0"/>
    <x v="3"/>
    <x v="0"/>
    <x v="5"/>
    <x v="0"/>
    <n v="12000"/>
    <n v="0.41666666666666669"/>
  </r>
  <r>
    <n v="7"/>
    <n v="2"/>
    <n v="2.5"/>
    <x v="1"/>
    <n v="1000"/>
    <n v="2.7"/>
    <x v="16"/>
    <n v="0"/>
    <n v="200"/>
    <x v="0"/>
    <x v="1"/>
    <x v="3"/>
    <x v="2"/>
    <x v="3"/>
    <x v="1"/>
    <n v="400"/>
    <n v="0.2857142857142857"/>
  </r>
  <r>
    <n v="20"/>
    <n v="8"/>
    <n v="4.3"/>
    <x v="0"/>
    <n v="500"/>
    <n v="4.5"/>
    <x v="26"/>
    <n v="0.8"/>
    <n v="300"/>
    <x v="0"/>
    <x v="0"/>
    <x v="0"/>
    <x v="0"/>
    <x v="0"/>
    <x v="0"/>
    <n v="2400"/>
    <n v="0.4"/>
  </r>
  <r>
    <n v="14"/>
    <n v="6"/>
    <n v="3.5"/>
    <x v="1"/>
    <n v="6000"/>
    <n v="3.7"/>
    <x v="12"/>
    <n v="0.5"/>
    <n v="800"/>
    <x v="0"/>
    <x v="1"/>
    <x v="0"/>
    <x v="0"/>
    <x v="8"/>
    <x v="2"/>
    <n v="4800"/>
    <n v="0.42857142857142855"/>
  </r>
  <r>
    <n v="33"/>
    <n v="14"/>
    <n v="4.8"/>
    <x v="0"/>
    <n v="200"/>
    <n v="4.9000000000000004"/>
    <x v="15"/>
    <n v="0.9"/>
    <n v="700"/>
    <x v="0"/>
    <x v="0"/>
    <x v="3"/>
    <x v="1"/>
    <x v="5"/>
    <x v="0"/>
    <n v="9800"/>
    <n v="0.42424242424242425"/>
  </r>
  <r>
    <n v="6"/>
    <n v="2"/>
    <n v="2.7"/>
    <x v="1"/>
    <n v="100"/>
    <n v="2.8"/>
    <x v="4"/>
    <n v="-0.1"/>
    <n v="700"/>
    <x v="0"/>
    <x v="1"/>
    <x v="3"/>
    <x v="2"/>
    <x v="7"/>
    <x v="1"/>
    <n v="1400"/>
    <n v="0.33333333333333331"/>
  </r>
  <r>
    <n v="19"/>
    <n v="8"/>
    <n v="4.2"/>
    <x v="0"/>
    <n v="3000"/>
    <n v="4.3"/>
    <x v="5"/>
    <n v="0.8"/>
    <n v="1000"/>
    <x v="1"/>
    <x v="0"/>
    <x v="0"/>
    <x v="0"/>
    <x v="0"/>
    <x v="0"/>
    <n v="8000"/>
    <n v="0.42105263157894735"/>
  </r>
  <r>
    <n v="10"/>
    <n v="3"/>
    <n v="2.8"/>
    <x v="1"/>
    <n v="900"/>
    <n v="3"/>
    <x v="3"/>
    <n v="0.1"/>
    <n v="400"/>
    <x v="0"/>
    <x v="0"/>
    <x v="3"/>
    <x v="0"/>
    <x v="3"/>
    <x v="1"/>
    <n v="1200"/>
    <n v="0.3"/>
  </r>
  <r>
    <n v="25"/>
    <n v="11"/>
    <n v="4.4000000000000004"/>
    <x v="0"/>
    <n v="8000"/>
    <n v="4.5"/>
    <x v="18"/>
    <n v="0.85"/>
    <n v="900"/>
    <x v="0"/>
    <x v="0"/>
    <x v="3"/>
    <x v="1"/>
    <x v="0"/>
    <x v="0"/>
    <n v="9900"/>
    <n v="0.44"/>
  </r>
  <r>
    <n v="15"/>
    <n v="6"/>
    <n v="3.6"/>
    <x v="1"/>
    <n v="200"/>
    <n v="3.8"/>
    <x v="1"/>
    <n v="-0.3"/>
    <n v="500"/>
    <x v="0"/>
    <x v="1"/>
    <x v="1"/>
    <x v="0"/>
    <x v="7"/>
    <x v="1"/>
    <n v="3000"/>
    <n v="0.4"/>
  </r>
  <r>
    <n v="29"/>
    <n v="12"/>
    <n v="4.5999999999999996"/>
    <x v="0"/>
    <n v="6000"/>
    <n v="4.7"/>
    <x v="6"/>
    <n v="0.9"/>
    <n v="800"/>
    <x v="0"/>
    <x v="0"/>
    <x v="0"/>
    <x v="1"/>
    <x v="5"/>
    <x v="0"/>
    <n v="9600"/>
    <n v="0.41379310344827586"/>
  </r>
  <r>
    <n v="22"/>
    <n v="9"/>
    <n v="4.5"/>
    <x v="1"/>
    <n v="400"/>
    <n v="4.5999999999999996"/>
    <x v="2"/>
    <n v="0.85"/>
    <n v="300"/>
    <x v="0"/>
    <x v="0"/>
    <x v="3"/>
    <x v="0"/>
    <x v="0"/>
    <x v="0"/>
    <n v="2700"/>
    <n v="0.40909090909090912"/>
  </r>
  <r>
    <n v="12"/>
    <n v="5"/>
    <n v="3"/>
    <x v="0"/>
    <n v="3000"/>
    <n v="3.1"/>
    <x v="24"/>
    <n v="0.2"/>
    <n v="1000"/>
    <x v="1"/>
    <x v="1"/>
    <x v="0"/>
    <x v="0"/>
    <x v="1"/>
    <x v="1"/>
    <n v="5000"/>
    <n v="0.41666666666666669"/>
  </r>
  <r>
    <n v="16"/>
    <n v="7"/>
    <n v="3.8"/>
    <x v="1"/>
    <n v="800"/>
    <n v="4"/>
    <x v="1"/>
    <n v="0.7"/>
    <n v="200"/>
    <x v="0"/>
    <x v="0"/>
    <x v="0"/>
    <x v="0"/>
    <x v="4"/>
    <x v="0"/>
    <n v="1400"/>
    <n v="0.4375"/>
  </r>
  <r>
    <n v="31"/>
    <n v="14"/>
    <n v="4.9000000000000004"/>
    <x v="0"/>
    <n v="1000"/>
    <n v="5"/>
    <x v="5"/>
    <n v="0.9"/>
    <n v="700"/>
    <x v="0"/>
    <x v="0"/>
    <x v="3"/>
    <x v="0"/>
    <x v="5"/>
    <x v="0"/>
    <n v="9800"/>
    <n v="0.45161290322580644"/>
  </r>
  <r>
    <n v="4"/>
    <n v="1"/>
    <n v="1.7"/>
    <x v="1"/>
    <n v="6000"/>
    <n v="1.8"/>
    <x v="31"/>
    <n v="-0.3"/>
    <n v="500"/>
    <x v="0"/>
    <x v="1"/>
    <x v="3"/>
    <x v="0"/>
    <x v="7"/>
    <x v="1"/>
    <n v="500"/>
    <n v="0.25"/>
  </r>
  <r>
    <n v="26"/>
    <n v="11"/>
    <n v="4.3"/>
    <x v="0"/>
    <n v="200"/>
    <n v="4.4000000000000004"/>
    <x v="8"/>
    <n v="0.8"/>
    <n v="300"/>
    <x v="0"/>
    <x v="0"/>
    <x v="0"/>
    <x v="0"/>
    <x v="0"/>
    <x v="0"/>
    <n v="3300"/>
    <n v="0.42307692307692307"/>
  </r>
  <r>
    <n v="16"/>
    <n v="7"/>
    <n v="3.9"/>
    <x v="1"/>
    <n v="7000"/>
    <n v="4"/>
    <x v="9"/>
    <n v="0.7"/>
    <n v="900"/>
    <x v="0"/>
    <x v="0"/>
    <x v="0"/>
    <x v="0"/>
    <x v="4"/>
    <x v="0"/>
    <n v="6300"/>
    <n v="0.4375"/>
  </r>
  <r>
    <n v="8"/>
    <n v="3"/>
    <n v="3.3"/>
    <x v="0"/>
    <n v="1000"/>
    <n v="3.4"/>
    <x v="26"/>
    <n v="0.3"/>
    <n v="200"/>
    <x v="0"/>
    <x v="0"/>
    <x v="3"/>
    <x v="2"/>
    <x v="6"/>
    <x v="1"/>
    <n v="600"/>
    <n v="0.375"/>
  </r>
  <r>
    <n v="27"/>
    <n v="12"/>
    <n v="4.7"/>
    <x v="1"/>
    <n v="200"/>
    <n v="4.8"/>
    <x v="20"/>
    <n v="0.9"/>
    <n v="700"/>
    <x v="0"/>
    <x v="0"/>
    <x v="0"/>
    <x v="0"/>
    <x v="5"/>
    <x v="0"/>
    <n v="8400"/>
    <n v="0.44444444444444442"/>
  </r>
  <r>
    <n v="13"/>
    <n v="6"/>
    <n v="3.6"/>
    <x v="0"/>
    <n v="900"/>
    <n v="3.8"/>
    <x v="11"/>
    <n v="0.5"/>
    <n v="400"/>
    <x v="0"/>
    <x v="1"/>
    <x v="0"/>
    <x v="0"/>
    <x v="8"/>
    <x v="2"/>
    <n v="2400"/>
    <n v="0.46153846153846156"/>
  </r>
  <r>
    <n v="7"/>
    <n v="2"/>
    <n v="2.4"/>
    <x v="1"/>
    <n v="4000"/>
    <n v="2.6"/>
    <x v="18"/>
    <n v="-0.1"/>
    <n v="500"/>
    <x v="0"/>
    <x v="0"/>
    <x v="3"/>
    <x v="1"/>
    <x v="7"/>
    <x v="1"/>
    <n v="1000"/>
    <n v="0.2857142857142857"/>
  </r>
  <r>
    <n v="20"/>
    <n v="9"/>
    <n v="4.4000000000000004"/>
    <x v="0"/>
    <n v="100"/>
    <n v="4.5"/>
    <x v="22"/>
    <n v="0.85"/>
    <n v="800"/>
    <x v="0"/>
    <x v="1"/>
    <x v="0"/>
    <x v="0"/>
    <x v="0"/>
    <x v="0"/>
    <n v="7200"/>
    <n v="0.45"/>
  </r>
  <r>
    <n v="32"/>
    <n v="15"/>
    <n v="4.8"/>
    <x v="1"/>
    <n v="6000"/>
    <n v="4.9000000000000004"/>
    <x v="13"/>
    <n v="0.9"/>
    <n v="900"/>
    <x v="0"/>
    <x v="0"/>
    <x v="0"/>
    <x v="1"/>
    <x v="5"/>
    <x v="0"/>
    <n v="13500"/>
    <n v="0.46875"/>
  </r>
  <r>
    <n v="11"/>
    <n v="4"/>
    <n v="3.1"/>
    <x v="0"/>
    <n v="300"/>
    <n v="3.2"/>
    <x v="0"/>
    <n v="0.1"/>
    <n v="400"/>
    <x v="0"/>
    <x v="0"/>
    <x v="3"/>
    <x v="0"/>
    <x v="3"/>
    <x v="1"/>
    <n v="1600"/>
    <n v="0.36363636363636365"/>
  </r>
  <r>
    <n v="24"/>
    <n v="11"/>
    <n v="4.3"/>
    <x v="1"/>
    <n v="500"/>
    <n v="4.5"/>
    <x v="18"/>
    <n v="0.8"/>
    <n v="300"/>
    <x v="0"/>
    <x v="0"/>
    <x v="3"/>
    <x v="0"/>
    <x v="0"/>
    <x v="0"/>
    <n v="3300"/>
    <n v="0.45833333333333331"/>
  </r>
  <r>
    <n v="10"/>
    <n v="3"/>
    <n v="2.7"/>
    <x v="0"/>
    <n v="1000"/>
    <n v="2.9"/>
    <x v="1"/>
    <n v="0.1"/>
    <n v="100"/>
    <x v="0"/>
    <x v="0"/>
    <x v="1"/>
    <x v="0"/>
    <x v="3"/>
    <x v="1"/>
    <n v="300"/>
    <n v="0.3"/>
  </r>
  <r>
    <n v="35"/>
    <n v="16"/>
    <n v="4.9000000000000004"/>
    <x v="1"/>
    <n v="800"/>
    <n v="5"/>
    <x v="7"/>
    <n v="0.9"/>
    <n v="700"/>
    <x v="0"/>
    <x v="0"/>
    <x v="0"/>
    <x v="1"/>
    <x v="5"/>
    <x v="0"/>
    <n v="11200"/>
    <n v="0.45714285714285713"/>
  </r>
  <r>
    <n v="6"/>
    <n v="2"/>
    <n v="2.8"/>
    <x v="1"/>
    <n v="4000"/>
    <n v="3"/>
    <x v="5"/>
    <n v="0"/>
    <n v="500"/>
    <x v="0"/>
    <x v="1"/>
    <x v="3"/>
    <x v="0"/>
    <x v="3"/>
    <x v="1"/>
    <n v="1000"/>
    <n v="0.33333333333333331"/>
  </r>
  <r>
    <n v="19"/>
    <n v="8"/>
    <n v="4.3"/>
    <x v="0"/>
    <n v="200"/>
    <n v="4.5"/>
    <x v="15"/>
    <n v="0.8"/>
    <n v="900"/>
    <x v="0"/>
    <x v="0"/>
    <x v="0"/>
    <x v="0"/>
    <x v="0"/>
    <x v="0"/>
    <n v="7200"/>
    <n v="0.42105263157894735"/>
  </r>
  <r>
    <n v="9"/>
    <n v="4"/>
    <n v="3"/>
    <x v="1"/>
    <n v="6000"/>
    <n v="3.1"/>
    <x v="2"/>
    <n v="0.2"/>
    <n v="1000"/>
    <x v="1"/>
    <x v="1"/>
    <x v="0"/>
    <x v="0"/>
    <x v="1"/>
    <x v="1"/>
    <n v="4000"/>
    <n v="0.44444444444444442"/>
  </r>
  <r>
    <n v="28"/>
    <n v="13"/>
    <n v="4.5999999999999996"/>
    <x v="0"/>
    <n v="500"/>
    <n v="4.7"/>
    <x v="10"/>
    <n v="0.9"/>
    <n v="800"/>
    <x v="0"/>
    <x v="0"/>
    <x v="3"/>
    <x v="2"/>
    <x v="5"/>
    <x v="0"/>
    <n v="10400"/>
    <n v="0.4642857142857143"/>
  </r>
  <r>
    <n v="14"/>
    <n v="7"/>
    <n v="3.7"/>
    <x v="1"/>
    <n v="2000"/>
    <n v="3.8"/>
    <x v="3"/>
    <n v="0.6"/>
    <n v="200"/>
    <x v="0"/>
    <x v="0"/>
    <x v="3"/>
    <x v="0"/>
    <x v="2"/>
    <x v="2"/>
    <n v="1400"/>
    <n v="0.5"/>
  </r>
  <r>
    <n v="23"/>
    <n v="10"/>
    <n v="4.5"/>
    <x v="0"/>
    <n v="900"/>
    <n v="4.5999999999999996"/>
    <x v="4"/>
    <n v="0.85"/>
    <n v="300"/>
    <x v="0"/>
    <x v="0"/>
    <x v="0"/>
    <x v="0"/>
    <x v="0"/>
    <x v="0"/>
    <n v="3000"/>
    <n v="0.43478260869565216"/>
  </r>
  <r>
    <n v="12"/>
    <n v="5"/>
    <n v="3.2"/>
    <x v="1"/>
    <n v="700"/>
    <n v="3.4"/>
    <x v="5"/>
    <n v="0.1"/>
    <n v="400"/>
    <x v="0"/>
    <x v="0"/>
    <x v="3"/>
    <x v="0"/>
    <x v="3"/>
    <x v="1"/>
    <n v="2000"/>
    <n v="0.41666666666666669"/>
  </r>
  <r>
    <n v="25"/>
    <n v="11"/>
    <n v="4.4000000000000004"/>
    <x v="0"/>
    <n v="3000"/>
    <n v="4.5"/>
    <x v="32"/>
    <n v="0.8"/>
    <n v="500"/>
    <x v="0"/>
    <x v="1"/>
    <x v="0"/>
    <x v="0"/>
    <x v="0"/>
    <x v="0"/>
    <n v="5500"/>
    <n v="0.44"/>
  </r>
  <r>
    <n v="15"/>
    <n v="6"/>
    <n v="3.5"/>
    <x v="1"/>
    <n v="400"/>
    <n v="3.7"/>
    <x v="12"/>
    <n v="0.5"/>
    <n v="600"/>
    <x v="0"/>
    <x v="1"/>
    <x v="0"/>
    <x v="0"/>
    <x v="8"/>
    <x v="2"/>
    <n v="3600"/>
    <n v="0.4"/>
  </r>
  <r>
    <n v="30"/>
    <n v="14"/>
    <n v="4.7"/>
    <x v="0"/>
    <n v="1000"/>
    <n v="4.8"/>
    <x v="22"/>
    <n v="0.9"/>
    <n v="700"/>
    <x v="0"/>
    <x v="0"/>
    <x v="3"/>
    <x v="0"/>
    <x v="5"/>
    <x v="0"/>
    <n v="9800"/>
    <n v="0.46666666666666667"/>
  </r>
  <r>
    <n v="5"/>
    <n v="2"/>
    <n v="2.5"/>
    <x v="1"/>
    <n v="2000"/>
    <n v="2.6"/>
    <x v="27"/>
    <n v="-0.1"/>
    <n v="500"/>
    <x v="0"/>
    <x v="1"/>
    <x v="0"/>
    <x v="0"/>
    <x v="7"/>
    <x v="1"/>
    <n v="1000"/>
    <n v="0.4"/>
  </r>
  <r>
    <n v="21"/>
    <n v="9"/>
    <n v="4.2"/>
    <x v="0"/>
    <n v="6000"/>
    <n v="4.4000000000000004"/>
    <x v="9"/>
    <n v="0.8"/>
    <n v="900"/>
    <x v="0"/>
    <x v="0"/>
    <x v="0"/>
    <x v="1"/>
    <x v="0"/>
    <x v="0"/>
    <n v="8100"/>
    <n v="0.42857142857142855"/>
  </r>
  <r>
    <n v="17"/>
    <n v="7"/>
    <n v="3.8"/>
    <x v="1"/>
    <n v="500"/>
    <n v="4"/>
    <x v="23"/>
    <n v="0.7"/>
    <n v="200"/>
    <x v="0"/>
    <x v="0"/>
    <x v="3"/>
    <x v="2"/>
    <x v="4"/>
    <x v="0"/>
    <n v="1400"/>
    <n v="0.41176470588235292"/>
  </r>
  <r>
    <n v="36"/>
    <n v="16"/>
    <n v="4.8"/>
    <x v="0"/>
    <n v="100"/>
    <n v="4.9000000000000004"/>
    <x v="33"/>
    <n v="0.9"/>
    <n v="700"/>
    <x v="0"/>
    <x v="0"/>
    <x v="0"/>
    <x v="0"/>
    <x v="5"/>
    <x v="0"/>
    <n v="11200"/>
    <n v="0.44444444444444442"/>
  </r>
  <r>
    <n v="9"/>
    <n v="4"/>
    <n v="3.3"/>
    <x v="1"/>
    <n v="100"/>
    <n v="3.4"/>
    <x v="31"/>
    <n v="0.3"/>
    <n v="200"/>
    <x v="0"/>
    <x v="0"/>
    <x v="3"/>
    <x v="0"/>
    <x v="6"/>
    <x v="1"/>
    <n v="800"/>
    <n v="0.44444444444444442"/>
  </r>
  <r>
    <n v="26"/>
    <n v="12"/>
    <n v="4.5"/>
    <x v="0"/>
    <n v="3000"/>
    <n v="4.7"/>
    <x v="1"/>
    <n v="0.85"/>
    <n v="500"/>
    <x v="0"/>
    <x v="1"/>
    <x v="0"/>
    <x v="1"/>
    <x v="0"/>
    <x v="0"/>
    <n v="6000"/>
    <n v="0.46153846153846156"/>
  </r>
  <r>
    <n v="14"/>
    <n v="7"/>
    <n v="3.8"/>
    <x v="1"/>
    <n v="2000"/>
    <n v="4"/>
    <x v="10"/>
    <n v="0.6"/>
    <n v="600"/>
    <x v="0"/>
    <x v="1"/>
    <x v="0"/>
    <x v="0"/>
    <x v="2"/>
    <x v="2"/>
    <n v="4200"/>
    <n v="0.5"/>
  </r>
  <r>
    <n v="7"/>
    <n v="2"/>
    <n v="2.7"/>
    <x v="1"/>
    <n v="5000"/>
    <n v="2.9"/>
    <x v="9"/>
    <n v="-0.1"/>
    <n v="500"/>
    <x v="0"/>
    <x v="1"/>
    <x v="3"/>
    <x v="0"/>
    <x v="7"/>
    <x v="1"/>
    <n v="1000"/>
    <n v="0.2857142857142857"/>
  </r>
  <r>
    <n v="31"/>
    <n v="14"/>
    <n v="4.7"/>
    <x v="0"/>
    <n v="600"/>
    <n v="4.8"/>
    <x v="15"/>
    <n v="0.9"/>
    <n v="700"/>
    <x v="0"/>
    <x v="0"/>
    <x v="0"/>
    <x v="0"/>
    <x v="5"/>
    <x v="0"/>
    <n v="9800"/>
    <n v="0.45161290322580644"/>
  </r>
  <r>
    <n v="16"/>
    <n v="7"/>
    <n v="3.7"/>
    <x v="1"/>
    <n v="300"/>
    <n v="3.9"/>
    <x v="7"/>
    <n v="0.7"/>
    <n v="200"/>
    <x v="0"/>
    <x v="0"/>
    <x v="3"/>
    <x v="2"/>
    <x v="4"/>
    <x v="0"/>
    <n v="1400"/>
    <n v="0.4375"/>
  </r>
  <r>
    <n v="8"/>
    <n v="3"/>
    <n v="3.1"/>
    <x v="0"/>
    <n v="400"/>
    <n v="3.2"/>
    <x v="12"/>
    <n v="0.1"/>
    <n v="300"/>
    <x v="0"/>
    <x v="0"/>
    <x v="3"/>
    <x v="0"/>
    <x v="3"/>
    <x v="1"/>
    <n v="900"/>
    <n v="0.375"/>
  </r>
  <r>
    <n v="23"/>
    <n v="10"/>
    <n v="4.3"/>
    <x v="1"/>
    <n v="7000"/>
    <n v="4.4000000000000004"/>
    <x v="18"/>
    <n v="0.8"/>
    <n v="900"/>
    <x v="0"/>
    <x v="1"/>
    <x v="0"/>
    <x v="1"/>
    <x v="0"/>
    <x v="0"/>
    <n v="9000"/>
    <n v="0.43478260869565216"/>
  </r>
  <r>
    <n v="11"/>
    <n v="5"/>
    <n v="3.2"/>
    <x v="0"/>
    <n v="1000"/>
    <n v="3.4"/>
    <x v="5"/>
    <n v="0.2"/>
    <n v="100"/>
    <x v="0"/>
    <x v="0"/>
    <x v="3"/>
    <x v="0"/>
    <x v="1"/>
    <x v="1"/>
    <n v="500"/>
    <n v="0.45454545454545453"/>
  </r>
  <r>
    <n v="28"/>
    <n v="13"/>
    <n v="4.8"/>
    <x v="1"/>
    <n v="400"/>
    <n v="4.9000000000000004"/>
    <x v="6"/>
    <n v="0.9"/>
    <n v="700"/>
    <x v="0"/>
    <x v="0"/>
    <x v="0"/>
    <x v="0"/>
    <x v="5"/>
    <x v="0"/>
    <n v="9100"/>
    <n v="0.4642857142857143"/>
  </r>
  <r>
    <n v="17"/>
    <n v="8"/>
    <n v="3.9"/>
    <x v="0"/>
    <n v="500"/>
    <n v="4.0999999999999996"/>
    <x v="23"/>
    <n v="0.8"/>
    <n v="200"/>
    <x v="0"/>
    <x v="0"/>
    <x v="3"/>
    <x v="2"/>
    <x v="0"/>
    <x v="0"/>
    <n v="1600"/>
    <n v="0.47058823529411764"/>
  </r>
  <r>
    <n v="12"/>
    <n v="6"/>
    <n v="3.4"/>
    <x v="1"/>
    <n v="2000"/>
    <n v="3.6"/>
    <x v="1"/>
    <n v="0.5"/>
    <n v="400"/>
    <x v="0"/>
    <x v="1"/>
    <x v="3"/>
    <x v="0"/>
    <x v="8"/>
    <x v="2"/>
    <n v="2400"/>
    <n v="0.5"/>
  </r>
  <r>
    <n v="6"/>
    <n v="2"/>
    <n v="2.6"/>
    <x v="0"/>
    <n v="6000"/>
    <n v="2.8"/>
    <x v="18"/>
    <n v="-0.1"/>
    <n v="500"/>
    <x v="0"/>
    <x v="1"/>
    <x v="3"/>
    <x v="0"/>
    <x v="7"/>
    <x v="1"/>
    <n v="1000"/>
    <n v="0.33333333333333331"/>
  </r>
  <r>
    <n v="21"/>
    <n v="10"/>
    <n v="4.4000000000000004"/>
    <x v="1"/>
    <n v="300"/>
    <n v="4.5"/>
    <x v="5"/>
    <n v="0.8"/>
    <n v="600"/>
    <x v="0"/>
    <x v="0"/>
    <x v="0"/>
    <x v="0"/>
    <x v="0"/>
    <x v="0"/>
    <n v="6000"/>
    <n v="0.47619047619047616"/>
  </r>
  <r>
    <n v="10"/>
    <n v="4"/>
    <n v="3"/>
    <x v="0"/>
    <n v="700"/>
    <n v="3.1"/>
    <x v="1"/>
    <n v="-0.1"/>
    <n v="100"/>
    <x v="0"/>
    <x v="0"/>
    <x v="1"/>
    <x v="0"/>
    <x v="7"/>
    <x v="1"/>
    <n v="400"/>
    <n v="0.4"/>
  </r>
  <r>
    <n v="35"/>
    <n v="16"/>
    <n v="4.8"/>
    <x v="1"/>
    <n v="5000"/>
    <n v="4.9000000000000004"/>
    <x v="3"/>
    <n v="0.9"/>
    <n v="800"/>
    <x v="0"/>
    <x v="1"/>
    <x v="0"/>
    <x v="0"/>
    <x v="5"/>
    <x v="0"/>
    <n v="12800"/>
    <n v="0.45714285714285713"/>
  </r>
  <r>
    <n v="20"/>
    <n v="9"/>
    <n v="4.2"/>
    <x v="0"/>
    <n v="800"/>
    <n v="4.3"/>
    <x v="11"/>
    <n v="0.7"/>
    <n v="300"/>
    <x v="0"/>
    <x v="0"/>
    <x v="0"/>
    <x v="0"/>
    <x v="4"/>
    <x v="0"/>
    <n v="2700"/>
    <n v="0.45"/>
  </r>
  <r>
    <n v="13"/>
    <n v="6"/>
    <n v="3.5"/>
    <x v="1"/>
    <n v="1000"/>
    <n v="3.7"/>
    <x v="15"/>
    <n v="0.4"/>
    <n v="500"/>
    <x v="0"/>
    <x v="1"/>
    <x v="0"/>
    <x v="0"/>
    <x v="12"/>
    <x v="2"/>
    <n v="3000"/>
    <n v="0.46153846153846156"/>
  </r>
  <r>
    <n v="29"/>
    <n v="14"/>
    <n v="4.7"/>
    <x v="0"/>
    <n v="2000"/>
    <n v="4.8"/>
    <x v="5"/>
    <n v="0.9"/>
    <n v="900"/>
    <x v="0"/>
    <x v="0"/>
    <x v="0"/>
    <x v="1"/>
    <x v="5"/>
    <x v="0"/>
    <n v="12600"/>
    <n v="0.48275862068965519"/>
  </r>
  <r>
    <n v="15"/>
    <n v="7"/>
    <n v="3.8"/>
    <x v="1"/>
    <n v="400"/>
    <n v="4"/>
    <x v="26"/>
    <n v="0.6"/>
    <n v="200"/>
    <x v="0"/>
    <x v="0"/>
    <x v="3"/>
    <x v="0"/>
    <x v="2"/>
    <x v="2"/>
    <n v="1400"/>
    <n v="0.46666666666666667"/>
  </r>
  <r>
    <n v="30"/>
    <n v="15"/>
    <n v="4.9000000000000004"/>
    <x v="0"/>
    <n v="600"/>
    <n v="5"/>
    <x v="18"/>
    <n v="0.9"/>
    <n v="700"/>
    <x v="0"/>
    <x v="0"/>
    <x v="0"/>
    <x v="0"/>
    <x v="5"/>
    <x v="0"/>
    <n v="10500"/>
    <n v="0.5"/>
  </r>
  <r>
    <n v="24"/>
    <n v="11"/>
    <n v="4.5999999999999996"/>
    <x v="1"/>
    <n v="2000"/>
    <n v="4.7"/>
    <x v="10"/>
    <n v="0.9"/>
    <n v="800"/>
    <x v="0"/>
    <x v="0"/>
    <x v="3"/>
    <x v="0"/>
    <x v="5"/>
    <x v="0"/>
    <n v="8800"/>
    <n v="0.45833333333333331"/>
  </r>
  <r>
    <n v="18"/>
    <n v="8"/>
    <n v="4"/>
    <x v="0"/>
    <n v="300"/>
    <n v="4.0999999999999996"/>
    <x v="0"/>
    <n v="0.7"/>
    <n v="200"/>
    <x v="0"/>
    <x v="0"/>
    <x v="0"/>
    <x v="0"/>
    <x v="4"/>
    <x v="0"/>
    <n v="1600"/>
    <n v="0.44444444444444442"/>
  </r>
  <r>
    <n v="32"/>
    <n v="15"/>
    <n v="4.8"/>
    <x v="1"/>
    <n v="800"/>
    <n v="4.9000000000000004"/>
    <x v="13"/>
    <n v="0.9"/>
    <n v="700"/>
    <x v="0"/>
    <x v="0"/>
    <x v="0"/>
    <x v="1"/>
    <x v="5"/>
    <x v="0"/>
    <n v="10500"/>
    <n v="0.46875"/>
  </r>
  <r>
    <n v="5"/>
    <n v="2"/>
    <n v="2.5"/>
    <x v="0"/>
    <n v="5000"/>
    <n v="2.7"/>
    <x v="27"/>
    <n v="-0.1"/>
    <n v="500"/>
    <x v="0"/>
    <x v="1"/>
    <x v="0"/>
    <x v="0"/>
    <x v="7"/>
    <x v="1"/>
    <n v="1000"/>
    <n v="0.4"/>
  </r>
  <r>
    <n v="18"/>
    <n v="8"/>
    <n v="4.0999999999999996"/>
    <x v="1"/>
    <n v="7000"/>
    <n v="4.2"/>
    <x v="9"/>
    <n v="0.8"/>
    <n v="900"/>
    <x v="0"/>
    <x v="0"/>
    <x v="0"/>
    <x v="0"/>
    <x v="0"/>
    <x v="0"/>
    <n v="7200"/>
    <n v="0.44444444444444442"/>
  </r>
  <r>
    <n v="14"/>
    <n v="7"/>
    <n v="3.8"/>
    <x v="0"/>
    <n v="300"/>
    <n v="4"/>
    <x v="6"/>
    <n v="0.6"/>
    <n v="200"/>
    <x v="0"/>
    <x v="0"/>
    <x v="3"/>
    <x v="2"/>
    <x v="2"/>
    <x v="2"/>
    <n v="1400"/>
    <n v="0.5"/>
  </r>
  <r>
    <n v="7"/>
    <n v="3"/>
    <n v="3"/>
    <x v="1"/>
    <n v="400"/>
    <n v="3.1"/>
    <x v="20"/>
    <n v="0.1"/>
    <n v="300"/>
    <x v="0"/>
    <x v="0"/>
    <x v="3"/>
    <x v="0"/>
    <x v="3"/>
    <x v="1"/>
    <n v="900"/>
    <n v="0.42857142857142855"/>
  </r>
  <r>
    <n v="23"/>
    <n v="11"/>
    <n v="4.3"/>
    <x v="0"/>
    <n v="800"/>
    <n v="4.5"/>
    <x v="5"/>
    <n v="0.7"/>
    <n v="400"/>
    <x v="0"/>
    <x v="0"/>
    <x v="3"/>
    <x v="0"/>
    <x v="4"/>
    <x v="0"/>
    <n v="4400"/>
    <n v="0.47826086956521741"/>
  </r>
  <r>
    <n v="12"/>
    <n v="6"/>
    <n v="3.3"/>
    <x v="1"/>
    <n v="2000"/>
    <n v="3.5"/>
    <x v="18"/>
    <n v="0.5"/>
    <n v="500"/>
    <x v="0"/>
    <x v="1"/>
    <x v="0"/>
    <x v="1"/>
    <x v="8"/>
    <x v="2"/>
    <n v="3000"/>
    <n v="0.5"/>
  </r>
  <r>
    <n v="27"/>
    <n v="13"/>
    <n v="4.5999999999999996"/>
    <x v="0"/>
    <n v="1000"/>
    <n v="4.7"/>
    <x v="22"/>
    <n v="0.9"/>
    <n v="800"/>
    <x v="0"/>
    <x v="0"/>
    <x v="3"/>
    <x v="0"/>
    <x v="5"/>
    <x v="0"/>
    <n v="10400"/>
    <n v="0.48148148148148145"/>
  </r>
  <r>
    <n v="10"/>
    <n v="5"/>
    <n v="3.1"/>
    <x v="1"/>
    <n v="5000"/>
    <n v="3.2"/>
    <x v="12"/>
    <n v="0"/>
    <n v="600"/>
    <x v="0"/>
    <x v="1"/>
    <x v="3"/>
    <x v="2"/>
    <x v="3"/>
    <x v="1"/>
    <n v="3000"/>
    <n v="0.5"/>
  </r>
  <r>
    <n v="36"/>
    <n v="17"/>
    <n v="4.8"/>
    <x v="0"/>
    <n v="200"/>
    <n v="4.9000000000000004"/>
    <x v="7"/>
    <n v="0.9"/>
    <n v="700"/>
    <x v="0"/>
    <x v="0"/>
    <x v="0"/>
    <x v="0"/>
    <x v="5"/>
    <x v="0"/>
    <n v="11900"/>
    <n v="0.47222222222222221"/>
  </r>
  <r>
    <n v="16"/>
    <n v="8"/>
    <n v="3.8"/>
    <x v="1"/>
    <n v="900"/>
    <n v="4"/>
    <x v="3"/>
    <n v="0.7"/>
    <n v="200"/>
    <x v="0"/>
    <x v="0"/>
    <x v="3"/>
    <x v="0"/>
    <x v="4"/>
    <x v="0"/>
    <n v="1600"/>
    <n v="0.5"/>
  </r>
  <r>
    <n v="8"/>
    <n v="4"/>
    <n v="3.2"/>
    <x v="0"/>
    <n v="3000"/>
    <n v="3.4"/>
    <x v="28"/>
    <n v="0.2"/>
    <n v="400"/>
    <x v="0"/>
    <x v="0"/>
    <x v="0"/>
    <x v="0"/>
    <x v="6"/>
    <x v="1"/>
    <n v="1600"/>
    <n v="0.5"/>
  </r>
  <r>
    <n v="31"/>
    <n v="15"/>
    <n v="4.7"/>
    <x v="1"/>
    <n v="600"/>
    <n v="4.8"/>
    <x v="18"/>
    <n v="0.9"/>
    <n v="700"/>
    <x v="0"/>
    <x v="0"/>
    <x v="0"/>
    <x v="0"/>
    <x v="5"/>
    <x v="0"/>
    <n v="10500"/>
    <n v="0.4838709677419355"/>
  </r>
  <r>
    <n v="20"/>
    <n v="10"/>
    <n v="4.3"/>
    <x v="0"/>
    <n v="1000"/>
    <n v="4.4000000000000004"/>
    <x v="1"/>
    <n v="0.8"/>
    <n v="300"/>
    <x v="0"/>
    <x v="0"/>
    <x v="3"/>
    <x v="0"/>
    <x v="0"/>
    <x v="0"/>
    <n v="3000"/>
    <n v="0.5"/>
  </r>
  <r>
    <n v="11"/>
    <n v="5"/>
    <n v="3.2"/>
    <x v="1"/>
    <n v="4000"/>
    <n v="3.4"/>
    <x v="20"/>
    <n v="0.1"/>
    <n v="500"/>
    <x v="0"/>
    <x v="1"/>
    <x v="0"/>
    <x v="0"/>
    <x v="1"/>
    <x v="1"/>
    <n v="2500"/>
    <n v="0.45454545454545453"/>
  </r>
  <r>
    <n v="28"/>
    <n v="14"/>
    <n v="4.7"/>
    <x v="0"/>
    <n v="200"/>
    <n v="4.8"/>
    <x v="15"/>
    <n v="0.9"/>
    <n v="800"/>
    <x v="0"/>
    <x v="0"/>
    <x v="0"/>
    <x v="1"/>
    <x v="5"/>
    <x v="0"/>
    <n v="11200"/>
    <n v="0.5"/>
  </r>
  <r>
    <n v="15"/>
    <n v="8"/>
    <n v="3.9"/>
    <x v="1"/>
    <n v="500"/>
    <n v="4.0999999999999996"/>
    <x v="5"/>
    <n v="0.7"/>
    <n v="200"/>
    <x v="0"/>
    <x v="0"/>
    <x v="3"/>
    <x v="0"/>
    <x v="4"/>
    <x v="0"/>
    <n v="1600"/>
    <n v="0.53333333333333333"/>
  </r>
  <r>
    <n v="9"/>
    <n v="4"/>
    <n v="2.9"/>
    <x v="0"/>
    <n v="3000"/>
    <n v="3.1"/>
    <x v="6"/>
    <n v="0"/>
    <n v="600"/>
    <x v="0"/>
    <x v="1"/>
    <x v="3"/>
    <x v="1"/>
    <x v="3"/>
    <x v="1"/>
    <n v="2400"/>
    <n v="0.44444444444444442"/>
  </r>
  <r>
    <n v="24"/>
    <n v="12"/>
    <n v="4.5"/>
    <x v="1"/>
    <n v="900"/>
    <n v="4.5999999999999996"/>
    <x v="9"/>
    <n v="0.8"/>
    <n v="300"/>
    <x v="0"/>
    <x v="0"/>
    <x v="0"/>
    <x v="0"/>
    <x v="0"/>
    <x v="0"/>
    <n v="3600"/>
    <n v="0.5"/>
  </r>
  <r>
    <n v="13"/>
    <n v="7"/>
    <n v="3.7"/>
    <x v="0"/>
    <n v="100"/>
    <n v="3.8"/>
    <x v="29"/>
    <n v="0.6"/>
    <n v="200"/>
    <x v="0"/>
    <x v="0"/>
    <x v="3"/>
    <x v="2"/>
    <x v="2"/>
    <x v="2"/>
    <n v="1400"/>
    <n v="0.53846153846153844"/>
  </r>
  <r>
    <n v="6"/>
    <n v="3"/>
    <n v="2.9"/>
    <x v="1"/>
    <n v="6000"/>
    <n v="3.1"/>
    <x v="18"/>
    <n v="0"/>
    <n v="500"/>
    <x v="0"/>
    <x v="1"/>
    <x v="0"/>
    <x v="0"/>
    <x v="3"/>
    <x v="1"/>
    <n v="1500"/>
    <n v="0.5"/>
  </r>
  <r>
    <n v="21"/>
    <n v="11"/>
    <n v="4.4000000000000004"/>
    <x v="0"/>
    <n v="500"/>
    <n v="4.5999999999999996"/>
    <x v="24"/>
    <n v="0.7"/>
    <n v="400"/>
    <x v="0"/>
    <x v="0"/>
    <x v="3"/>
    <x v="0"/>
    <x v="4"/>
    <x v="0"/>
    <n v="4400"/>
    <n v="0.52380952380952384"/>
  </r>
  <r>
    <n v="32"/>
    <n v="16"/>
    <n v="4.8"/>
    <x v="1"/>
    <n v="2000"/>
    <n v="4.9000000000000004"/>
    <x v="12"/>
    <n v="0.9"/>
    <n v="700"/>
    <x v="0"/>
    <x v="0"/>
    <x v="0"/>
    <x v="0"/>
    <x v="5"/>
    <x v="0"/>
    <n v="11200"/>
    <n v="0.5"/>
  </r>
  <r>
    <n v="17"/>
    <n v="9"/>
    <n v="4.0999999999999996"/>
    <x v="0"/>
    <n v="400"/>
    <n v="4.2"/>
    <x v="2"/>
    <n v="0.8"/>
    <n v="200"/>
    <x v="0"/>
    <x v="0"/>
    <x v="3"/>
    <x v="2"/>
    <x v="0"/>
    <x v="0"/>
    <n v="1800"/>
    <n v="0.52941176470588236"/>
  </r>
  <r>
    <n v="25"/>
    <n v="13"/>
    <n v="4.5999999999999996"/>
    <x v="1"/>
    <n v="300"/>
    <n v="4.7"/>
    <x v="5"/>
    <n v="0.9"/>
    <n v="800"/>
    <x v="0"/>
    <x v="0"/>
    <x v="0"/>
    <x v="0"/>
    <x v="5"/>
    <x v="0"/>
    <n v="10400"/>
    <n v="0.52"/>
  </r>
  <r>
    <n v="19"/>
    <n v="9"/>
    <n v="4.2"/>
    <x v="0"/>
    <n v="200"/>
    <n v="4.3"/>
    <x v="15"/>
    <n v="0.8"/>
    <n v="300"/>
    <x v="0"/>
    <x v="0"/>
    <x v="3"/>
    <x v="0"/>
    <x v="0"/>
    <x v="0"/>
    <n v="2700"/>
    <n v="0.47368421052631576"/>
  </r>
  <r>
    <n v="34"/>
    <n v="17"/>
    <n v="4.9000000000000004"/>
    <x v="1"/>
    <n v="7000"/>
    <n v="5"/>
    <x v="4"/>
    <n v="0.9"/>
    <n v="900"/>
    <x v="0"/>
    <x v="1"/>
    <x v="0"/>
    <x v="1"/>
    <x v="5"/>
    <x v="0"/>
    <n v="15300"/>
    <n v="0.5"/>
  </r>
  <r>
    <n v="22"/>
    <n v="11"/>
    <n v="4.5"/>
    <x v="0"/>
    <n v="1000"/>
    <n v="4.7"/>
    <x v="18"/>
    <n v="0.8"/>
    <n v="400"/>
    <x v="0"/>
    <x v="0"/>
    <x v="0"/>
    <x v="0"/>
    <x v="0"/>
    <x v="0"/>
    <n v="4400"/>
    <n v="0.5"/>
  </r>
  <r>
    <n v="16"/>
    <n v="8"/>
    <n v="3.8"/>
    <x v="1"/>
    <n v="400"/>
    <n v="4"/>
    <x v="3"/>
    <n v="0.7"/>
    <n v="200"/>
    <x v="0"/>
    <x v="0"/>
    <x v="3"/>
    <x v="0"/>
    <x v="4"/>
    <x v="0"/>
    <n v="1600"/>
    <n v="0.5"/>
  </r>
  <r>
    <n v="10"/>
    <n v="5"/>
    <n v="3.1"/>
    <x v="0"/>
    <n v="5000"/>
    <n v="3.2"/>
    <x v="12"/>
    <n v="0"/>
    <n v="600"/>
    <x v="0"/>
    <x v="1"/>
    <x v="3"/>
    <x v="2"/>
    <x v="3"/>
    <x v="1"/>
    <n v="3000"/>
    <n v="0.5"/>
  </r>
  <r>
    <n v="27"/>
    <n v="13"/>
    <n v="4.5999999999999996"/>
    <x v="0"/>
    <n v="1000"/>
    <n v="4.8"/>
    <x v="6"/>
    <n v="0.9"/>
    <n v="800"/>
    <x v="0"/>
    <x v="0"/>
    <x v="3"/>
    <x v="0"/>
    <x v="5"/>
    <x v="0"/>
    <n v="10400"/>
    <n v="0.48148148148148145"/>
  </r>
  <r>
    <n v="7"/>
    <n v="3"/>
    <n v="2.9"/>
    <x v="1"/>
    <n v="4000"/>
    <n v="3.1"/>
    <x v="13"/>
    <n v="0"/>
    <n v="500"/>
    <x v="0"/>
    <x v="1"/>
    <x v="0"/>
    <x v="0"/>
    <x v="3"/>
    <x v="1"/>
    <n v="1500"/>
    <n v="0.42857142857142855"/>
  </r>
  <r>
    <n v="23"/>
    <n v="11"/>
    <n v="4.4000000000000004"/>
    <x v="0"/>
    <n v="800"/>
    <n v="4.5999999999999996"/>
    <x v="5"/>
    <n v="0.7"/>
    <n v="400"/>
    <x v="0"/>
    <x v="0"/>
    <x v="3"/>
    <x v="0"/>
    <x v="4"/>
    <x v="0"/>
    <n v="4400"/>
    <n v="0.47826086956521741"/>
  </r>
  <r>
    <n v="28"/>
    <n v="14"/>
    <n v="4.7"/>
    <x v="0"/>
    <n v="100"/>
    <n v="4.8"/>
    <x v="15"/>
    <n v="0.9"/>
    <n v="800"/>
    <x v="0"/>
    <x v="0"/>
    <x v="0"/>
    <x v="1"/>
    <x v="5"/>
    <x v="0"/>
    <n v="11200"/>
    <n v="0.5"/>
  </r>
  <r>
    <n v="9"/>
    <n v="4"/>
    <n v="2.9"/>
    <x v="0"/>
    <n v="3000"/>
    <n v="3.1"/>
    <x v="18"/>
    <n v="0"/>
    <n v="600"/>
    <x v="0"/>
    <x v="1"/>
    <x v="0"/>
    <x v="0"/>
    <x v="3"/>
    <x v="1"/>
    <n v="2400"/>
    <n v="0.44444444444444442"/>
  </r>
  <r>
    <n v="5"/>
    <n v="2"/>
    <n v="2.2999999999999998"/>
    <x v="0"/>
    <n v="100"/>
    <n v="2.5"/>
    <x v="3"/>
    <n v="-0.7"/>
    <n v="100"/>
    <x v="0"/>
    <x v="0"/>
    <x v="3"/>
    <x v="0"/>
    <x v="3"/>
    <x v="1"/>
    <n v="200"/>
    <n v="0.4"/>
  </r>
  <r>
    <n v="42"/>
    <n v="21"/>
    <n v="4.9000000000000004"/>
    <x v="1"/>
    <n v="2000"/>
    <n v="5"/>
    <x v="4"/>
    <n v="0.9"/>
    <n v="900"/>
    <x v="0"/>
    <x v="0"/>
    <x v="0"/>
    <x v="1"/>
    <x v="5"/>
    <x v="0"/>
    <n v="18900"/>
    <n v="0.5"/>
  </r>
  <r>
    <n v="14"/>
    <n v="7"/>
    <n v="3.5"/>
    <x v="0"/>
    <n v="300"/>
    <n v="3.7"/>
    <x v="27"/>
    <n v="0.5"/>
    <n v="100"/>
    <x v="0"/>
    <x v="1"/>
    <x v="1"/>
    <x v="0"/>
    <x v="2"/>
    <x v="2"/>
    <n v="700"/>
    <n v="0.5"/>
  </r>
  <r>
    <n v="7"/>
    <n v="4"/>
    <n v="3.1"/>
    <x v="1"/>
    <n v="7000"/>
    <n v="3.3"/>
    <x v="12"/>
    <n v="-0.2"/>
    <n v="1000"/>
    <x v="1"/>
    <x v="1"/>
    <x v="3"/>
    <x v="0"/>
    <x v="11"/>
    <x v="2"/>
    <n v="4000"/>
    <n v="0.5714285714285714"/>
  </r>
  <r>
    <n v="20"/>
    <n v="10"/>
    <n v="4.4000000000000004"/>
    <x v="0"/>
    <n v="100"/>
    <n v="4.5999999999999996"/>
    <x v="5"/>
    <n v="0.7"/>
    <n v="400"/>
    <x v="0"/>
    <x v="0"/>
    <x v="3"/>
    <x v="0"/>
    <x v="4"/>
    <x v="0"/>
    <n v="4000"/>
    <n v="0.5"/>
  </r>
  <r>
    <n v="30"/>
    <n v="15"/>
    <n v="4.7"/>
    <x v="1"/>
    <n v="800"/>
    <n v="4.9000000000000004"/>
    <x v="6"/>
    <n v="0.9"/>
    <n v="700"/>
    <x v="0"/>
    <x v="0"/>
    <x v="0"/>
    <x v="0"/>
    <x v="5"/>
    <x v="0"/>
    <n v="10500"/>
    <n v="0.5"/>
  </r>
  <r>
    <n v="16"/>
    <n v="9"/>
    <n v="4.2"/>
    <x v="0"/>
    <n v="5000"/>
    <n v="4.4000000000000004"/>
    <x v="12"/>
    <n v="0.7"/>
    <n v="600"/>
    <x v="0"/>
    <x v="1"/>
    <x v="3"/>
    <x v="2"/>
    <x v="0"/>
    <x v="0"/>
    <n v="5400"/>
    <n v="0.5625"/>
  </r>
  <r>
    <n v="21"/>
    <n v="12"/>
    <n v="4.8"/>
    <x v="1"/>
    <n v="1000"/>
    <n v="5"/>
    <x v="18"/>
    <n v="0.9"/>
    <n v="800"/>
    <x v="0"/>
    <x v="1"/>
    <x v="0"/>
    <x v="1"/>
    <x v="5"/>
    <x v="0"/>
    <n v="9600"/>
    <n v="0.5714285714285714"/>
  </r>
  <r>
    <n v="11"/>
    <n v="6"/>
    <n v="3.6"/>
    <x v="0"/>
    <n v="4000"/>
    <n v="3.8"/>
    <x v="9"/>
    <n v="0.3"/>
    <n v="500"/>
    <x v="0"/>
    <x v="1"/>
    <x v="3"/>
    <x v="2"/>
    <x v="12"/>
    <x v="2"/>
    <n v="3000"/>
    <n v="0.54545454545454541"/>
  </r>
  <r>
    <n v="33"/>
    <n v="17"/>
    <n v="4.9000000000000004"/>
    <x v="1"/>
    <n v="600"/>
    <n v="5"/>
    <x v="18"/>
    <n v="0.9"/>
    <n v="700"/>
    <x v="0"/>
    <x v="0"/>
    <x v="0"/>
    <x v="0"/>
    <x v="5"/>
    <x v="0"/>
    <n v="11900"/>
    <n v="0.51515151515151514"/>
  </r>
  <r>
    <n v="25"/>
    <n v="12"/>
    <n v="4.4000000000000004"/>
    <x v="0"/>
    <n v="300"/>
    <n v="4.5999999999999996"/>
    <x v="5"/>
    <n v="0.8"/>
    <n v="400"/>
    <x v="0"/>
    <x v="0"/>
    <x v="3"/>
    <x v="0"/>
    <x v="0"/>
    <x v="0"/>
    <n v="4800"/>
    <n v="0.48"/>
  </r>
  <r>
    <n v="18"/>
    <n v="9"/>
    <n v="4.3"/>
    <x v="1"/>
    <n v="7000"/>
    <n v="4.5"/>
    <x v="12"/>
    <n v="0.8"/>
    <n v="800"/>
    <x v="0"/>
    <x v="1"/>
    <x v="3"/>
    <x v="2"/>
    <x v="5"/>
    <x v="0"/>
    <n v="7200"/>
    <n v="0.5"/>
  </r>
  <r>
    <n v="22"/>
    <n v="13"/>
    <n v="4.5999999999999996"/>
    <x v="0"/>
    <n v="2000"/>
    <n v="4.8"/>
    <x v="24"/>
    <n v="0.9"/>
    <n v="900"/>
    <x v="0"/>
    <x v="0"/>
    <x v="0"/>
    <x v="0"/>
    <x v="5"/>
    <x v="0"/>
    <n v="11700"/>
    <n v="0.59090909090909094"/>
  </r>
  <r>
    <n v="10"/>
    <n v="5"/>
    <n v="3"/>
    <x v="1"/>
    <n v="100"/>
    <n v="3.2"/>
    <x v="1"/>
    <n v="0"/>
    <n v="200"/>
    <x v="0"/>
    <x v="1"/>
    <x v="3"/>
    <x v="0"/>
    <x v="3"/>
    <x v="1"/>
    <n v="1000"/>
    <n v="0.5"/>
  </r>
  <r>
    <n v="27"/>
    <n v="13"/>
    <n v="4.5999999999999996"/>
    <x v="0"/>
    <n v="300"/>
    <n v="4.8"/>
    <x v="5"/>
    <n v="0.9"/>
    <n v="800"/>
    <x v="0"/>
    <x v="0"/>
    <x v="3"/>
    <x v="0"/>
    <x v="5"/>
    <x v="0"/>
    <n v="10400"/>
    <n v="0.48148148148148145"/>
  </r>
  <r>
    <n v="15"/>
    <n v="8"/>
    <n v="3.9"/>
    <x v="1"/>
    <n v="4000"/>
    <n v="4.0999999999999996"/>
    <x v="6"/>
    <n v="0.7"/>
    <n v="600"/>
    <x v="0"/>
    <x v="1"/>
    <x v="0"/>
    <x v="1"/>
    <x v="4"/>
    <x v="0"/>
    <n v="4800"/>
    <n v="0.53333333333333333"/>
  </r>
  <r>
    <n v="19"/>
    <n v="10"/>
    <n v="4.3"/>
    <x v="0"/>
    <n v="600"/>
    <n v="4.5"/>
    <x v="3"/>
    <n v="0.8"/>
    <n v="700"/>
    <x v="0"/>
    <x v="1"/>
    <x v="3"/>
    <x v="2"/>
    <x v="5"/>
    <x v="0"/>
    <n v="7000"/>
    <n v="0.52631578947368418"/>
  </r>
  <r>
    <n v="23"/>
    <n v="14"/>
    <n v="4.7"/>
    <x v="1"/>
    <n v="1000"/>
    <n v="4.9000000000000004"/>
    <x v="18"/>
    <n v="0.9"/>
    <n v="800"/>
    <x v="0"/>
    <x v="0"/>
    <x v="0"/>
    <x v="0"/>
    <x v="5"/>
    <x v="0"/>
    <n v="11200"/>
    <n v="0.60869565217391308"/>
  </r>
  <r>
    <n v="13"/>
    <n v="7"/>
    <n v="3.7"/>
    <x v="0"/>
    <n v="400"/>
    <n v="3.8"/>
    <x v="29"/>
    <n v="0.6"/>
    <n v="200"/>
    <x v="0"/>
    <x v="0"/>
    <x v="3"/>
    <x v="2"/>
    <x v="2"/>
    <x v="2"/>
    <n v="1400"/>
    <n v="0.53846153846153844"/>
  </r>
  <r>
    <n v="28"/>
    <n v="15"/>
    <n v="4.8"/>
    <x v="1"/>
    <n v="500"/>
    <n v="5"/>
    <x v="4"/>
    <n v="0.9"/>
    <n v="900"/>
    <x v="0"/>
    <x v="1"/>
    <x v="3"/>
    <x v="0"/>
    <x v="5"/>
    <x v="0"/>
    <n v="13500"/>
    <n v="0.5357142857142857"/>
  </r>
  <r>
    <n v="17"/>
    <n v="9"/>
    <n v="4.2"/>
    <x v="0"/>
    <n v="200"/>
    <n v="4.4000000000000004"/>
    <x v="9"/>
    <n v="0.8"/>
    <n v="300"/>
    <x v="0"/>
    <x v="0"/>
    <x v="0"/>
    <x v="0"/>
    <x v="0"/>
    <x v="0"/>
    <n v="2700"/>
    <n v="0.52941176470588236"/>
  </r>
  <r>
    <n v="31"/>
    <n v="16"/>
    <n v="4.8"/>
    <x v="1"/>
    <n v="800"/>
    <n v="5"/>
    <x v="6"/>
    <n v="0.9"/>
    <n v="700"/>
    <x v="0"/>
    <x v="0"/>
    <x v="0"/>
    <x v="0"/>
    <x v="5"/>
    <x v="0"/>
    <n v="11200"/>
    <n v="0.5161290322580645"/>
  </r>
  <r>
    <n v="12"/>
    <n v="6"/>
    <n v="3.5"/>
    <x v="0"/>
    <n v="5000"/>
    <n v="3.7"/>
    <x v="24"/>
    <n v="0.4"/>
    <n v="600"/>
    <x v="0"/>
    <x v="1"/>
    <x v="3"/>
    <x v="2"/>
    <x v="8"/>
    <x v="2"/>
    <n v="3600"/>
    <n v="0.5"/>
  </r>
  <r>
    <n v="26"/>
    <n v="13"/>
    <n v="4.5"/>
    <x v="1"/>
    <n v="300"/>
    <n v="4.7"/>
    <x v="5"/>
    <n v="0.8"/>
    <n v="400"/>
    <x v="0"/>
    <x v="0"/>
    <x v="3"/>
    <x v="0"/>
    <x v="0"/>
    <x v="0"/>
    <n v="5200"/>
    <n v="0.5"/>
  </r>
  <r>
    <n v="9"/>
    <n v="5"/>
    <n v="3.2"/>
    <x v="0"/>
    <n v="400"/>
    <n v="3.4"/>
    <x v="32"/>
    <n v="-0.1"/>
    <n v="500"/>
    <x v="0"/>
    <x v="1"/>
    <x v="0"/>
    <x v="0"/>
    <x v="6"/>
    <x v="1"/>
    <n v="2500"/>
    <n v="0.55555555555555558"/>
  </r>
  <r>
    <n v="20"/>
    <n v="11"/>
    <n v="4.4000000000000004"/>
    <x v="1"/>
    <n v="2000"/>
    <n v="4.5999999999999996"/>
    <x v="18"/>
    <n v="0.8"/>
    <n v="700"/>
    <x v="0"/>
    <x v="0"/>
    <x v="0"/>
    <x v="0"/>
    <x v="0"/>
    <x v="0"/>
    <n v="7700"/>
    <n v="0.55000000000000004"/>
  </r>
  <r>
    <n v="14"/>
    <n v="8"/>
    <n v="3.8"/>
    <x v="0"/>
    <n v="1000"/>
    <n v="4"/>
    <x v="15"/>
    <n v="0.7"/>
    <n v="200"/>
    <x v="0"/>
    <x v="0"/>
    <x v="3"/>
    <x v="0"/>
    <x v="4"/>
    <x v="0"/>
    <n v="1600"/>
    <n v="0.5714285714285714"/>
  </r>
  <r>
    <n v="29"/>
    <n v="15"/>
    <n v="4.8"/>
    <x v="1"/>
    <n v="6000"/>
    <n v="5"/>
    <x v="12"/>
    <n v="0.9"/>
    <n v="800"/>
    <x v="0"/>
    <x v="1"/>
    <x v="0"/>
    <x v="0"/>
    <x v="5"/>
    <x v="0"/>
    <n v="12000"/>
    <n v="0.51724137931034486"/>
  </r>
  <r>
    <n v="18"/>
    <n v="10"/>
    <n v="4.3"/>
    <x v="0"/>
    <n v="300"/>
    <n v="4.5"/>
    <x v="5"/>
    <n v="0.8"/>
    <n v="500"/>
    <x v="0"/>
    <x v="0"/>
    <x v="3"/>
    <x v="0"/>
    <x v="0"/>
    <x v="0"/>
    <n v="5000"/>
    <n v="0.55555555555555558"/>
  </r>
  <r>
    <n v="32"/>
    <n v="17"/>
    <n v="4.9000000000000004"/>
    <x v="1"/>
    <n v="700"/>
    <n v="5"/>
    <x v="18"/>
    <n v="0.9"/>
    <n v="900"/>
    <x v="0"/>
    <x v="0"/>
    <x v="0"/>
    <x v="0"/>
    <x v="5"/>
    <x v="0"/>
    <n v="15300"/>
    <n v="0.53125"/>
  </r>
  <r>
    <n v="16"/>
    <n v="9"/>
    <n v="4.2"/>
    <x v="0"/>
    <n v="400"/>
    <n v="4.4000000000000004"/>
    <x v="3"/>
    <n v="0.8"/>
    <n v="300"/>
    <x v="0"/>
    <x v="0"/>
    <x v="3"/>
    <x v="0"/>
    <x v="0"/>
    <x v="0"/>
    <n v="2700"/>
    <n v="0.5625"/>
  </r>
  <r>
    <n v="30"/>
    <n v="16"/>
    <n v="4.8"/>
    <x v="1"/>
    <n v="900"/>
    <n v="5"/>
    <x v="6"/>
    <n v="0.9"/>
    <n v="700"/>
    <x v="0"/>
    <x v="0"/>
    <x v="0"/>
    <x v="0"/>
    <x v="5"/>
    <x v="0"/>
    <n v="11200"/>
    <n v="0.53333333333333333"/>
  </r>
  <r>
    <n v="11"/>
    <n v="6"/>
    <n v="3.5"/>
    <x v="0"/>
    <n v="6000"/>
    <n v="3.7"/>
    <x v="24"/>
    <n v="0.4"/>
    <n v="700"/>
    <x v="0"/>
    <x v="1"/>
    <x v="3"/>
    <x v="2"/>
    <x v="8"/>
    <x v="2"/>
    <n v="4200"/>
    <n v="0.54545454545454541"/>
  </r>
  <r>
    <n v="25"/>
    <n v="13"/>
    <n v="4.5"/>
    <x v="1"/>
    <n v="400"/>
    <n v="4.7"/>
    <x v="5"/>
    <n v="0.8"/>
    <n v="400"/>
    <x v="0"/>
    <x v="0"/>
    <x v="3"/>
    <x v="0"/>
    <x v="0"/>
    <x v="0"/>
    <n v="5200"/>
    <n v="0.52"/>
  </r>
  <r>
    <n v="8"/>
    <n v="5"/>
    <n v="3.2"/>
    <x v="0"/>
    <n v="500"/>
    <n v="3.4"/>
    <x v="32"/>
    <n v="-0.1"/>
    <n v="600"/>
    <x v="0"/>
    <x v="1"/>
    <x v="0"/>
    <x v="0"/>
    <x v="6"/>
    <x v="1"/>
    <n v="3000"/>
    <n v="0.625"/>
  </r>
  <r>
    <n v="21"/>
    <n v="12"/>
    <n v="4.5999999999999996"/>
    <x v="1"/>
    <n v="3000"/>
    <n v="4.8"/>
    <x v="4"/>
    <n v="0.9"/>
    <n v="800"/>
    <x v="0"/>
    <x v="1"/>
    <x v="3"/>
    <x v="0"/>
    <x v="5"/>
    <x v="0"/>
    <n v="9600"/>
    <n v="0.5714285714285714"/>
  </r>
  <r>
    <n v="15"/>
    <n v="9"/>
    <n v="4"/>
    <x v="0"/>
    <n v="200"/>
    <n v="4.2"/>
    <x v="9"/>
    <n v="0.7"/>
    <n v="400"/>
    <x v="0"/>
    <x v="0"/>
    <x v="0"/>
    <x v="0"/>
    <x v="4"/>
    <x v="0"/>
    <n v="3600"/>
    <n v="0.6"/>
  </r>
  <r>
    <n v="26"/>
    <n v="14"/>
    <n v="4.7"/>
    <x v="1"/>
    <n v="800"/>
    <n v="4.9000000000000004"/>
    <x v="18"/>
    <n v="0.9"/>
    <n v="900"/>
    <x v="0"/>
    <x v="0"/>
    <x v="0"/>
    <x v="0"/>
    <x v="5"/>
    <x v="0"/>
    <n v="12600"/>
    <n v="0.53846153846153844"/>
  </r>
  <r>
    <n v="10"/>
    <n v="6"/>
    <n v="3.3"/>
    <x v="0"/>
    <n v="700"/>
    <n v="3.5"/>
    <x v="1"/>
    <n v="0.1"/>
    <n v="200"/>
    <x v="0"/>
    <x v="0"/>
    <x v="3"/>
    <x v="0"/>
    <x v="11"/>
    <x v="2"/>
    <n v="1200"/>
    <n v="0.6"/>
  </r>
  <r>
    <n v="18"/>
    <n v="11"/>
    <n v="4.5"/>
    <x v="1"/>
    <n v="4000"/>
    <n v="4.7"/>
    <x v="3"/>
    <n v="0.8"/>
    <n v="500"/>
    <x v="0"/>
    <x v="1"/>
    <x v="0"/>
    <x v="2"/>
    <x v="5"/>
    <x v="0"/>
    <n v="5500"/>
    <n v="0.61111111111111116"/>
  </r>
  <r>
    <n v="33"/>
    <n v="18"/>
    <n v="5"/>
    <x v="0"/>
    <n v="500"/>
    <n v="5"/>
    <x v="6"/>
    <n v="0.9"/>
    <n v="700"/>
    <x v="0"/>
    <x v="0"/>
    <x v="0"/>
    <x v="0"/>
    <x v="5"/>
    <x v="0"/>
    <n v="12600"/>
    <n v="0.54545454545454541"/>
  </r>
  <r>
    <n v="9"/>
    <n v="6"/>
    <n v="3.3"/>
    <x v="1"/>
    <n v="100"/>
    <n v="3.5"/>
    <x v="5"/>
    <n v="0.2"/>
    <n v="400"/>
    <x v="0"/>
    <x v="0"/>
    <x v="3"/>
    <x v="0"/>
    <x v="12"/>
    <x v="2"/>
    <n v="2400"/>
    <n v="0.66666666666666663"/>
  </r>
  <r>
    <n v="24"/>
    <n v="13"/>
    <n v="4.5999999999999996"/>
    <x v="0"/>
    <n v="2000"/>
    <n v="4.8"/>
    <x v="32"/>
    <n v="-0.1"/>
    <n v="600"/>
    <x v="0"/>
    <x v="1"/>
    <x v="0"/>
    <x v="0"/>
    <x v="6"/>
    <x v="1"/>
    <n v="7800"/>
    <n v="0.54166666666666663"/>
  </r>
  <r>
    <n v="16"/>
    <n v="10"/>
    <n v="4.0999999999999996"/>
    <x v="1"/>
    <n v="6000"/>
    <n v="4.3"/>
    <x v="18"/>
    <n v="0.8"/>
    <n v="800"/>
    <x v="0"/>
    <x v="1"/>
    <x v="3"/>
    <x v="2"/>
    <x v="0"/>
    <x v="0"/>
    <n v="8000"/>
    <n v="0.625"/>
  </r>
  <r>
    <n v="29"/>
    <n v="16"/>
    <n v="4.9000000000000004"/>
    <x v="0"/>
    <n v="300"/>
    <n v="5"/>
    <x v="1"/>
    <n v="0.8"/>
    <n v="300"/>
    <x v="0"/>
    <x v="0"/>
    <x v="3"/>
    <x v="0"/>
    <x v="5"/>
    <x v="0"/>
    <n v="4800"/>
    <n v="0.55172413793103448"/>
  </r>
  <r>
    <n v="11"/>
    <n v="7"/>
    <n v="3.7"/>
    <x v="1"/>
    <n v="700"/>
    <n v="3.9"/>
    <x v="29"/>
    <n v="0.5"/>
    <n v="200"/>
    <x v="0"/>
    <x v="1"/>
    <x v="1"/>
    <x v="0"/>
    <x v="2"/>
    <x v="2"/>
    <n v="1400"/>
    <n v="0.63636363636363635"/>
  </r>
  <r>
    <n v="22"/>
    <n v="13"/>
    <n v="4.7"/>
    <x v="0"/>
    <n v="900"/>
    <n v="4.9000000000000004"/>
    <x v="15"/>
    <n v="0.9"/>
    <n v="800"/>
    <x v="0"/>
    <x v="0"/>
    <x v="0"/>
    <x v="1"/>
    <x v="5"/>
    <x v="0"/>
    <n v="10400"/>
    <n v="0.59090909090909094"/>
  </r>
  <r>
    <n v="17"/>
    <n v="10"/>
    <n v="4.4000000000000004"/>
    <x v="1"/>
    <n v="5000"/>
    <n v="4.5999999999999996"/>
    <x v="4"/>
    <n v="0.8"/>
    <n v="600"/>
    <x v="0"/>
    <x v="1"/>
    <x v="3"/>
    <x v="0"/>
    <x v="0"/>
    <x v="0"/>
    <n v="6000"/>
    <n v="0.58823529411764708"/>
  </r>
  <r>
    <n v="31"/>
    <n v="17"/>
    <n v="4.9000000000000004"/>
    <x v="0"/>
    <n v="200"/>
    <n v="5"/>
    <x v="32"/>
    <n v="-0.1"/>
    <n v="700"/>
    <x v="0"/>
    <x v="0"/>
    <x v="0"/>
    <x v="0"/>
    <x v="5"/>
    <x v="0"/>
    <n v="11900"/>
    <n v="0.54838709677419351"/>
  </r>
  <r>
    <n v="14"/>
    <n v="9"/>
    <n v="4"/>
    <x v="1"/>
    <n v="4000"/>
    <n v="4.2"/>
    <x v="18"/>
    <n v="0.7"/>
    <n v="800"/>
    <x v="0"/>
    <x v="1"/>
    <x v="3"/>
    <x v="2"/>
    <x v="0"/>
    <x v="0"/>
    <n v="7200"/>
    <n v="0.6428571428571429"/>
  </r>
  <r>
    <n v="28"/>
    <n v="16"/>
    <n v="4.9000000000000004"/>
    <x v="0"/>
    <n v="400"/>
    <n v="5"/>
    <x v="5"/>
    <n v="0.9"/>
    <n v="900"/>
    <x v="0"/>
    <x v="0"/>
    <x v="3"/>
    <x v="0"/>
    <x v="5"/>
    <x v="0"/>
    <n v="14400"/>
    <n v="0.5714285714285714"/>
  </r>
  <r>
    <n v="12"/>
    <n v="7"/>
    <n v="3.6"/>
    <x v="1"/>
    <n v="1000"/>
    <n v="3.8"/>
    <x v="12"/>
    <n v="0.4"/>
    <n v="200"/>
    <x v="0"/>
    <x v="1"/>
    <x v="3"/>
    <x v="2"/>
    <x v="8"/>
    <x v="2"/>
    <n v="1400"/>
    <n v="0.58333333333333337"/>
  </r>
  <r>
    <n v="25"/>
    <n v="14"/>
    <n v="4.8"/>
    <x v="0"/>
    <n v="800"/>
    <n v="5"/>
    <x v="18"/>
    <n v="0.9"/>
    <n v="1000"/>
    <x v="1"/>
    <x v="1"/>
    <x v="0"/>
    <x v="0"/>
    <x v="5"/>
    <x v="0"/>
    <n v="14000"/>
    <n v="0.56000000000000005"/>
  </r>
  <r>
    <n v="8"/>
    <n v="6"/>
    <n v="3.4"/>
    <x v="1"/>
    <n v="2000"/>
    <n v="3.6"/>
    <x v="3"/>
    <n v="0.3"/>
    <n v="300"/>
    <x v="0"/>
    <x v="0"/>
    <x v="3"/>
    <x v="2"/>
    <x v="8"/>
    <x v="2"/>
    <n v="1800"/>
    <n v="0.75"/>
  </r>
  <r>
    <n v="21"/>
    <n v="13"/>
    <n v="4.7"/>
    <x v="0"/>
    <n v="300"/>
    <n v="4.9000000000000004"/>
    <x v="5"/>
    <n v="0.9"/>
    <n v="800"/>
    <x v="0"/>
    <x v="1"/>
    <x v="0"/>
    <x v="1"/>
    <x v="5"/>
    <x v="0"/>
    <n v="10400"/>
    <n v="0.61904761904761907"/>
  </r>
  <r>
    <n v="15"/>
    <n v="10"/>
    <n v="4.0999999999999996"/>
    <x v="1"/>
    <n v="7000"/>
    <n v="4.3"/>
    <x v="4"/>
    <n v="0.8"/>
    <n v="900"/>
    <x v="0"/>
    <x v="1"/>
    <x v="3"/>
    <x v="0"/>
    <x v="0"/>
    <x v="0"/>
    <n v="9000"/>
    <n v="0.66666666666666663"/>
  </r>
  <r>
    <n v="30"/>
    <n v="17"/>
    <n v="4.9000000000000004"/>
    <x v="0"/>
    <n v="400"/>
    <n v="5"/>
    <x v="1"/>
    <n v="0.9"/>
    <n v="300"/>
    <x v="0"/>
    <x v="0"/>
    <x v="3"/>
    <x v="0"/>
    <x v="5"/>
    <x v="0"/>
    <n v="5100"/>
    <n v="0.56666666666666665"/>
  </r>
  <r>
    <n v="10"/>
    <n v="7"/>
    <n v="3.4"/>
    <x v="1"/>
    <n v="100"/>
    <n v="3.6"/>
    <x v="15"/>
    <n v="0.2"/>
    <n v="400"/>
    <x v="0"/>
    <x v="0"/>
    <x v="0"/>
    <x v="0"/>
    <x v="12"/>
    <x v="2"/>
    <n v="2800"/>
    <n v="0.7"/>
  </r>
  <r>
    <n v="19"/>
    <n v="12"/>
    <n v="4.5999999999999996"/>
    <x v="0"/>
    <n v="2000"/>
    <n v="4.8"/>
    <x v="3"/>
    <n v="0.9"/>
    <n v="500"/>
    <x v="0"/>
    <x v="1"/>
    <x v="0"/>
    <x v="2"/>
    <x v="5"/>
    <x v="0"/>
    <n v="6000"/>
    <n v="0.63157894736842102"/>
  </r>
  <r>
    <n v="34"/>
    <n v="19"/>
    <n v="5"/>
    <x v="1"/>
    <n v="500"/>
    <n v="5"/>
    <x v="18"/>
    <n v="0.9"/>
    <n v="700"/>
    <x v="0"/>
    <x v="0"/>
    <x v="0"/>
    <x v="0"/>
    <x v="5"/>
    <x v="0"/>
    <n v="13300"/>
    <n v="0.55882352941176472"/>
  </r>
  <r>
    <n v="16"/>
    <n v="11"/>
    <n v="4.3"/>
    <x v="0"/>
    <n v="6000"/>
    <n v="4.5"/>
    <x v="6"/>
    <n v="0.8"/>
    <n v="800"/>
    <x v="0"/>
    <x v="1"/>
    <x v="3"/>
    <x v="2"/>
    <x v="0"/>
    <x v="0"/>
    <n v="8800"/>
    <n v="0.6875"/>
  </r>
  <r>
    <n v="29"/>
    <n v="17"/>
    <n v="4.9000000000000004"/>
    <x v="1"/>
    <n v="300"/>
    <n v="5"/>
    <x v="5"/>
    <n v="0.9"/>
    <n v="900"/>
    <x v="0"/>
    <x v="0"/>
    <x v="3"/>
    <x v="0"/>
    <x v="5"/>
    <x v="0"/>
    <n v="15300"/>
    <n v="0.58620689655172409"/>
  </r>
  <r>
    <n v="13"/>
    <n v="8"/>
    <n v="3.9"/>
    <x v="0"/>
    <n v="800"/>
    <n v="4.0999999999999996"/>
    <x v="9"/>
    <n v="0.7"/>
    <n v="200"/>
    <x v="0"/>
    <x v="1"/>
    <x v="0"/>
    <x v="0"/>
    <x v="4"/>
    <x v="0"/>
    <n v="1600"/>
    <n v="0.61538461538461542"/>
  </r>
  <r>
    <n v="22"/>
    <n v="14"/>
    <n v="4.8"/>
    <x v="1"/>
    <n v="1000"/>
    <n v="5"/>
    <x v="18"/>
    <n v="0.9"/>
    <n v="800"/>
    <x v="0"/>
    <x v="1"/>
    <x v="3"/>
    <x v="0"/>
    <x v="5"/>
    <x v="0"/>
    <n v="11200"/>
    <n v="0.63636363636363635"/>
  </r>
  <r>
    <n v="17"/>
    <n v="11"/>
    <n v="4.5"/>
    <x v="0"/>
    <n v="300"/>
    <n v="4.7"/>
    <x v="15"/>
    <n v="0.8"/>
    <n v="400"/>
    <x v="0"/>
    <x v="0"/>
    <x v="0"/>
    <x v="0"/>
    <x v="0"/>
    <x v="0"/>
    <n v="4400"/>
    <n v="0.6470588235294118"/>
  </r>
  <r>
    <n v="32"/>
    <n v="18"/>
    <n v="5"/>
    <x v="1"/>
    <n v="900"/>
    <n v="5"/>
    <x v="4"/>
    <n v="0.9"/>
    <n v="700"/>
    <x v="0"/>
    <x v="0"/>
    <x v="0"/>
    <x v="0"/>
    <x v="5"/>
    <x v="0"/>
    <n v="12600"/>
    <n v="0.5625"/>
  </r>
  <r>
    <n v="18"/>
    <n v="12"/>
    <n v="4.7"/>
    <x v="0"/>
    <n v="100"/>
    <n v="4.9000000000000004"/>
    <x v="32"/>
    <n v="-0.1"/>
    <n v="800"/>
    <x v="0"/>
    <x v="1"/>
    <x v="0"/>
    <x v="0"/>
    <x v="6"/>
    <x v="1"/>
    <n v="9600"/>
    <n v="0.66666666666666663"/>
  </r>
  <r>
    <n v="26"/>
    <n v="15"/>
    <n v="4.8"/>
    <x v="1"/>
    <n v="2000"/>
    <n v="5"/>
    <x v="18"/>
    <n v="0.9"/>
    <n v="900"/>
    <x v="0"/>
    <x v="0"/>
    <x v="0"/>
    <x v="0"/>
    <x v="5"/>
    <x v="0"/>
    <n v="13500"/>
    <n v="0.57692307692307687"/>
  </r>
  <r>
    <n v="11"/>
    <n v="8"/>
    <n v="3.8"/>
    <x v="0"/>
    <n v="4000"/>
    <n v="4"/>
    <x v="29"/>
    <n v="0.6"/>
    <n v="200"/>
    <x v="0"/>
    <x v="1"/>
    <x v="1"/>
    <x v="0"/>
    <x v="4"/>
    <x v="0"/>
    <n v="1600"/>
    <n v="0.72727272727272729"/>
  </r>
  <r>
    <n v="20"/>
    <n v="13"/>
    <n v="4.5"/>
    <x v="1"/>
    <n v="500"/>
    <n v="4.7"/>
    <x v="1"/>
    <n v="0.8"/>
    <n v="300"/>
    <x v="0"/>
    <x v="0"/>
    <x v="3"/>
    <x v="0"/>
    <x v="0"/>
    <x v="0"/>
    <n v="3900"/>
    <n v="0.65"/>
  </r>
  <r>
    <n v="15"/>
    <n v="11"/>
    <n v="4.2"/>
    <x v="0"/>
    <n v="6000"/>
    <n v="4.4000000000000004"/>
    <x v="12"/>
    <n v="0.8"/>
    <n v="800"/>
    <x v="0"/>
    <x v="1"/>
    <x v="3"/>
    <x v="2"/>
    <x v="0"/>
    <x v="0"/>
    <n v="8800"/>
    <n v="0.73333333333333328"/>
  </r>
  <r>
    <n v="30"/>
    <n v="18"/>
    <n v="4.9000000000000004"/>
    <x v="1"/>
    <n v="700"/>
    <n v="5"/>
    <x v="18"/>
    <n v="0.9"/>
    <n v="1000"/>
    <x v="1"/>
    <x v="0"/>
    <x v="0"/>
    <x v="0"/>
    <x v="5"/>
    <x v="0"/>
    <n v="18000"/>
    <n v="0.6"/>
  </r>
  <r>
    <n v="9"/>
    <n v="7"/>
    <n v="3.5"/>
    <x v="0"/>
    <n v="100"/>
    <n v="3.7"/>
    <x v="6"/>
    <n v="0"/>
    <n v="400"/>
    <x v="0"/>
    <x v="1"/>
    <x v="0"/>
    <x v="0"/>
    <x v="3"/>
    <x v="1"/>
    <n v="2800"/>
    <n v="0.77777777777777779"/>
  </r>
  <r>
    <n v="24"/>
    <n v="14"/>
    <n v="4.7"/>
    <x v="1"/>
    <n v="3000"/>
    <n v="4.9000000000000004"/>
    <x v="5"/>
    <n v="0.9"/>
    <n v="900"/>
    <x v="0"/>
    <x v="1"/>
    <x v="0"/>
    <x v="0"/>
    <x v="5"/>
    <x v="0"/>
    <n v="12600"/>
    <n v="0.58333333333333337"/>
  </r>
  <r>
    <n v="16"/>
    <n v="12"/>
    <n v="4.4000000000000004"/>
    <x v="0"/>
    <n v="200"/>
    <n v="4.5999999999999996"/>
    <x v="9"/>
    <n v="0.8"/>
    <n v="500"/>
    <x v="0"/>
    <x v="1"/>
    <x v="3"/>
    <x v="0"/>
    <x v="0"/>
    <x v="0"/>
    <n v="6000"/>
    <n v="0.75"/>
  </r>
  <r>
    <n v="31"/>
    <n v="18"/>
    <n v="4.9000000000000004"/>
    <x v="1"/>
    <n v="5000"/>
    <n v="5"/>
    <x v="18"/>
    <n v="0.9"/>
    <n v="700"/>
    <x v="0"/>
    <x v="0"/>
    <x v="0"/>
    <x v="0"/>
    <x v="5"/>
    <x v="0"/>
    <n v="12600"/>
    <n v="0.58064516129032262"/>
  </r>
  <r>
    <n v="14"/>
    <n v="10"/>
    <n v="4.2"/>
    <x v="0"/>
    <n v="300"/>
    <n v="4.4000000000000004"/>
    <x v="3"/>
    <n v="0.8"/>
    <n v="400"/>
    <x v="0"/>
    <x v="0"/>
    <x v="3"/>
    <x v="0"/>
    <x v="0"/>
    <x v="0"/>
    <n v="4000"/>
    <n v="0.7142857142857143"/>
  </r>
  <r>
    <n v="28"/>
    <n v="17"/>
    <n v="4.9000000000000004"/>
    <x v="1"/>
    <n v="700"/>
    <n v="5"/>
    <x v="4"/>
    <n v="0.9"/>
    <n v="900"/>
    <x v="0"/>
    <x v="0"/>
    <x v="3"/>
    <x v="0"/>
    <x v="5"/>
    <x v="0"/>
    <n v="15300"/>
    <n v="0.6071428571428571"/>
  </r>
  <r>
    <n v="12"/>
    <n v="8"/>
    <n v="3.7"/>
    <x v="0"/>
    <n v="1000"/>
    <n v="3.9"/>
    <x v="15"/>
    <n v="0.5"/>
    <n v="200"/>
    <x v="0"/>
    <x v="0"/>
    <x v="0"/>
    <x v="0"/>
    <x v="4"/>
    <x v="0"/>
    <n v="1600"/>
    <n v="0.66666666666666663"/>
  </r>
  <r>
    <n v="25"/>
    <n v="15"/>
    <n v="4.9000000000000004"/>
    <x v="1"/>
    <n v="800"/>
    <n v="5"/>
    <x v="5"/>
    <n v="0.9"/>
    <n v="400"/>
    <x v="0"/>
    <x v="0"/>
    <x v="3"/>
    <x v="0"/>
    <x v="5"/>
    <x v="0"/>
    <n v="6000"/>
    <n v="0.6"/>
  </r>
  <r>
    <n v="8"/>
    <n v="7"/>
    <n v="3.6"/>
    <x v="0"/>
    <n v="2000"/>
    <n v="3.8"/>
    <x v="32"/>
    <n v="-0.1"/>
    <n v="500"/>
    <x v="0"/>
    <x v="1"/>
    <x v="0"/>
    <x v="0"/>
    <x v="6"/>
    <x v="1"/>
    <n v="3500"/>
    <n v="0.875"/>
  </r>
  <r>
    <n v="21"/>
    <n v="14"/>
    <n v="4.8"/>
    <x v="1"/>
    <n v="300"/>
    <n v="5"/>
    <x v="12"/>
    <n v="0.9"/>
    <n v="800"/>
    <x v="0"/>
    <x v="1"/>
    <x v="3"/>
    <x v="0"/>
    <x v="5"/>
    <x v="0"/>
    <n v="11200"/>
    <n v="0.66666666666666663"/>
  </r>
  <r>
    <n v="15"/>
    <n v="12"/>
    <n v="4.3"/>
    <x v="0"/>
    <n v="7000"/>
    <n v="4.5"/>
    <x v="18"/>
    <n v="0.8"/>
    <n v="900"/>
    <x v="0"/>
    <x v="1"/>
    <x v="3"/>
    <x v="2"/>
    <x v="0"/>
    <x v="0"/>
    <n v="10800"/>
    <n v="0.8"/>
  </r>
  <r>
    <n v="30"/>
    <n v="19"/>
    <n v="5"/>
    <x v="1"/>
    <n v="100"/>
    <n v="5"/>
    <x v="5"/>
    <n v="0.9"/>
    <n v="1000"/>
    <x v="1"/>
    <x v="0"/>
    <x v="3"/>
    <x v="0"/>
    <x v="5"/>
    <x v="0"/>
    <n v="19000"/>
    <n v="0.6333333333333333"/>
  </r>
  <r>
    <n v="10"/>
    <n v="8"/>
    <n v="3.6"/>
    <x v="0"/>
    <n v="1000"/>
    <n v="3.8"/>
    <x v="1"/>
    <n v="0.1"/>
    <n v="300"/>
    <x v="0"/>
    <x v="0"/>
    <x v="3"/>
    <x v="0"/>
    <x v="11"/>
    <x v="2"/>
    <n v="2400"/>
    <n v="0.8"/>
  </r>
  <r>
    <n v="19"/>
    <n v="13"/>
    <n v="4.5999999999999996"/>
    <x v="1"/>
    <n v="2000"/>
    <n v="4.8"/>
    <x v="3"/>
    <n v="0.9"/>
    <n v="500"/>
    <x v="0"/>
    <x v="1"/>
    <x v="0"/>
    <x v="2"/>
    <x v="5"/>
    <x v="0"/>
    <n v="6500"/>
    <n v="0.68421052631578949"/>
  </r>
  <r>
    <n v="34"/>
    <n v="20"/>
    <n v="5"/>
    <x v="0"/>
    <n v="300"/>
    <n v="5"/>
    <x v="6"/>
    <n v="0.9"/>
    <n v="700"/>
    <x v="0"/>
    <x v="0"/>
    <x v="0"/>
    <x v="0"/>
    <x v="5"/>
    <x v="0"/>
    <n v="14000"/>
    <n v="0.58823529411764708"/>
  </r>
  <r>
    <n v="16"/>
    <n v="13"/>
    <n v="4.5"/>
    <x v="1"/>
    <n v="6000"/>
    <n v="4.7"/>
    <x v="18"/>
    <n v="0.8"/>
    <n v="800"/>
    <x v="0"/>
    <x v="1"/>
    <x v="3"/>
    <x v="2"/>
    <x v="0"/>
    <x v="0"/>
    <n v="10400"/>
    <n v="0.8125"/>
  </r>
  <r>
    <n v="29"/>
    <n v="18"/>
    <n v="4.9000000000000004"/>
    <x v="0"/>
    <n v="400"/>
    <n v="5"/>
    <x v="1"/>
    <n v="0.9"/>
    <n v="300"/>
    <x v="0"/>
    <x v="0"/>
    <x v="3"/>
    <x v="0"/>
    <x v="5"/>
    <x v="0"/>
    <n v="5400"/>
    <n v="0.62068965517241381"/>
  </r>
  <r>
    <n v="13"/>
    <n v="9"/>
    <n v="4"/>
    <x v="1"/>
    <n v="900"/>
    <n v="4.2"/>
    <x v="29"/>
    <n v="0.7"/>
    <n v="200"/>
    <x v="0"/>
    <x v="1"/>
    <x v="0"/>
    <x v="0"/>
    <x v="4"/>
    <x v="0"/>
    <n v="1800"/>
    <n v="0.69230769230769229"/>
  </r>
  <r>
    <n v="22"/>
    <n v="15"/>
    <n v="4.9000000000000004"/>
    <x v="0"/>
    <n v="1000"/>
    <n v="5"/>
    <x v="15"/>
    <n v="0.9"/>
    <n v="800"/>
    <x v="0"/>
    <x v="0"/>
    <x v="0"/>
    <x v="1"/>
    <x v="5"/>
    <x v="0"/>
    <n v="12000"/>
    <n v="0.68181818181818177"/>
  </r>
  <r>
    <n v="17"/>
    <n v="12"/>
    <n v="4.5999999999999996"/>
    <x v="1"/>
    <n v="400"/>
    <n v="4.8"/>
    <x v="4"/>
    <n v="0.8"/>
    <n v="400"/>
    <x v="0"/>
    <x v="1"/>
    <x v="3"/>
    <x v="0"/>
    <x v="0"/>
    <x v="0"/>
    <n v="4800"/>
    <n v="0.70588235294117652"/>
  </r>
  <r>
    <n v="32"/>
    <n v="19"/>
    <n v="5"/>
    <x v="0"/>
    <n v="700"/>
    <n v="5"/>
    <x v="18"/>
    <n v="0.9"/>
    <n v="700"/>
    <x v="0"/>
    <x v="0"/>
    <x v="0"/>
    <x v="0"/>
    <x v="5"/>
    <x v="0"/>
    <n v="13300"/>
    <n v="0.59375"/>
  </r>
  <r>
    <n v="18"/>
    <n v="13"/>
    <n v="4.7"/>
    <x v="1"/>
    <n v="800"/>
    <n v="4.9000000000000004"/>
    <x v="5"/>
    <n v="0.9"/>
    <n v="900"/>
    <x v="0"/>
    <x v="1"/>
    <x v="0"/>
    <x v="0"/>
    <x v="5"/>
    <x v="0"/>
    <n v="11700"/>
    <n v="0.72222222222222221"/>
  </r>
  <r>
    <n v="26"/>
    <n v="16"/>
    <n v="4.9000000000000004"/>
    <x v="0"/>
    <n v="200"/>
    <n v="5"/>
    <x v="18"/>
    <n v="0.9"/>
    <n v="1000"/>
    <x v="1"/>
    <x v="1"/>
    <x v="0"/>
    <x v="0"/>
    <x v="5"/>
    <x v="0"/>
    <n v="16000"/>
    <n v="0.61538461538461542"/>
  </r>
  <r>
    <n v="11"/>
    <n v="9"/>
    <n v="3.9"/>
    <x v="1"/>
    <n v="5000"/>
    <n v="4.0999999999999996"/>
    <x v="6"/>
    <n v="0.7"/>
    <n v="300"/>
    <x v="0"/>
    <x v="1"/>
    <x v="3"/>
    <x v="0"/>
    <x v="0"/>
    <x v="0"/>
    <n v="2700"/>
    <n v="0.81818181818181823"/>
  </r>
  <r>
    <n v="20"/>
    <n v="14"/>
    <n v="4.5999999999999996"/>
    <x v="0"/>
    <n v="300"/>
    <n v="4.8"/>
    <x v="1"/>
    <n v="0.8"/>
    <n v="500"/>
    <x v="0"/>
    <x v="1"/>
    <x v="3"/>
    <x v="0"/>
    <x v="0"/>
    <x v="0"/>
    <n v="7000"/>
    <n v="0.7"/>
  </r>
  <r>
    <n v="15"/>
    <n v="13"/>
    <n v="4.4000000000000004"/>
    <x v="1"/>
    <n v="7000"/>
    <n v="4.5999999999999996"/>
    <x v="18"/>
    <n v="0.8"/>
    <n v="900"/>
    <x v="0"/>
    <x v="1"/>
    <x v="3"/>
    <x v="2"/>
    <x v="0"/>
    <x v="0"/>
    <n v="11700"/>
    <n v="0.8666666666666667"/>
  </r>
  <r>
    <n v="30"/>
    <n v="20"/>
    <n v="5"/>
    <x v="0"/>
    <n v="100"/>
    <n v="5"/>
    <x v="5"/>
    <n v="0.9"/>
    <n v="1000"/>
    <x v="1"/>
    <x v="0"/>
    <x v="3"/>
    <x v="0"/>
    <x v="5"/>
    <x v="0"/>
    <n v="20000"/>
    <n v="0.66666666666666663"/>
  </r>
  <r>
    <n v="9"/>
    <n v="8"/>
    <n v="3.7"/>
    <x v="1"/>
    <n v="2000"/>
    <n v="3.9"/>
    <x v="3"/>
    <n v="0.4"/>
    <n v="400"/>
    <x v="0"/>
    <x v="1"/>
    <x v="3"/>
    <x v="2"/>
    <x v="2"/>
    <x v="2"/>
    <n v="3200"/>
    <n v="0.88888888888888884"/>
  </r>
  <r>
    <n v="24"/>
    <n v="15"/>
    <n v="4.8"/>
    <x v="0"/>
    <n v="400"/>
    <n v="5"/>
    <x v="15"/>
    <n v="0.9"/>
    <n v="800"/>
    <x v="0"/>
    <x v="0"/>
    <x v="0"/>
    <x v="1"/>
    <x v="5"/>
    <x v="0"/>
    <n v="12000"/>
    <n v="0.625"/>
  </r>
  <r>
    <n v="16"/>
    <n v="14"/>
    <n v="4.5999999999999996"/>
    <x v="1"/>
    <n v="6000"/>
    <n v="4.8"/>
    <x v="18"/>
    <n v="0.8"/>
    <n v="800"/>
    <x v="0"/>
    <x v="1"/>
    <x v="3"/>
    <x v="2"/>
    <x v="0"/>
    <x v="0"/>
    <n v="11200"/>
    <n v="0.875"/>
  </r>
  <r>
    <n v="11"/>
    <n v="10"/>
    <n v="4"/>
    <x v="0"/>
    <n v="300"/>
    <n v="4.2"/>
    <x v="2"/>
    <n v="0.7"/>
    <n v="500"/>
    <x v="0"/>
    <x v="1"/>
    <x v="3"/>
    <x v="2"/>
    <x v="0"/>
    <x v="0"/>
    <n v="5000"/>
    <n v="0.90909090909090906"/>
  </r>
  <r>
    <n v="29"/>
    <n v="19"/>
    <n v="4.9000000000000004"/>
    <x v="1"/>
    <n v="700"/>
    <n v="5"/>
    <x v="5"/>
    <n v="0.9"/>
    <n v="1000"/>
    <x v="1"/>
    <x v="0"/>
    <x v="3"/>
    <x v="0"/>
    <x v="5"/>
    <x v="0"/>
    <n v="19000"/>
    <n v="0.65517241379310343"/>
  </r>
  <r>
    <n v="13"/>
    <n v="10"/>
    <n v="3.8"/>
    <x v="0"/>
    <n v="900"/>
    <n v="4"/>
    <x v="29"/>
    <n v="0.7"/>
    <n v="200"/>
    <x v="0"/>
    <x v="1"/>
    <x v="0"/>
    <x v="0"/>
    <x v="4"/>
    <x v="0"/>
    <n v="2000"/>
    <n v="0.76923076923076927"/>
  </r>
  <r>
    <n v="22"/>
    <n v="16"/>
    <n v="5"/>
    <x v="1"/>
    <n v="1000"/>
    <n v="5"/>
    <x v="15"/>
    <n v="0.9"/>
    <n v="800"/>
    <x v="0"/>
    <x v="0"/>
    <x v="0"/>
    <x v="1"/>
    <x v="5"/>
    <x v="0"/>
    <n v="12800"/>
    <n v="0.72727272727272729"/>
  </r>
  <r>
    <n v="17"/>
    <n v="13"/>
    <n v="4.7"/>
    <x v="1"/>
    <n v="400"/>
    <n v="4.9000000000000004"/>
    <x v="4"/>
    <n v="0.9"/>
    <n v="500"/>
    <x v="0"/>
    <x v="1"/>
    <x v="3"/>
    <x v="0"/>
    <x v="5"/>
    <x v="0"/>
    <n v="6500"/>
    <n v="0.76470588235294112"/>
  </r>
  <r>
    <n v="32"/>
    <n v="20"/>
    <n v="5"/>
    <x v="0"/>
    <n v="700"/>
    <n v="5"/>
    <x v="18"/>
    <n v="0.9"/>
    <n v="700"/>
    <x v="0"/>
    <x v="0"/>
    <x v="0"/>
    <x v="0"/>
    <x v="5"/>
    <x v="0"/>
    <n v="14000"/>
    <n v="0.625"/>
  </r>
  <r>
    <n v="18"/>
    <n v="14"/>
    <n v="4.8"/>
    <x v="1"/>
    <n v="800"/>
    <n v="5"/>
    <x v="5"/>
    <n v="0.9"/>
    <n v="900"/>
    <x v="0"/>
    <x v="1"/>
    <x v="0"/>
    <x v="0"/>
    <x v="5"/>
    <x v="0"/>
    <n v="12600"/>
    <n v="0.77777777777777779"/>
  </r>
  <r>
    <n v="26"/>
    <n v="17"/>
    <n v="5"/>
    <x v="0"/>
    <n v="200"/>
    <n v="5"/>
    <x v="18"/>
    <n v="0.9"/>
    <n v="1000"/>
    <x v="1"/>
    <x v="1"/>
    <x v="0"/>
    <x v="0"/>
    <x v="5"/>
    <x v="0"/>
    <n v="17000"/>
    <n v="0.65384615384615385"/>
  </r>
  <r>
    <n v="11"/>
    <n v="11"/>
    <n v="4.0999999999999996"/>
    <x v="1"/>
    <n v="5000"/>
    <n v="4.3"/>
    <x v="6"/>
    <n v="0.8"/>
    <n v="300"/>
    <x v="0"/>
    <x v="1"/>
    <x v="3"/>
    <x v="0"/>
    <x v="0"/>
    <x v="0"/>
    <n v="3300"/>
    <n v="1"/>
  </r>
  <r>
    <n v="20"/>
    <n v="15"/>
    <n v="4.7"/>
    <x v="0"/>
    <n v="300"/>
    <n v="4.9000000000000004"/>
    <x v="1"/>
    <n v="0.8"/>
    <n v="500"/>
    <x v="0"/>
    <x v="1"/>
    <x v="3"/>
    <x v="0"/>
    <x v="0"/>
    <x v="0"/>
    <n v="7500"/>
    <n v="0.75"/>
  </r>
  <r>
    <n v="15"/>
    <n v="14"/>
    <n v="4.5"/>
    <x v="1"/>
    <n v="7000"/>
    <n v="4.7"/>
    <x v="18"/>
    <n v="0.8"/>
    <n v="900"/>
    <x v="0"/>
    <x v="1"/>
    <x v="3"/>
    <x v="2"/>
    <x v="0"/>
    <x v="0"/>
    <n v="12600"/>
    <n v="0.93333333333333335"/>
  </r>
  <r>
    <n v="30"/>
    <n v="21"/>
    <n v="5"/>
    <x v="0"/>
    <n v="100"/>
    <n v="5"/>
    <x v="5"/>
    <n v="0.9"/>
    <n v="1000"/>
    <x v="1"/>
    <x v="0"/>
    <x v="3"/>
    <x v="0"/>
    <x v="5"/>
    <x v="0"/>
    <n v="21000"/>
    <n v="0.7"/>
  </r>
  <r>
    <n v="9"/>
    <n v="9"/>
    <n v="3.8"/>
    <x v="1"/>
    <n v="2000"/>
    <n v="4"/>
    <x v="3"/>
    <n v="0.4"/>
    <n v="400"/>
    <x v="0"/>
    <x v="1"/>
    <x v="3"/>
    <x v="2"/>
    <x v="2"/>
    <x v="2"/>
    <n v="3600"/>
    <n v="1"/>
  </r>
  <r>
    <n v="24"/>
    <n v="16"/>
    <n v="4.9000000000000004"/>
    <x v="0"/>
    <n v="400"/>
    <n v="5"/>
    <x v="15"/>
    <n v="0.9"/>
    <n v="800"/>
    <x v="0"/>
    <x v="0"/>
    <x v="0"/>
    <x v="1"/>
    <x v="5"/>
    <x v="0"/>
    <n v="12800"/>
    <n v="0.66666666666666663"/>
  </r>
  <r>
    <n v="16"/>
    <n v="15"/>
    <n v="4.7"/>
    <x v="1"/>
    <n v="6000"/>
    <n v="4.9000000000000004"/>
    <x v="18"/>
    <n v="0.8"/>
    <n v="800"/>
    <x v="0"/>
    <x v="1"/>
    <x v="3"/>
    <x v="2"/>
    <x v="0"/>
    <x v="0"/>
    <n v="12000"/>
    <n v="0.9375"/>
  </r>
  <r>
    <n v="11"/>
    <n v="12"/>
    <n v="4.2"/>
    <x v="0"/>
    <n v="300"/>
    <n v="4.4000000000000004"/>
    <x v="2"/>
    <n v="0.8"/>
    <n v="500"/>
    <x v="0"/>
    <x v="1"/>
    <x v="3"/>
    <x v="2"/>
    <x v="0"/>
    <x v="0"/>
    <n v="6000"/>
    <n v="1.0909090909090908"/>
  </r>
  <r>
    <n v="29"/>
    <n v="20"/>
    <n v="4.9000000000000004"/>
    <x v="1"/>
    <n v="700"/>
    <n v="5"/>
    <x v="5"/>
    <n v="0.9"/>
    <n v="1000"/>
    <x v="1"/>
    <x v="0"/>
    <x v="3"/>
    <x v="0"/>
    <x v="5"/>
    <x v="0"/>
    <n v="20000"/>
    <n v="0.68965517241379315"/>
  </r>
  <r>
    <n v="13"/>
    <n v="11"/>
    <n v="3.9"/>
    <x v="0"/>
    <n v="900"/>
    <n v="4.0999999999999996"/>
    <x v="29"/>
    <n v="0.7"/>
    <n v="200"/>
    <x v="0"/>
    <x v="1"/>
    <x v="0"/>
    <x v="0"/>
    <x v="4"/>
    <x v="0"/>
    <n v="2200"/>
    <n v="0.84615384615384615"/>
  </r>
  <r>
    <n v="22"/>
    <n v="17"/>
    <n v="5"/>
    <x v="1"/>
    <n v="1000"/>
    <n v="5"/>
    <x v="15"/>
    <n v="0.9"/>
    <n v="800"/>
    <x v="0"/>
    <x v="0"/>
    <x v="0"/>
    <x v="1"/>
    <x v="5"/>
    <x v="0"/>
    <n v="13600"/>
    <n v="0.77272727272727271"/>
  </r>
  <r>
    <n v="17"/>
    <n v="14"/>
    <n v="4.8"/>
    <x v="1"/>
    <n v="400"/>
    <n v="5"/>
    <x v="4"/>
    <n v="0.9"/>
    <n v="500"/>
    <x v="0"/>
    <x v="1"/>
    <x v="3"/>
    <x v="0"/>
    <x v="5"/>
    <x v="0"/>
    <n v="7000"/>
    <n v="0.82352941176470584"/>
  </r>
  <r>
    <n v="32"/>
    <n v="21"/>
    <n v="5"/>
    <x v="0"/>
    <n v="700"/>
    <n v="5"/>
    <x v="18"/>
    <n v="0.9"/>
    <n v="700"/>
    <x v="0"/>
    <x v="0"/>
    <x v="0"/>
    <x v="0"/>
    <x v="5"/>
    <x v="0"/>
    <n v="14700"/>
    <n v="0.65625"/>
  </r>
  <r>
    <n v="18"/>
    <n v="15"/>
    <n v="4.9000000000000004"/>
    <x v="1"/>
    <n v="800"/>
    <n v="5"/>
    <x v="5"/>
    <n v="0.9"/>
    <n v="900"/>
    <x v="0"/>
    <x v="1"/>
    <x v="0"/>
    <x v="0"/>
    <x v="5"/>
    <x v="0"/>
    <n v="13500"/>
    <n v="0.83333333333333337"/>
  </r>
  <r>
    <n v="26"/>
    <n v="18"/>
    <n v="5"/>
    <x v="0"/>
    <n v="200"/>
    <n v="5"/>
    <x v="18"/>
    <n v="0.9"/>
    <n v="1000"/>
    <x v="1"/>
    <x v="1"/>
    <x v="0"/>
    <x v="0"/>
    <x v="5"/>
    <x v="0"/>
    <n v="18000"/>
    <n v="0.69230769230769229"/>
  </r>
  <r>
    <n v="11"/>
    <n v="13"/>
    <n v="4.3"/>
    <x v="1"/>
    <n v="5000"/>
    <n v="4.5"/>
    <x v="6"/>
    <n v="0.8"/>
    <n v="300"/>
    <x v="0"/>
    <x v="1"/>
    <x v="3"/>
    <x v="0"/>
    <x v="0"/>
    <x v="0"/>
    <n v="3900"/>
    <n v="1.1818181818181819"/>
  </r>
  <r>
    <n v="20"/>
    <n v="16"/>
    <n v="4.8"/>
    <x v="0"/>
    <n v="300"/>
    <n v="5"/>
    <x v="1"/>
    <n v="0.8"/>
    <n v="500"/>
    <x v="0"/>
    <x v="1"/>
    <x v="3"/>
    <x v="0"/>
    <x v="5"/>
    <x v="0"/>
    <n v="8000"/>
    <n v="0.8"/>
  </r>
  <r>
    <n v="15"/>
    <n v="15"/>
    <n v="4.5999999999999996"/>
    <x v="1"/>
    <n v="7000"/>
    <n v="4.8"/>
    <x v="18"/>
    <n v="0.8"/>
    <n v="900"/>
    <x v="0"/>
    <x v="1"/>
    <x v="3"/>
    <x v="2"/>
    <x v="0"/>
    <x v="0"/>
    <n v="13500"/>
    <n v="1"/>
  </r>
  <r>
    <n v="23"/>
    <n v="10"/>
    <n v="4.2"/>
    <x v="0"/>
    <n v="700"/>
    <n v="4.3"/>
    <x v="6"/>
    <n v="0.75"/>
    <n v="500"/>
    <x v="0"/>
    <x v="0"/>
    <x v="3"/>
    <x v="0"/>
    <x v="10"/>
    <x v="0"/>
    <n v="5000"/>
    <n v="0.43478260869565216"/>
  </r>
  <r>
    <n v="15"/>
    <n v="5"/>
    <n v="3.8"/>
    <x v="1"/>
    <n v="400"/>
    <n v="3.9"/>
    <x v="26"/>
    <n v="0.62"/>
    <n v="300"/>
    <x v="0"/>
    <x v="0"/>
    <x v="0"/>
    <x v="0"/>
    <x v="13"/>
    <x v="2"/>
    <n v="1500"/>
    <n v="0.33333333333333331"/>
  </r>
  <r>
    <n v="8"/>
    <n v="2"/>
    <n v="4.5"/>
    <x v="0"/>
    <n v="3000"/>
    <n v="4.7"/>
    <x v="0"/>
    <n v="0.85"/>
    <n v="2000"/>
    <x v="1"/>
    <x v="0"/>
    <x v="3"/>
    <x v="1"/>
    <x v="14"/>
    <x v="0"/>
    <n v="4000"/>
    <n v="0.25"/>
  </r>
  <r>
    <n v="45"/>
    <n v="18"/>
    <n v="4.7"/>
    <x v="1"/>
    <n v="2000"/>
    <n v="4.8"/>
    <x v="2"/>
    <n v="0.9"/>
    <n v="1800"/>
    <x v="1"/>
    <x v="1"/>
    <x v="0"/>
    <x v="0"/>
    <x v="15"/>
    <x v="0"/>
    <n v="32400"/>
    <n v="0.4"/>
  </r>
  <r>
    <n v="32"/>
    <n v="12"/>
    <n v="4.0999999999999996"/>
    <x v="0"/>
    <n v="500"/>
    <n v="4.2"/>
    <x v="3"/>
    <n v="0.78"/>
    <n v="400"/>
    <x v="0"/>
    <x v="0"/>
    <x v="1"/>
    <x v="2"/>
    <x v="2"/>
    <x v="2"/>
    <n v="4800"/>
    <n v="0.375"/>
  </r>
  <r>
    <n v="10"/>
    <n v="3"/>
    <n v="3.9"/>
    <x v="0"/>
    <n v="900"/>
    <n v="3.7"/>
    <x v="22"/>
    <n v="-0.15"/>
    <n v="700"/>
    <x v="0"/>
    <x v="0"/>
    <x v="3"/>
    <x v="0"/>
    <x v="11"/>
    <x v="2"/>
    <n v="2100"/>
    <n v="0.3"/>
  </r>
  <r>
    <n v="5"/>
    <n v="1"/>
    <n v="3.2"/>
    <x v="1"/>
    <n v="6000"/>
    <n v="3.4"/>
    <x v="15"/>
    <n v="0.45"/>
    <n v="600"/>
    <x v="0"/>
    <x v="1"/>
    <x v="0"/>
    <x v="1"/>
    <x v="16"/>
    <x v="2"/>
    <n v="600"/>
    <n v="0.2"/>
  </r>
  <r>
    <n v="28"/>
    <n v="9"/>
    <n v="4"/>
    <x v="1"/>
    <n v="1000"/>
    <n v="4.2"/>
    <x v="18"/>
    <n v="0.8"/>
    <n v="900"/>
    <x v="0"/>
    <x v="0"/>
    <x v="3"/>
    <x v="0"/>
    <x v="17"/>
    <x v="2"/>
    <n v="8100"/>
    <n v="0.32142857142857145"/>
  </r>
  <r>
    <n v="19"/>
    <n v="7"/>
    <n v="4.3"/>
    <x v="0"/>
    <n v="1500"/>
    <n v="4.5999999999999996"/>
    <x v="23"/>
    <n v="0.88"/>
    <n v="1400"/>
    <x v="1"/>
    <x v="0"/>
    <x v="0"/>
    <x v="1"/>
    <x v="0"/>
    <x v="0"/>
    <n v="9800"/>
    <n v="0.36842105263157893"/>
  </r>
  <r>
    <n v="38"/>
    <n v="15"/>
    <n v="4.5999999999999996"/>
    <x v="1"/>
    <n v="200"/>
    <n v="4.5"/>
    <x v="5"/>
    <n v="0.92"/>
    <n v="180"/>
    <x v="0"/>
    <x v="1"/>
    <x v="1"/>
    <x v="2"/>
    <x v="9"/>
    <x v="0"/>
    <n v="2700"/>
    <n v="0.39473684210526316"/>
  </r>
  <r>
    <n v="12"/>
    <n v="4"/>
    <n v="3.5"/>
    <x v="1"/>
    <n v="400"/>
    <n v="3.6"/>
    <x v="8"/>
    <n v="0.55000000000000004"/>
    <n v="300"/>
    <x v="0"/>
    <x v="0"/>
    <x v="0"/>
    <x v="0"/>
    <x v="8"/>
    <x v="2"/>
    <n v="1200"/>
    <n v="0.33333333333333331"/>
  </r>
  <r>
    <n v="20"/>
    <n v="6"/>
    <n v="3.7"/>
    <x v="0"/>
    <n v="700"/>
    <n v="3.9"/>
    <x v="1"/>
    <n v="0.7"/>
    <n v="600"/>
    <x v="0"/>
    <x v="1"/>
    <x v="3"/>
    <x v="0"/>
    <x v="18"/>
    <x v="2"/>
    <n v="3600"/>
    <n v="0.3"/>
  </r>
  <r>
    <n v="7"/>
    <n v="2"/>
    <n v="4.8"/>
    <x v="0"/>
    <n v="2000"/>
    <n v="4.9000000000000004"/>
    <x v="17"/>
    <n v="0.85"/>
    <n v="1900"/>
    <x v="1"/>
    <x v="0"/>
    <x v="1"/>
    <x v="1"/>
    <x v="17"/>
    <x v="2"/>
    <n v="3800"/>
    <n v="0.2857142857142857"/>
  </r>
  <r>
    <n v="42"/>
    <n v="17"/>
    <n v="4.9000000000000004"/>
    <x v="1"/>
    <n v="3000"/>
    <n v="4.7"/>
    <x v="20"/>
    <n v="0.82"/>
    <n v="2500"/>
    <x v="1"/>
    <x v="1"/>
    <x v="0"/>
    <x v="0"/>
    <x v="4"/>
    <x v="0"/>
    <n v="42500"/>
    <n v="0.40476190476190477"/>
  </r>
  <r>
    <n v="25"/>
    <n v="8"/>
    <n v="4.4000000000000004"/>
    <x v="1"/>
    <n v="800"/>
    <n v="4.5"/>
    <x v="12"/>
    <n v="0.75"/>
    <n v="700"/>
    <x v="0"/>
    <x v="0"/>
    <x v="3"/>
    <x v="0"/>
    <x v="19"/>
    <x v="2"/>
    <n v="5600"/>
    <n v="0.32"/>
  </r>
  <r>
    <n v="30"/>
    <n v="11"/>
    <n v="4.3"/>
    <x v="0"/>
    <n v="1000"/>
    <n v="4.4000000000000004"/>
    <x v="9"/>
    <n v="0.68"/>
    <n v="900"/>
    <x v="0"/>
    <x v="1"/>
    <x v="0"/>
    <x v="1"/>
    <x v="2"/>
    <x v="2"/>
    <n v="9900"/>
    <n v="0.36666666666666664"/>
  </r>
  <r>
    <n v="14"/>
    <n v="5"/>
    <n v="3.6"/>
    <x v="0"/>
    <n v="500"/>
    <n v="3.5"/>
    <x v="28"/>
    <n v="0.6"/>
    <n v="400"/>
    <x v="0"/>
    <x v="0"/>
    <x v="1"/>
    <x v="2"/>
    <x v="12"/>
    <x v="2"/>
    <n v="2000"/>
    <n v="0.35714285714285715"/>
  </r>
  <r>
    <n v="6"/>
    <n v="2"/>
    <n v="3"/>
    <x v="1"/>
    <n v="6000"/>
    <n v="3.1"/>
    <x v="34"/>
    <n v="0.4"/>
    <n v="500"/>
    <x v="0"/>
    <x v="1"/>
    <x v="0"/>
    <x v="1"/>
    <x v="20"/>
    <x v="2"/>
    <n v="1000"/>
    <n v="0.33333333333333331"/>
  </r>
  <r>
    <n v="35"/>
    <n v="14"/>
    <n v="4.5"/>
    <x v="1"/>
    <n v="300"/>
    <n v="4.5999999999999996"/>
    <x v="25"/>
    <n v="0.88"/>
    <n v="250"/>
    <x v="0"/>
    <x v="0"/>
    <x v="3"/>
    <x v="0"/>
    <x v="21"/>
    <x v="0"/>
    <n v="3500"/>
    <n v="0.4"/>
  </r>
  <r>
    <n v="18"/>
    <n v="7"/>
    <n v="4.0999999999999996"/>
    <x v="0"/>
    <n v="900"/>
    <n v="4.3"/>
    <x v="35"/>
    <n v="0.65"/>
    <n v="800"/>
    <x v="0"/>
    <x v="0"/>
    <x v="0"/>
    <x v="0"/>
    <x v="2"/>
    <x v="2"/>
    <n v="5600"/>
    <n v="0.3888888888888889"/>
  </r>
  <r>
    <n v="9"/>
    <n v="3"/>
    <n v="4.7"/>
    <x v="1"/>
    <n v="1500"/>
    <n v="4.8"/>
    <x v="36"/>
    <n v="0.9"/>
    <n v="1300"/>
    <x v="1"/>
    <x v="1"/>
    <x v="3"/>
    <x v="1"/>
    <x v="10"/>
    <x v="0"/>
    <n v="3900"/>
    <n v="0.33333333333333331"/>
  </r>
  <r>
    <n v="22"/>
    <n v="9"/>
    <n v="4"/>
    <x v="0"/>
    <n v="400"/>
    <n v="4.0999999999999996"/>
    <x v="4"/>
    <n v="0.72"/>
    <n v="300"/>
    <x v="0"/>
    <x v="0"/>
    <x v="1"/>
    <x v="2"/>
    <x v="13"/>
    <x v="2"/>
    <n v="2700"/>
    <n v="0.40909090909090912"/>
  </r>
  <r>
    <n v="11"/>
    <n v="4"/>
    <n v="3.8"/>
    <x v="1"/>
    <n v="700"/>
    <n v="3.7"/>
    <x v="37"/>
    <n v="0.5"/>
    <n v="600"/>
    <x v="0"/>
    <x v="1"/>
    <x v="0"/>
    <x v="1"/>
    <x v="16"/>
    <x v="2"/>
    <n v="2400"/>
    <n v="0.36363636363636365"/>
  </r>
  <r>
    <n v="16"/>
    <n v="6"/>
    <n v="4.2"/>
    <x v="1"/>
    <n v="2000"/>
    <n v="4.4000000000000004"/>
    <x v="13"/>
    <n v="0.78"/>
    <n v="1800"/>
    <x v="1"/>
    <x v="0"/>
    <x v="3"/>
    <x v="0"/>
    <x v="22"/>
    <x v="2"/>
    <n v="10800"/>
    <n v="0.375"/>
  </r>
  <r>
    <n v="40"/>
    <n v="16"/>
    <n v="4.4000000000000004"/>
    <x v="0"/>
    <n v="100"/>
    <n v="4.3"/>
    <x v="38"/>
    <n v="0.82"/>
    <n v="90"/>
    <x v="0"/>
    <x v="0"/>
    <x v="1"/>
    <x v="2"/>
    <x v="22"/>
    <x v="2"/>
    <n v="1440"/>
    <n v="0.4"/>
  </r>
  <r>
    <n v="29"/>
    <n v="11"/>
    <n v="4.3"/>
    <x v="0"/>
    <n v="600"/>
    <n v="4.5"/>
    <x v="3"/>
    <n v="0.7"/>
    <n v="500"/>
    <x v="0"/>
    <x v="0"/>
    <x v="3"/>
    <x v="0"/>
    <x v="19"/>
    <x v="2"/>
    <n v="5500"/>
    <n v="0.37931034482758619"/>
  </r>
  <r>
    <n v="13"/>
    <n v="5"/>
    <n v="3.7"/>
    <x v="1"/>
    <n v="5000"/>
    <n v="3.9"/>
    <x v="6"/>
    <n v="0.6"/>
    <n v="4500"/>
    <x v="1"/>
    <x v="1"/>
    <x v="0"/>
    <x v="1"/>
    <x v="13"/>
    <x v="2"/>
    <n v="22500"/>
    <n v="0.38461538461538464"/>
  </r>
  <r>
    <n v="8"/>
    <n v="3"/>
    <n v="4.5999999999999996"/>
    <x v="1"/>
    <n v="800"/>
    <n v="4.7"/>
    <x v="33"/>
    <n v="0.85"/>
    <n v="700"/>
    <x v="0"/>
    <x v="0"/>
    <x v="3"/>
    <x v="0"/>
    <x v="21"/>
    <x v="0"/>
    <n v="2100"/>
    <n v="0.375"/>
  </r>
  <r>
    <n v="36"/>
    <n v="14"/>
    <n v="4.5"/>
    <x v="0"/>
    <n v="3000"/>
    <n v="4.8"/>
    <x v="18"/>
    <n v="0.92"/>
    <n v="2700"/>
    <x v="1"/>
    <x v="1"/>
    <x v="0"/>
    <x v="1"/>
    <x v="15"/>
    <x v="0"/>
    <n v="37800"/>
    <n v="0.3888888888888889"/>
  </r>
  <r>
    <n v="21"/>
    <n v="8"/>
    <n v="4.2"/>
    <x v="1"/>
    <n v="700"/>
    <n v="4.3"/>
    <x v="5"/>
    <n v="0.78"/>
    <n v="600"/>
    <x v="0"/>
    <x v="0"/>
    <x v="3"/>
    <x v="0"/>
    <x v="18"/>
    <x v="2"/>
    <n v="4800"/>
    <n v="0.38095238095238093"/>
  </r>
  <r>
    <n v="45"/>
    <n v="18"/>
    <n v="4.8"/>
    <x v="0"/>
    <n v="2000"/>
    <n v="4.7"/>
    <x v="1"/>
    <n v="0.8"/>
    <n v="1800"/>
    <x v="1"/>
    <x v="0"/>
    <x v="0"/>
    <x v="0"/>
    <x v="22"/>
    <x v="2"/>
    <n v="32400"/>
    <n v="0.4"/>
  </r>
  <r>
    <n v="10"/>
    <n v="4"/>
    <n v="3.9"/>
    <x v="0"/>
    <n v="400"/>
    <n v="3.8"/>
    <x v="29"/>
    <n v="0.45"/>
    <n v="300"/>
    <x v="0"/>
    <x v="1"/>
    <x v="3"/>
    <x v="0"/>
    <x v="11"/>
    <x v="2"/>
    <n v="1200"/>
    <n v="0.4"/>
  </r>
  <r>
    <n v="27"/>
    <n v="10"/>
    <n v="4.0999999999999996"/>
    <x v="1"/>
    <n v="1000"/>
    <n v="4.2"/>
    <x v="13"/>
    <n v="0.68"/>
    <n v="900"/>
    <x v="0"/>
    <x v="0"/>
    <x v="0"/>
    <x v="1"/>
    <x v="23"/>
    <x v="2"/>
    <n v="9000"/>
    <n v="0.37037037037037035"/>
  </r>
  <r>
    <n v="17"/>
    <n v="7"/>
    <n v="3.5"/>
    <x v="0"/>
    <n v="900"/>
    <n v="3.7"/>
    <x v="11"/>
    <n v="0.55000000000000004"/>
    <n v="800"/>
    <x v="0"/>
    <x v="1"/>
    <x v="3"/>
    <x v="0"/>
    <x v="12"/>
    <x v="2"/>
    <n v="5600"/>
    <n v="0.41176470588235292"/>
  </r>
  <r>
    <n v="33"/>
    <n v="13"/>
    <n v="4.5999999999999996"/>
    <x v="1"/>
    <n v="1500"/>
    <n v="4.5"/>
    <x v="17"/>
    <n v="0.75"/>
    <n v="1400"/>
    <x v="1"/>
    <x v="0"/>
    <x v="1"/>
    <x v="2"/>
    <x v="17"/>
    <x v="2"/>
    <n v="18200"/>
    <n v="0.39393939393939392"/>
  </r>
  <r>
    <n v="5"/>
    <n v="2"/>
    <n v="3.2"/>
    <x v="0"/>
    <n v="600"/>
    <n v="3.3"/>
    <x v="25"/>
    <n v="0.4"/>
    <n v="500"/>
    <x v="0"/>
    <x v="1"/>
    <x v="0"/>
    <x v="1"/>
    <x v="20"/>
    <x v="2"/>
    <n v="1000"/>
    <n v="0.4"/>
  </r>
  <r>
    <n v="39"/>
    <n v="15"/>
    <n v="4.7"/>
    <x v="0"/>
    <n v="100"/>
    <n v="4.5999999999999996"/>
    <x v="22"/>
    <n v="0.85"/>
    <n v="90"/>
    <x v="0"/>
    <x v="0"/>
    <x v="3"/>
    <x v="0"/>
    <x v="21"/>
    <x v="0"/>
    <n v="1350"/>
    <n v="0.38461538461538464"/>
  </r>
  <r>
    <n v="24"/>
    <n v="9"/>
    <n v="4.4000000000000004"/>
    <x v="1"/>
    <n v="2000"/>
    <n v="4.5"/>
    <x v="2"/>
    <n v="0.9"/>
    <n v="1800"/>
    <x v="1"/>
    <x v="1"/>
    <x v="0"/>
    <x v="0"/>
    <x v="15"/>
    <x v="0"/>
    <n v="16200"/>
    <n v="0.375"/>
  </r>
  <r>
    <n v="12"/>
    <n v="4"/>
    <n v="3.8"/>
    <x v="0"/>
    <n v="500"/>
    <n v="3.7"/>
    <x v="8"/>
    <n v="0.62"/>
    <n v="400"/>
    <x v="0"/>
    <x v="0"/>
    <x v="3"/>
    <x v="0"/>
    <x v="8"/>
    <x v="2"/>
    <n v="1600"/>
    <n v="0.33333333333333331"/>
  </r>
  <r>
    <n v="41"/>
    <n v="16"/>
    <n v="4.3"/>
    <x v="1"/>
    <n v="3000"/>
    <n v="4.4000000000000004"/>
    <x v="4"/>
    <n v="0.72"/>
    <n v="2800"/>
    <x v="1"/>
    <x v="1"/>
    <x v="0"/>
    <x v="1"/>
    <x v="22"/>
    <x v="2"/>
    <n v="44800"/>
    <n v="0.3902439024390244"/>
  </r>
  <r>
    <n v="19"/>
    <n v="7"/>
    <n v="3.9"/>
    <x v="0"/>
    <n v="800"/>
    <n v="4"/>
    <x v="39"/>
    <n v="0.5"/>
    <n v="700"/>
    <x v="0"/>
    <x v="0"/>
    <x v="3"/>
    <x v="0"/>
    <x v="20"/>
    <x v="2"/>
    <n v="4900"/>
    <n v="0.36842105263157893"/>
  </r>
  <r>
    <n v="30"/>
    <n v="11"/>
    <n v="4.5"/>
    <x v="1"/>
    <n v="1000"/>
    <n v="4.5999999999999996"/>
    <x v="0"/>
    <n v="0.82"/>
    <n v="900"/>
    <x v="0"/>
    <x v="0"/>
    <x v="0"/>
    <x v="1"/>
    <x v="17"/>
    <x v="2"/>
    <n v="9900"/>
    <n v="0.36666666666666664"/>
  </r>
  <r>
    <n v="14"/>
    <n v="5"/>
    <n v="3.6"/>
    <x v="0"/>
    <n v="700"/>
    <n v="3.5"/>
    <x v="15"/>
    <n v="0.4"/>
    <n v="600"/>
    <x v="0"/>
    <x v="1"/>
    <x v="3"/>
    <x v="0"/>
    <x v="24"/>
    <x v="1"/>
    <n v="3000"/>
    <n v="0.35714285714285715"/>
  </r>
  <r>
    <n v="28"/>
    <n v="10"/>
    <n v="4.8"/>
    <x v="0"/>
    <n v="1500"/>
    <n v="4.7"/>
    <x v="19"/>
    <n v="0.75"/>
    <n v="1400"/>
    <x v="1"/>
    <x v="0"/>
    <x v="1"/>
    <x v="2"/>
    <x v="2"/>
    <x v="2"/>
    <n v="14000"/>
    <n v="0.35714285714285715"/>
  </r>
  <r>
    <n v="8"/>
    <n v="3"/>
    <n v="3.3"/>
    <x v="1"/>
    <n v="6000"/>
    <n v="3.5"/>
    <x v="40"/>
    <n v="0.35"/>
    <n v="550"/>
    <x v="0"/>
    <x v="1"/>
    <x v="0"/>
    <x v="1"/>
    <x v="6"/>
    <x v="1"/>
    <n v="1650"/>
    <n v="0.375"/>
  </r>
  <r>
    <n v="25"/>
    <n v="9"/>
    <n v="4.2"/>
    <x v="0"/>
    <n v="200"/>
    <n v="4.4000000000000004"/>
    <x v="7"/>
    <n v="0.68"/>
    <n v="190"/>
    <x v="0"/>
    <x v="0"/>
    <x v="3"/>
    <x v="0"/>
    <x v="13"/>
    <x v="2"/>
    <n v="1710"/>
    <n v="0.36"/>
  </r>
  <r>
    <n v="35"/>
    <n v="14"/>
    <n v="4.5999999999999996"/>
    <x v="1"/>
    <n v="1000"/>
    <n v="4.7"/>
    <x v="5"/>
    <n v="0.88"/>
    <n v="950"/>
    <x v="0"/>
    <x v="0"/>
    <x v="0"/>
    <x v="1"/>
    <x v="10"/>
    <x v="0"/>
    <n v="13300"/>
    <n v="0.4"/>
  </r>
  <r>
    <n v="9"/>
    <n v="4"/>
    <n v="4.0999999999999996"/>
    <x v="1"/>
    <n v="400"/>
    <n v="4.3"/>
    <x v="12"/>
    <n v="0.72"/>
    <n v="300"/>
    <x v="0"/>
    <x v="0"/>
    <x v="3"/>
    <x v="0"/>
    <x v="19"/>
    <x v="2"/>
    <n v="1200"/>
    <n v="0.44444444444444442"/>
  </r>
  <r>
    <n v="20"/>
    <n v="8"/>
    <n v="3.7"/>
    <x v="0"/>
    <n v="900"/>
    <n v="3.9"/>
    <x v="20"/>
    <n v="0.55000000000000004"/>
    <n v="800"/>
    <x v="0"/>
    <x v="1"/>
    <x v="0"/>
    <x v="0"/>
    <x v="12"/>
    <x v="2"/>
    <n v="6400"/>
    <n v="0.4"/>
  </r>
  <r>
    <n v="16"/>
    <n v="6"/>
    <n v="3.8"/>
    <x v="1"/>
    <n v="700"/>
    <n v="4"/>
    <x v="21"/>
    <n v="0.62"/>
    <n v="600"/>
    <x v="0"/>
    <x v="0"/>
    <x v="3"/>
    <x v="0"/>
    <x v="8"/>
    <x v="2"/>
    <n v="3600"/>
    <n v="0.375"/>
  </r>
  <r>
    <n v="32"/>
    <n v="12"/>
    <n v="4.4000000000000004"/>
    <x v="0"/>
    <n v="2000"/>
    <n v="4.5"/>
    <x v="26"/>
    <n v="0.8"/>
    <n v="1800"/>
    <x v="1"/>
    <x v="1"/>
    <x v="0"/>
    <x v="0"/>
    <x v="17"/>
    <x v="2"/>
    <n v="21600"/>
    <n v="0.375"/>
  </r>
  <r>
    <n v="10"/>
    <n v="3"/>
    <n v="4"/>
    <x v="1"/>
    <n v="600"/>
    <n v="4.0999999999999996"/>
    <x v="2"/>
    <n v="0.75"/>
    <n v="500"/>
    <x v="0"/>
    <x v="0"/>
    <x v="3"/>
    <x v="0"/>
    <x v="18"/>
    <x v="2"/>
    <n v="1500"/>
    <n v="0.3"/>
  </r>
  <r>
    <n v="24"/>
    <n v="9"/>
    <n v="4.5999999999999996"/>
    <x v="0"/>
    <n v="1000"/>
    <n v="4.7"/>
    <x v="9"/>
    <n v="0.88"/>
    <n v="900"/>
    <x v="0"/>
    <x v="0"/>
    <x v="0"/>
    <x v="1"/>
    <x v="10"/>
    <x v="0"/>
    <n v="8100"/>
    <n v="0.375"/>
  </r>
  <r>
    <n v="7"/>
    <n v="2"/>
    <n v="3.5"/>
    <x v="1"/>
    <n v="5000"/>
    <n v="3.7"/>
    <x v="31"/>
    <n v="0.4"/>
    <n v="4500"/>
    <x v="1"/>
    <x v="1"/>
    <x v="3"/>
    <x v="2"/>
    <x v="20"/>
    <x v="2"/>
    <n v="9000"/>
    <n v="0.2857142857142857"/>
  </r>
  <r>
    <n v="39"/>
    <n v="15"/>
    <n v="4.9000000000000004"/>
    <x v="0"/>
    <n v="300"/>
    <n v="4.8"/>
    <x v="9"/>
    <n v="0.92"/>
    <n v="280"/>
    <x v="0"/>
    <x v="0"/>
    <x v="1"/>
    <x v="2"/>
    <x v="15"/>
    <x v="0"/>
    <n v="4200"/>
    <n v="0.38461538461538464"/>
  </r>
  <r>
    <n v="18"/>
    <n v="7"/>
    <n v="4.3"/>
    <x v="1"/>
    <n v="900"/>
    <n v="4.4000000000000004"/>
    <x v="18"/>
    <n v="0.78"/>
    <n v="800"/>
    <x v="0"/>
    <x v="0"/>
    <x v="3"/>
    <x v="0"/>
    <x v="22"/>
    <x v="2"/>
    <n v="5600"/>
    <n v="0.3888888888888889"/>
  </r>
  <r>
    <n v="29"/>
    <n v="11"/>
    <n v="4.7"/>
    <x v="0"/>
    <n v="1500"/>
    <n v="4.5999999999999996"/>
    <x v="29"/>
    <n v="0.82"/>
    <n v="1400"/>
    <x v="1"/>
    <x v="1"/>
    <x v="0"/>
    <x v="1"/>
    <x v="4"/>
    <x v="0"/>
    <n v="15400"/>
    <n v="0.37931034482758619"/>
  </r>
  <r>
    <n v="13"/>
    <n v="5"/>
    <n v="3.6"/>
    <x v="1"/>
    <n v="400"/>
    <n v="3.5"/>
    <x v="11"/>
    <n v="0.5"/>
    <n v="300"/>
    <x v="0"/>
    <x v="0"/>
    <x v="3"/>
    <x v="0"/>
    <x v="20"/>
    <x v="2"/>
    <n v="1500"/>
    <n v="0.38461538461538464"/>
  </r>
  <r>
    <n v="26"/>
    <n v="10"/>
    <n v="4.0999999999999996"/>
    <x v="0"/>
    <n v="800"/>
    <n v="4.3"/>
    <x v="37"/>
    <n v="0.7"/>
    <n v="700"/>
    <x v="0"/>
    <x v="0"/>
    <x v="0"/>
    <x v="0"/>
    <x v="19"/>
    <x v="2"/>
    <n v="7000"/>
    <n v="0.38461538461538464"/>
  </r>
  <r>
    <n v="8"/>
    <n v="3"/>
    <n v="4.2"/>
    <x v="0"/>
    <n v="2000"/>
    <n v="4.4000000000000004"/>
    <x v="23"/>
    <n v="0.75"/>
    <n v="1900"/>
    <x v="1"/>
    <x v="1"/>
    <x v="3"/>
    <x v="1"/>
    <x v="18"/>
    <x v="2"/>
    <n v="5700"/>
    <n v="0.375"/>
  </r>
  <r>
    <n v="34"/>
    <n v="13"/>
    <n v="4.5"/>
    <x v="1"/>
    <n v="100"/>
    <n v="4.5999999999999996"/>
    <x v="31"/>
    <n v="0.9"/>
    <n v="90"/>
    <x v="0"/>
    <x v="0"/>
    <x v="1"/>
    <x v="2"/>
    <x v="15"/>
    <x v="0"/>
    <n v="1170"/>
    <n v="0.38235294117647056"/>
  </r>
  <r>
    <n v="21"/>
    <n v="8"/>
    <n v="3.9"/>
    <x v="1"/>
    <n v="700"/>
    <n v="4.0999999999999996"/>
    <x v="25"/>
    <n v="0.65"/>
    <n v="600"/>
    <x v="0"/>
    <x v="0"/>
    <x v="3"/>
    <x v="0"/>
    <x v="23"/>
    <x v="2"/>
    <n v="4800"/>
    <n v="0.38095238095238093"/>
  </r>
  <r>
    <n v="45"/>
    <n v="18"/>
    <n v="4.8"/>
    <x v="0"/>
    <n v="2000"/>
    <n v="4.7"/>
    <x v="6"/>
    <n v="0.82"/>
    <n v="1800"/>
    <x v="1"/>
    <x v="1"/>
    <x v="0"/>
    <x v="0"/>
    <x v="4"/>
    <x v="0"/>
    <n v="32400"/>
    <n v="0.4"/>
  </r>
  <r>
    <n v="10"/>
    <n v="4"/>
    <n v="3.7"/>
    <x v="0"/>
    <n v="500"/>
    <n v="3.9"/>
    <x v="35"/>
    <n v="0.55000000000000004"/>
    <n v="400"/>
    <x v="0"/>
    <x v="0"/>
    <x v="3"/>
    <x v="0"/>
    <x v="12"/>
    <x v="2"/>
    <n v="1600"/>
    <n v="0.4"/>
  </r>
  <r>
    <n v="27"/>
    <n v="10"/>
    <n v="4.3"/>
    <x v="1"/>
    <n v="1500"/>
    <n v="4.5"/>
    <x v="5"/>
    <n v="0.72"/>
    <n v="1400"/>
    <x v="1"/>
    <x v="1"/>
    <x v="0"/>
    <x v="1"/>
    <x v="19"/>
    <x v="2"/>
    <n v="14000"/>
    <n v="0.37037037037037035"/>
  </r>
  <r>
    <n v="15"/>
    <n v="6"/>
    <n v="3.8"/>
    <x v="1"/>
    <n v="5000"/>
    <n v="4"/>
    <x v="22"/>
    <n v="0.45"/>
    <n v="4500"/>
    <x v="1"/>
    <x v="0"/>
    <x v="3"/>
    <x v="2"/>
    <x v="11"/>
    <x v="2"/>
    <n v="27000"/>
    <n v="0.4"/>
  </r>
  <r>
    <n v="31"/>
    <n v="12"/>
    <n v="4.5999999999999996"/>
    <x v="0"/>
    <n v="300"/>
    <n v="4.5"/>
    <x v="9"/>
    <n v="0.85"/>
    <n v="280"/>
    <x v="0"/>
    <x v="0"/>
    <x v="1"/>
    <x v="2"/>
    <x v="21"/>
    <x v="0"/>
    <n v="3360"/>
    <n v="0.38709677419354838"/>
  </r>
  <r>
    <n v="6"/>
    <n v="2"/>
    <n v="3.3"/>
    <x v="0"/>
    <n v="800"/>
    <n v="3.5"/>
    <x v="10"/>
    <n v="0.4"/>
    <n v="700"/>
    <x v="0"/>
    <x v="0"/>
    <x v="0"/>
    <x v="0"/>
    <x v="24"/>
    <x v="1"/>
    <n v="1400"/>
    <n v="0.33333333333333331"/>
  </r>
  <r>
    <n v="38"/>
    <n v="15"/>
    <n v="4.9000000000000004"/>
    <x v="1"/>
    <n v="1000"/>
    <n v="4.8"/>
    <x v="18"/>
    <n v="0.9"/>
    <n v="900"/>
    <x v="0"/>
    <x v="1"/>
    <x v="3"/>
    <x v="1"/>
    <x v="15"/>
    <x v="0"/>
    <n v="13500"/>
    <n v="0.39473684210526316"/>
  </r>
  <r>
    <n v="19"/>
    <n v="7"/>
    <n v="3.7"/>
    <x v="1"/>
    <n v="2000"/>
    <n v="3.8"/>
    <x v="20"/>
    <n v="0.57999999999999996"/>
    <n v="1900"/>
    <x v="1"/>
    <x v="0"/>
    <x v="0"/>
    <x v="0"/>
    <x v="16"/>
    <x v="2"/>
    <n v="13300"/>
    <n v="0.36842105263157893"/>
  </r>
  <r>
    <n v="22"/>
    <n v="7"/>
    <n v="4.2"/>
    <x v="0"/>
    <n v="1000"/>
    <n v="4.5999999999999996"/>
    <x v="12"/>
    <n v="0.8"/>
    <n v="700"/>
    <x v="0"/>
    <x v="0"/>
    <x v="3"/>
    <x v="0"/>
    <x v="10"/>
    <x v="0"/>
    <n v="4900"/>
    <n v="0.31818181818181818"/>
  </r>
  <r>
    <n v="8"/>
    <n v="2"/>
    <n v="3.9"/>
    <x v="1"/>
    <n v="300"/>
    <n v="3.2"/>
    <x v="9"/>
    <n v="-0.2"/>
    <n v="2000"/>
    <x v="1"/>
    <x v="1"/>
    <x v="0"/>
    <x v="0"/>
    <x v="20"/>
    <x v="2"/>
    <n v="4000"/>
    <n v="0.25"/>
  </r>
  <r>
    <n v="35"/>
    <n v="14"/>
    <n v="4.7"/>
    <x v="0"/>
    <n v="5000"/>
    <n v="4.8"/>
    <x v="24"/>
    <n v="0.9"/>
    <n v="9000"/>
    <x v="2"/>
    <x v="1"/>
    <x v="1"/>
    <x v="1"/>
    <x v="9"/>
    <x v="0"/>
    <n v="126000"/>
    <n v="0.4"/>
  </r>
  <r>
    <n v="12"/>
    <n v="5"/>
    <n v="4.5"/>
    <x v="1"/>
    <n v="2000"/>
    <n v="3.9"/>
    <x v="14"/>
    <n v="0.5"/>
    <n v="3000"/>
    <x v="1"/>
    <x v="0"/>
    <x v="2"/>
    <x v="0"/>
    <x v="13"/>
    <x v="2"/>
    <n v="15000"/>
    <n v="0.41666666666666669"/>
  </r>
  <r>
    <n v="43"/>
    <n v="18"/>
    <n v="4.9000000000000004"/>
    <x v="0"/>
    <n v="10000"/>
    <n v="4.7"/>
    <x v="20"/>
    <n v="0.7"/>
    <n v="4000"/>
    <x v="1"/>
    <x v="0"/>
    <x v="0"/>
    <x v="0"/>
    <x v="22"/>
    <x v="2"/>
    <n v="72000"/>
    <n v="0.41860465116279072"/>
  </r>
  <r>
    <n v="5"/>
    <n v="1"/>
    <n v="3.1"/>
    <x v="1"/>
    <n v="100"/>
    <n v="2.5"/>
    <x v="5"/>
    <n v="-0.8"/>
    <n v="800"/>
    <x v="0"/>
    <x v="1"/>
    <x v="3"/>
    <x v="2"/>
    <x v="25"/>
    <x v="1"/>
    <n v="800"/>
    <n v="0.2"/>
  </r>
  <r>
    <n v="29"/>
    <n v="10"/>
    <n v="4.4000000000000004"/>
    <x v="0"/>
    <n v="3000"/>
    <n v="4.2"/>
    <x v="18"/>
    <n v="0.6"/>
    <n v="6000"/>
    <x v="2"/>
    <x v="0"/>
    <x v="1"/>
    <x v="1"/>
    <x v="4"/>
    <x v="0"/>
    <n v="60000"/>
    <n v="0.34482758620689657"/>
  </r>
  <r>
    <n v="17"/>
    <n v="4"/>
    <n v="3.8"/>
    <x v="1"/>
    <n v="1000"/>
    <n v="3.6"/>
    <x v="15"/>
    <n v="-0.1"/>
    <n v="700"/>
    <x v="0"/>
    <x v="0"/>
    <x v="3"/>
    <x v="0"/>
    <x v="11"/>
    <x v="2"/>
    <n v="2800"/>
    <n v="0.23529411764705882"/>
  </r>
  <r>
    <n v="38"/>
    <n v="16"/>
    <n v="4.5999999999999996"/>
    <x v="0"/>
    <n v="7000"/>
    <n v="4.9000000000000004"/>
    <x v="25"/>
    <n v="0.95"/>
    <n v="10000"/>
    <x v="2"/>
    <x v="1"/>
    <x v="0"/>
    <x v="1"/>
    <x v="0"/>
    <x v="0"/>
    <n v="160000"/>
    <n v="0.42105263157894735"/>
  </r>
  <r>
    <n v="3"/>
    <n v="0"/>
    <n v="2.2000000000000002"/>
    <x v="1"/>
    <n v="100"/>
    <n v="1.8"/>
    <x v="3"/>
    <n v="-0.9"/>
    <n v="200"/>
    <x v="0"/>
    <x v="0"/>
    <x v="3"/>
    <x v="2"/>
    <x v="7"/>
    <x v="1"/>
    <n v="0"/>
    <n v="0"/>
  </r>
  <r>
    <n v="25"/>
    <n v="9"/>
    <n v="4.0999999999999996"/>
    <x v="0"/>
    <n v="500"/>
    <n v="3.8"/>
    <x v="27"/>
    <n v="0.3"/>
    <n v="4000"/>
    <x v="1"/>
    <x v="0"/>
    <x v="0"/>
    <x v="0"/>
    <x v="2"/>
    <x v="2"/>
    <n v="36000"/>
    <n v="0.36"/>
  </r>
  <r>
    <n v="10"/>
    <n v="3"/>
    <n v="3.5"/>
    <x v="1"/>
    <n v="2000"/>
    <n v="3.4"/>
    <x v="6"/>
    <n v="-0.3"/>
    <n v="500"/>
    <x v="0"/>
    <x v="0"/>
    <x v="2"/>
    <x v="0"/>
    <x v="12"/>
    <x v="2"/>
    <n v="1500"/>
    <n v="0.3"/>
  </r>
  <r>
    <n v="47"/>
    <n v="19"/>
    <n v="4.8"/>
    <x v="0"/>
    <n v="9000"/>
    <n v="4.5"/>
    <x v="31"/>
    <n v="0.85"/>
    <n v="8000"/>
    <x v="2"/>
    <x v="0"/>
    <x v="0"/>
    <x v="1"/>
    <x v="10"/>
    <x v="0"/>
    <n v="152000"/>
    <n v="0.40425531914893614"/>
  </r>
  <r>
    <n v="2"/>
    <n v="0"/>
    <n v="1.5"/>
    <x v="1"/>
    <n v="100"/>
    <n v="1.2"/>
    <x v="8"/>
    <n v="-0.95"/>
    <n v="100"/>
    <x v="0"/>
    <x v="0"/>
    <x v="3"/>
    <x v="2"/>
    <x v="26"/>
    <x v="1"/>
    <n v="0"/>
    <n v="0"/>
  </r>
  <r>
    <n v="31"/>
    <n v="12"/>
    <n v="4.3"/>
    <x v="0"/>
    <n v="4000"/>
    <n v="4.3"/>
    <x v="21"/>
    <n v="0.4"/>
    <n v="3000"/>
    <x v="1"/>
    <x v="0"/>
    <x v="1"/>
    <x v="1"/>
    <x v="22"/>
    <x v="2"/>
    <n v="36000"/>
    <n v="0.38709677419354838"/>
  </r>
  <r>
    <n v="14"/>
    <n v="6"/>
    <n v="3.7"/>
    <x v="1"/>
    <n v="300"/>
    <n v="3.1"/>
    <x v="26"/>
    <n v="-0.5"/>
    <n v="1000"/>
    <x v="1"/>
    <x v="0"/>
    <x v="2"/>
    <x v="0"/>
    <x v="16"/>
    <x v="2"/>
    <n v="6000"/>
    <n v="0.42857142857142855"/>
  </r>
  <r>
    <n v="40"/>
    <n v="17"/>
    <n v="4.7"/>
    <x v="0"/>
    <n v="6000"/>
    <n v="4.5999999999999996"/>
    <x v="28"/>
    <n v="0.75"/>
    <n v="7000"/>
    <x v="2"/>
    <x v="1"/>
    <x v="1"/>
    <x v="1"/>
    <x v="0"/>
    <x v="0"/>
    <n v="119000"/>
    <n v="0.42499999999999999"/>
  </r>
  <r>
    <n v="6"/>
    <n v="1"/>
    <n v="2.5"/>
    <x v="1"/>
    <n v="200"/>
    <n v="2.2000000000000002"/>
    <x v="4"/>
    <n v="-0.7"/>
    <n v="600"/>
    <x v="0"/>
    <x v="0"/>
    <x v="2"/>
    <x v="0"/>
    <x v="6"/>
    <x v="1"/>
    <n v="600"/>
    <n v="0.16666666666666666"/>
  </r>
  <r>
    <n v="19"/>
    <n v="8"/>
    <n v="4"/>
    <x v="0"/>
    <n v="6000"/>
    <n v="4.4000000000000004"/>
    <x v="23"/>
    <n v="0.2"/>
    <n v="5000"/>
    <x v="1"/>
    <x v="1"/>
    <x v="0"/>
    <x v="1"/>
    <x v="4"/>
    <x v="0"/>
    <n v="40000"/>
    <n v="0.42105263157894735"/>
  </r>
  <r>
    <n v="1"/>
    <n v="0"/>
    <n v="1"/>
    <x v="1"/>
    <n v="100"/>
    <n v="1"/>
    <x v="38"/>
    <n v="-1"/>
    <n v="100"/>
    <x v="0"/>
    <x v="0"/>
    <x v="3"/>
    <x v="2"/>
    <x v="27"/>
    <x v="1"/>
    <n v="0"/>
    <n v="0"/>
  </r>
  <r>
    <n v="34"/>
    <n v="15"/>
    <n v="4.5"/>
    <x v="0"/>
    <n v="8000"/>
    <n v="4.8"/>
    <x v="24"/>
    <n v="0.9"/>
    <n v="9000"/>
    <x v="2"/>
    <x v="1"/>
    <x v="0"/>
    <x v="1"/>
    <x v="9"/>
    <x v="0"/>
    <n v="135000"/>
    <n v="0.44117647058823528"/>
  </r>
  <r>
    <n v="9"/>
    <n v="2"/>
    <n v="3.3"/>
    <x v="1"/>
    <n v="400"/>
    <n v="2.8"/>
    <x v="16"/>
    <n v="-0.4"/>
    <n v="800"/>
    <x v="0"/>
    <x v="0"/>
    <x v="2"/>
    <x v="0"/>
    <x v="20"/>
    <x v="2"/>
    <n v="1600"/>
    <n v="0.22222222222222221"/>
  </r>
  <r>
    <n v="42"/>
    <n v="16"/>
    <n v="4.9000000000000004"/>
    <x v="0"/>
    <n v="7000"/>
    <n v="4.7"/>
    <x v="17"/>
    <n v="0.8"/>
    <n v="9000"/>
    <x v="2"/>
    <x v="1"/>
    <x v="1"/>
    <x v="1"/>
    <x v="9"/>
    <x v="0"/>
    <n v="144000"/>
    <n v="0.38095238095238093"/>
  </r>
  <r>
    <n v="4"/>
    <n v="0"/>
    <n v="2"/>
    <x v="1"/>
    <n v="100"/>
    <n v="1.5"/>
    <x v="5"/>
    <n v="-0.85"/>
    <n v="200"/>
    <x v="0"/>
    <x v="0"/>
    <x v="3"/>
    <x v="2"/>
    <x v="28"/>
    <x v="1"/>
    <n v="0"/>
    <n v="0"/>
  </r>
  <r>
    <n v="28"/>
    <n v="11"/>
    <n v="4.2"/>
    <x v="0"/>
    <n v="2000"/>
    <n v="3.7"/>
    <x v="11"/>
    <n v="0.1"/>
    <n v="2000"/>
    <x v="1"/>
    <x v="0"/>
    <x v="0"/>
    <x v="0"/>
    <x v="8"/>
    <x v="2"/>
    <n v="22000"/>
    <n v="0.39285714285714285"/>
  </r>
  <r>
    <n v="18"/>
    <n v="7"/>
    <n v="4.0999999999999996"/>
    <x v="1"/>
    <n v="700"/>
    <n v="4.4000000000000004"/>
    <x v="34"/>
    <n v="-0.2"/>
    <n v="800"/>
    <x v="0"/>
    <x v="0"/>
    <x v="3"/>
    <x v="0"/>
    <x v="8"/>
    <x v="2"/>
    <n v="5600"/>
    <n v="0.3888888888888889"/>
  </r>
  <r>
    <n v="37"/>
    <n v="15"/>
    <n v="4.5999999999999996"/>
    <x v="0"/>
    <n v="6000"/>
    <n v="4.7"/>
    <x v="20"/>
    <n v="0.7"/>
    <n v="5000"/>
    <x v="1"/>
    <x v="1"/>
    <x v="0"/>
    <x v="1"/>
    <x v="4"/>
    <x v="0"/>
    <n v="75000"/>
    <n v="0.40540540540540543"/>
  </r>
  <r>
    <n v="5"/>
    <n v="2"/>
    <n v="2.8"/>
    <x v="1"/>
    <n v="100"/>
    <n v="2.1"/>
    <x v="9"/>
    <n v="-0.6"/>
    <n v="300"/>
    <x v="0"/>
    <x v="0"/>
    <x v="2"/>
    <x v="0"/>
    <x v="29"/>
    <x v="1"/>
    <n v="600"/>
    <n v="0.4"/>
  </r>
  <r>
    <n v="23"/>
    <n v="10"/>
    <n v="3.9"/>
    <x v="0"/>
    <n v="2000"/>
    <n v="3.5"/>
    <x v="1"/>
    <n v="-0.1"/>
    <n v="2000"/>
    <x v="1"/>
    <x v="0"/>
    <x v="0"/>
    <x v="0"/>
    <x v="16"/>
    <x v="2"/>
    <n v="20000"/>
    <n v="0.43478260869565216"/>
  </r>
  <r>
    <n v="46"/>
    <n v="18"/>
    <n v="4.8"/>
    <x v="0"/>
    <n v="9000"/>
    <n v="4.9000000000000004"/>
    <x v="31"/>
    <n v="0.9"/>
    <n v="10000"/>
    <x v="2"/>
    <x v="1"/>
    <x v="0"/>
    <x v="1"/>
    <x v="9"/>
    <x v="0"/>
    <n v="180000"/>
    <n v="0.39130434782608697"/>
  </r>
  <r>
    <n v="3"/>
    <n v="1"/>
    <n v="1.5"/>
    <x v="1"/>
    <n v="100"/>
    <n v="1.2"/>
    <x v="5"/>
    <n v="-0.9"/>
    <n v="100"/>
    <x v="0"/>
    <x v="0"/>
    <x v="3"/>
    <x v="2"/>
    <x v="26"/>
    <x v="1"/>
    <n v="100"/>
    <n v="0.33333333333333331"/>
  </r>
  <r>
    <n v="30"/>
    <n v="12"/>
    <n v="4.3"/>
    <x v="0"/>
    <n v="4000"/>
    <n v="4.0999999999999996"/>
    <x v="21"/>
    <n v="0.3"/>
    <n v="3000"/>
    <x v="1"/>
    <x v="0"/>
    <x v="1"/>
    <x v="1"/>
    <x v="2"/>
    <x v="2"/>
    <n v="36000"/>
    <n v="0.4"/>
  </r>
  <r>
    <n v="15"/>
    <n v="6"/>
    <n v="3.6"/>
    <x v="1"/>
    <n v="500"/>
    <n v="3"/>
    <x v="26"/>
    <n v="-0.4"/>
    <n v="800"/>
    <x v="0"/>
    <x v="0"/>
    <x v="2"/>
    <x v="0"/>
    <x v="20"/>
    <x v="2"/>
    <n v="4800"/>
    <n v="0.4"/>
  </r>
  <r>
    <n v="39"/>
    <n v="16"/>
    <n v="4.7"/>
    <x v="0"/>
    <n v="7000"/>
    <n v="4.8"/>
    <x v="28"/>
    <n v="0.8"/>
    <n v="8000"/>
    <x v="2"/>
    <x v="1"/>
    <x v="1"/>
    <x v="1"/>
    <x v="0"/>
    <x v="0"/>
    <n v="128000"/>
    <n v="0.41025641025641024"/>
  </r>
  <r>
    <n v="26"/>
    <n v="11"/>
    <n v="4"/>
    <x v="0"/>
    <n v="3000"/>
    <n v="3.9"/>
    <x v="3"/>
    <n v="0.1"/>
    <n v="3000"/>
    <x v="1"/>
    <x v="0"/>
    <x v="0"/>
    <x v="0"/>
    <x v="13"/>
    <x v="2"/>
    <n v="33000"/>
    <n v="0.42307692307692307"/>
  </r>
  <r>
    <n v="11"/>
    <n v="4"/>
    <n v="3.4"/>
    <x v="1"/>
    <n v="300"/>
    <n v="2.7"/>
    <x v="4"/>
    <n v="-0.5"/>
    <n v="500"/>
    <x v="0"/>
    <x v="0"/>
    <x v="2"/>
    <x v="0"/>
    <x v="11"/>
    <x v="2"/>
    <n v="2000"/>
    <n v="0.36363636363636365"/>
  </r>
  <r>
    <n v="44"/>
    <n v="17"/>
    <n v="4.8"/>
    <x v="0"/>
    <n v="8000"/>
    <n v="4.5999999999999996"/>
    <x v="24"/>
    <n v="0.85"/>
    <n v="9000"/>
    <x v="2"/>
    <x v="1"/>
    <x v="0"/>
    <x v="1"/>
    <x v="9"/>
    <x v="0"/>
    <n v="153000"/>
    <n v="0.38636363636363635"/>
  </r>
  <r>
    <n v="4"/>
    <n v="1"/>
    <n v="2"/>
    <x v="1"/>
    <n v="200"/>
    <n v="1.8"/>
    <x v="5"/>
    <n v="-0.85"/>
    <n v="200"/>
    <x v="0"/>
    <x v="0"/>
    <x v="3"/>
    <x v="2"/>
    <x v="28"/>
    <x v="1"/>
    <n v="200"/>
    <n v="0.25"/>
  </r>
  <r>
    <n v="32"/>
    <n v="13"/>
    <n v="4.4000000000000004"/>
    <x v="0"/>
    <n v="5000"/>
    <n v="4.5"/>
    <x v="31"/>
    <n v="0.6"/>
    <n v="6000"/>
    <x v="2"/>
    <x v="0"/>
    <x v="1"/>
    <x v="1"/>
    <x v="4"/>
    <x v="0"/>
    <n v="78000"/>
    <n v="0.40625"/>
  </r>
  <r>
    <n v="13"/>
    <n v="5"/>
    <n v="3.5"/>
    <x v="1"/>
    <n v="700"/>
    <n v="3.2"/>
    <x v="6"/>
    <n v="-0.3"/>
    <n v="900"/>
    <x v="0"/>
    <x v="0"/>
    <x v="2"/>
    <x v="0"/>
    <x v="12"/>
    <x v="2"/>
    <n v="4500"/>
    <n v="0.38461538461538464"/>
  </r>
  <r>
    <n v="41"/>
    <n v="17"/>
    <n v="4.9000000000000004"/>
    <x v="0"/>
    <n v="7000"/>
    <n v="4.8"/>
    <x v="17"/>
    <n v="0.85"/>
    <n v="8000"/>
    <x v="2"/>
    <x v="1"/>
    <x v="1"/>
    <x v="1"/>
    <x v="9"/>
    <x v="0"/>
    <n v="136000"/>
    <n v="0.41463414634146339"/>
  </r>
  <r>
    <n v="7"/>
    <n v="2"/>
    <n v="2.2000000000000002"/>
    <x v="1"/>
    <n v="100"/>
    <n v="1.9"/>
    <x v="8"/>
    <n v="-0.7"/>
    <n v="300"/>
    <x v="0"/>
    <x v="0"/>
    <x v="3"/>
    <x v="2"/>
    <x v="25"/>
    <x v="1"/>
    <n v="600"/>
    <n v="0.2857142857142857"/>
  </r>
  <r>
    <n v="29"/>
    <n v="12"/>
    <n v="4.3"/>
    <x v="0"/>
    <n v="4000"/>
    <n v="4.2"/>
    <x v="21"/>
    <n v="0.4"/>
    <n v="3000"/>
    <x v="1"/>
    <x v="0"/>
    <x v="1"/>
    <x v="1"/>
    <x v="2"/>
    <x v="2"/>
    <n v="36000"/>
    <n v="0.41379310344827586"/>
  </r>
  <r>
    <n v="16"/>
    <n v="7"/>
    <n v="3.8"/>
    <x v="1"/>
    <n v="600"/>
    <n v="3.3"/>
    <x v="15"/>
    <n v="-0.2"/>
    <n v="1000"/>
    <x v="1"/>
    <x v="0"/>
    <x v="2"/>
    <x v="0"/>
    <x v="16"/>
    <x v="2"/>
    <n v="7000"/>
    <n v="0.4375"/>
  </r>
  <r>
    <n v="38"/>
    <n v="16"/>
    <n v="4.7"/>
    <x v="0"/>
    <n v="7000"/>
    <n v="4.9000000000000004"/>
    <x v="25"/>
    <n v="0.9"/>
    <n v="10000"/>
    <x v="2"/>
    <x v="1"/>
    <x v="0"/>
    <x v="1"/>
    <x v="0"/>
    <x v="0"/>
    <n v="160000"/>
    <n v="0.42105263157894735"/>
  </r>
  <r>
    <n v="2"/>
    <n v="0"/>
    <n v="1"/>
    <x v="1"/>
    <n v="100"/>
    <n v="1"/>
    <x v="38"/>
    <n v="-1"/>
    <n v="100"/>
    <x v="0"/>
    <x v="0"/>
    <x v="3"/>
    <x v="2"/>
    <x v="27"/>
    <x v="1"/>
    <n v="0"/>
    <n v="0"/>
  </r>
  <r>
    <n v="27"/>
    <n v="11"/>
    <n v="4.0999999999999996"/>
    <x v="0"/>
    <n v="4000"/>
    <n v="3.8"/>
    <x v="27"/>
    <n v="0.2"/>
    <n v="4000"/>
    <x v="1"/>
    <x v="0"/>
    <x v="0"/>
    <x v="0"/>
    <x v="2"/>
    <x v="2"/>
    <n v="44000"/>
    <n v="0.40740740740740738"/>
  </r>
  <r>
    <n v="9"/>
    <n v="3"/>
    <n v="3.2"/>
    <x v="1"/>
    <n v="400"/>
    <n v="2.9"/>
    <x v="16"/>
    <n v="-0.4"/>
    <n v="800"/>
    <x v="0"/>
    <x v="0"/>
    <x v="2"/>
    <x v="0"/>
    <x v="20"/>
    <x v="2"/>
    <n v="2400"/>
    <n v="0.33333333333333331"/>
  </r>
  <r>
    <n v="48"/>
    <n v="19"/>
    <n v="4.9000000000000004"/>
    <x v="0"/>
    <n v="10000"/>
    <n v="4.5999999999999996"/>
    <x v="31"/>
    <n v="0.9"/>
    <n v="9000"/>
    <x v="2"/>
    <x v="1"/>
    <x v="0"/>
    <x v="1"/>
    <x v="9"/>
    <x v="0"/>
    <n v="171000"/>
    <n v="0.39583333333333331"/>
  </r>
  <r>
    <n v="6"/>
    <n v="1"/>
    <n v="2.5"/>
    <x v="1"/>
    <n v="200"/>
    <n v="2.2000000000000002"/>
    <x v="4"/>
    <n v="-0.6"/>
    <n v="600"/>
    <x v="0"/>
    <x v="0"/>
    <x v="2"/>
    <x v="0"/>
    <x v="6"/>
    <x v="1"/>
    <n v="600"/>
    <n v="0.16666666666666666"/>
  </r>
  <r>
    <n v="34"/>
    <n v="14"/>
    <n v="4.5"/>
    <x v="0"/>
    <n v="8000"/>
    <n v="4.8"/>
    <x v="24"/>
    <n v="0.9"/>
    <n v="9000"/>
    <x v="2"/>
    <x v="1"/>
    <x v="0"/>
    <x v="1"/>
    <x v="9"/>
    <x v="0"/>
    <n v="126000"/>
    <n v="0.41176470588235292"/>
  </r>
  <r>
    <n v="10"/>
    <n v="4"/>
    <n v="3.3"/>
    <x v="1"/>
    <n v="500"/>
    <n v="2.8"/>
    <x v="16"/>
    <n v="-0.5"/>
    <n v="900"/>
    <x v="0"/>
    <x v="0"/>
    <x v="2"/>
    <x v="0"/>
    <x v="11"/>
    <x v="2"/>
    <n v="3600"/>
    <n v="0.4"/>
  </r>
  <r>
    <n v="45"/>
    <n v="18"/>
    <n v="4.8"/>
    <x v="0"/>
    <n v="9000"/>
    <n v="4.9000000000000004"/>
    <x v="31"/>
    <n v="0.9"/>
    <n v="10000"/>
    <x v="2"/>
    <x v="1"/>
    <x v="0"/>
    <x v="1"/>
    <x v="9"/>
    <x v="0"/>
    <n v="180000"/>
    <n v="0.4"/>
  </r>
  <r>
    <n v="8"/>
    <n v="2"/>
    <n v="2.8"/>
    <x v="1"/>
    <n v="200"/>
    <n v="2.1"/>
    <x v="9"/>
    <n v="-0.7"/>
    <n v="300"/>
    <x v="0"/>
    <x v="0"/>
    <x v="2"/>
    <x v="0"/>
    <x v="29"/>
    <x v="1"/>
    <n v="600"/>
    <n v="0.25"/>
  </r>
  <r>
    <n v="33"/>
    <n v="13"/>
    <n v="4.4000000000000004"/>
    <x v="0"/>
    <n v="5000"/>
    <n v="4.5"/>
    <x v="31"/>
    <n v="0.7"/>
    <n v="6000"/>
    <x v="2"/>
    <x v="0"/>
    <x v="1"/>
    <x v="1"/>
    <x v="4"/>
    <x v="0"/>
    <n v="78000"/>
    <n v="0.39393939393939392"/>
  </r>
  <r>
    <n v="12"/>
    <n v="5"/>
    <n v="3.4"/>
    <x v="1"/>
    <n v="600"/>
    <n v="3.1"/>
    <x v="6"/>
    <n v="-0.3"/>
    <n v="1000"/>
    <x v="1"/>
    <x v="0"/>
    <x v="2"/>
    <x v="0"/>
    <x v="12"/>
    <x v="2"/>
    <n v="5000"/>
    <n v="0.41666666666666669"/>
  </r>
  <r>
    <n v="50"/>
    <n v="20"/>
    <n v="5"/>
    <x v="0"/>
    <n v="10000"/>
    <n v="4.8"/>
    <x v="11"/>
    <n v="1"/>
    <n v="10000"/>
    <x v="2"/>
    <x v="1"/>
    <x v="0"/>
    <x v="1"/>
    <x v="5"/>
    <x v="0"/>
    <n v="200000"/>
    <n v="0.4"/>
  </r>
  <r>
    <n v="21"/>
    <n v="9"/>
    <n v="3.9"/>
    <x v="1"/>
    <n v="800"/>
    <n v="3.6"/>
    <x v="23"/>
    <n v="-0.1"/>
    <n v="600"/>
    <x v="0"/>
    <x v="0"/>
    <x v="2"/>
    <x v="0"/>
    <x v="16"/>
    <x v="2"/>
    <n v="5400"/>
    <n v="0.42857142857142855"/>
  </r>
  <r>
    <n v="49"/>
    <n v="19"/>
    <n v="4.9000000000000004"/>
    <x v="0"/>
    <n v="10000"/>
    <n v="4.8"/>
    <x v="17"/>
    <n v="0.9"/>
    <n v="9000"/>
    <x v="2"/>
    <x v="1"/>
    <x v="1"/>
    <x v="1"/>
    <x v="9"/>
    <x v="0"/>
    <n v="171000"/>
    <n v="0.38775510204081631"/>
  </r>
  <r>
    <n v="14"/>
    <n v="6"/>
    <n v="3.5"/>
    <x v="1"/>
    <n v="700"/>
    <n v="3.2"/>
    <x v="6"/>
    <n v="-0.4"/>
    <n v="900"/>
    <x v="0"/>
    <x v="0"/>
    <x v="2"/>
    <x v="0"/>
    <x v="12"/>
    <x v="2"/>
    <n v="5400"/>
    <n v="0.42857142857142855"/>
  </r>
  <r>
    <n v="36"/>
    <n v="15"/>
    <n v="4.5"/>
    <x v="0"/>
    <n v="6000"/>
    <n v="4.7"/>
    <x v="20"/>
    <n v="0.8"/>
    <n v="5000"/>
    <x v="1"/>
    <x v="1"/>
    <x v="0"/>
    <x v="1"/>
    <x v="10"/>
    <x v="0"/>
    <n v="75000"/>
    <n v="0.41666666666666669"/>
  </r>
  <r>
    <n v="17"/>
    <n v="8"/>
    <n v="3.7"/>
    <x v="1"/>
    <n v="900"/>
    <n v="3.4"/>
    <x v="26"/>
    <n v="-0.2"/>
    <n v="1200"/>
    <x v="1"/>
    <x v="0"/>
    <x v="2"/>
    <x v="0"/>
    <x v="8"/>
    <x v="2"/>
    <n v="9600"/>
    <n v="0.47058823529411764"/>
  </r>
  <r>
    <n v="43"/>
    <n v="17"/>
    <n v="4.8"/>
    <x v="0"/>
    <n v="8000"/>
    <n v="4.7"/>
    <x v="17"/>
    <n v="0.9"/>
    <n v="8000"/>
    <x v="2"/>
    <x v="1"/>
    <x v="0"/>
    <x v="1"/>
    <x v="9"/>
    <x v="0"/>
    <n v="136000"/>
    <n v="0.39534883720930231"/>
  </r>
  <r>
    <n v="19"/>
    <n v="7"/>
    <n v="3.8"/>
    <x v="1"/>
    <n v="700"/>
    <n v="3.5"/>
    <x v="34"/>
    <n v="-0.3"/>
    <n v="700"/>
    <x v="0"/>
    <x v="0"/>
    <x v="2"/>
    <x v="0"/>
    <x v="16"/>
    <x v="2"/>
    <n v="4900"/>
    <n v="0.36842105263157893"/>
  </r>
  <r>
    <n v="35"/>
    <n v="14"/>
    <n v="4.5999999999999996"/>
    <x v="0"/>
    <n v="7000"/>
    <n v="4.9000000000000004"/>
    <x v="25"/>
    <n v="0.95"/>
    <n v="10000"/>
    <x v="2"/>
    <x v="1"/>
    <x v="0"/>
    <x v="1"/>
    <x v="0"/>
    <x v="0"/>
    <n v="140000"/>
    <n v="0.4"/>
  </r>
  <r>
    <n v="20"/>
    <n v="8"/>
    <n v="3.8"/>
    <x v="1"/>
    <n v="800"/>
    <n v="3.5"/>
    <x v="34"/>
    <n v="-0.2"/>
    <n v="800"/>
    <x v="0"/>
    <x v="0"/>
    <x v="2"/>
    <x v="0"/>
    <x v="8"/>
    <x v="2"/>
    <n v="6400"/>
    <n v="0.4"/>
  </r>
  <r>
    <n v="47"/>
    <n v="19"/>
    <n v="4.9000000000000004"/>
    <x v="0"/>
    <n v="10000"/>
    <n v="4.7"/>
    <x v="17"/>
    <n v="0.9"/>
    <n v="9000"/>
    <x v="2"/>
    <x v="1"/>
    <x v="1"/>
    <x v="1"/>
    <x v="9"/>
    <x v="0"/>
    <n v="171000"/>
    <n v="0.40425531914893614"/>
  </r>
  <r>
    <n v="22"/>
    <n v="10"/>
    <n v="4"/>
    <x v="1"/>
    <n v="800"/>
    <n v="3.7"/>
    <x v="23"/>
    <n v="-0.1"/>
    <n v="700"/>
    <x v="0"/>
    <x v="0"/>
    <x v="2"/>
    <x v="0"/>
    <x v="8"/>
    <x v="2"/>
    <n v="7000"/>
    <n v="0.45454545454545453"/>
  </r>
  <r>
    <n v="40"/>
    <n v="16"/>
    <n v="4.7"/>
    <x v="0"/>
    <n v="7000"/>
    <n v="4.8"/>
    <x v="28"/>
    <n v="0.85"/>
    <n v="8000"/>
    <x v="2"/>
    <x v="1"/>
    <x v="1"/>
    <x v="1"/>
    <x v="0"/>
    <x v="0"/>
    <n v="128000"/>
    <n v="0.4"/>
  </r>
  <r>
    <n v="25"/>
    <n v="11"/>
    <n v="4.2"/>
    <x v="1"/>
    <n v="1000"/>
    <n v="3.8"/>
    <x v="9"/>
    <n v="-0.1"/>
    <n v="1500"/>
    <x v="1"/>
    <x v="0"/>
    <x v="2"/>
    <x v="0"/>
    <x v="8"/>
    <x v="2"/>
    <n v="16500"/>
    <n v="0.44"/>
  </r>
  <r>
    <n v="42"/>
    <n v="18"/>
    <n v="4.8"/>
    <x v="0"/>
    <n v="8000"/>
    <n v="4.5999999999999996"/>
    <x v="17"/>
    <n v="0.9"/>
    <n v="8000"/>
    <x v="2"/>
    <x v="1"/>
    <x v="1"/>
    <x v="1"/>
    <x v="9"/>
    <x v="0"/>
    <n v="144000"/>
    <n v="0.42857142857142855"/>
  </r>
  <r>
    <n v="7"/>
    <n v="3"/>
    <n v="2.5"/>
    <x v="1"/>
    <n v="200"/>
    <n v="2.2000000000000002"/>
    <x v="4"/>
    <n v="-0.7"/>
    <n v="600"/>
    <x v="0"/>
    <x v="0"/>
    <x v="2"/>
    <x v="0"/>
    <x v="6"/>
    <x v="1"/>
    <n v="1800"/>
    <n v="0.42857142857142855"/>
  </r>
  <r>
    <n v="27"/>
    <n v="12"/>
    <n v="4.0999999999999996"/>
    <x v="0"/>
    <n v="5000"/>
    <n v="4.3"/>
    <x v="31"/>
    <n v="0.5"/>
    <n v="5000"/>
    <x v="1"/>
    <x v="0"/>
    <x v="1"/>
    <x v="1"/>
    <x v="4"/>
    <x v="0"/>
    <n v="60000"/>
    <n v="0.44444444444444442"/>
  </r>
  <r>
    <n v="44"/>
    <n v="18"/>
    <n v="4.8"/>
    <x v="0"/>
    <n v="9000"/>
    <n v="4.7"/>
    <x v="17"/>
    <n v="0.9"/>
    <n v="9000"/>
    <x v="2"/>
    <x v="1"/>
    <x v="0"/>
    <x v="1"/>
    <x v="9"/>
    <x v="0"/>
    <n v="162000"/>
    <n v="0.40909090909090912"/>
  </r>
  <r>
    <n v="3"/>
    <n v="1"/>
    <n v="1.5"/>
    <x v="1"/>
    <n v="100"/>
    <n v="1.3"/>
    <x v="5"/>
    <n v="-0.8"/>
    <n v="100"/>
    <x v="0"/>
    <x v="0"/>
    <x v="3"/>
    <x v="2"/>
    <x v="26"/>
    <x v="1"/>
    <n v="100"/>
    <n v="0.33333333333333331"/>
  </r>
  <r>
    <n v="29"/>
    <n v="13"/>
    <n v="4.4000000000000004"/>
    <x v="0"/>
    <n v="4000"/>
    <n v="4.0999999999999996"/>
    <x v="21"/>
    <n v="0.4"/>
    <n v="3000"/>
    <x v="1"/>
    <x v="0"/>
    <x v="1"/>
    <x v="1"/>
    <x v="2"/>
    <x v="2"/>
    <n v="39000"/>
    <n v="0.44827586206896552"/>
  </r>
  <r>
    <n v="16"/>
    <n v="7"/>
    <n v="3.7"/>
    <x v="1"/>
    <n v="600"/>
    <n v="3.3"/>
    <x v="15"/>
    <n v="-0.2"/>
    <n v="1000"/>
    <x v="1"/>
    <x v="0"/>
    <x v="2"/>
    <x v="0"/>
    <x v="16"/>
    <x v="2"/>
    <n v="7000"/>
    <n v="0.4375"/>
  </r>
  <r>
    <n v="46"/>
    <n v="19"/>
    <n v="4.9000000000000004"/>
    <x v="0"/>
    <n v="10000"/>
    <n v="4.8"/>
    <x v="31"/>
    <n v="0.9"/>
    <n v="9000"/>
    <x v="2"/>
    <x v="1"/>
    <x v="0"/>
    <x v="1"/>
    <x v="9"/>
    <x v="0"/>
    <n v="171000"/>
    <n v="0.41304347826086957"/>
  </r>
  <r>
    <n v="2"/>
    <n v="0"/>
    <n v="1"/>
    <x v="1"/>
    <n v="100"/>
    <n v="1.1000000000000001"/>
    <x v="8"/>
    <n v="-0.9"/>
    <n v="100"/>
    <x v="0"/>
    <x v="0"/>
    <x v="3"/>
    <x v="2"/>
    <x v="27"/>
    <x v="1"/>
    <n v="0"/>
    <n v="0"/>
  </r>
  <r>
    <n v="30"/>
    <n v="13"/>
    <n v="4.5"/>
    <x v="0"/>
    <n v="5000"/>
    <n v="4.5999999999999996"/>
    <x v="31"/>
    <n v="0.6"/>
    <n v="6000"/>
    <x v="2"/>
    <x v="0"/>
    <x v="1"/>
    <x v="1"/>
    <x v="10"/>
    <x v="0"/>
    <n v="78000"/>
    <n v="0.43333333333333335"/>
  </r>
  <r>
    <n v="13"/>
    <n v="6"/>
    <n v="3.6"/>
    <x v="1"/>
    <n v="800"/>
    <n v="3.4"/>
    <x v="6"/>
    <n v="-0.4"/>
    <n v="1100"/>
    <x v="1"/>
    <x v="0"/>
    <x v="2"/>
    <x v="0"/>
    <x v="16"/>
    <x v="2"/>
    <n v="6600"/>
    <n v="0.46153846153846156"/>
  </r>
  <r>
    <n v="45"/>
    <n v="19"/>
    <n v="4.9000000000000004"/>
    <x v="0"/>
    <n v="10000"/>
    <n v="4.8"/>
    <x v="17"/>
    <n v="0.9"/>
    <n v="10000"/>
    <x v="2"/>
    <x v="1"/>
    <x v="1"/>
    <x v="1"/>
    <x v="9"/>
    <x v="0"/>
    <n v="190000"/>
    <n v="0.42222222222222222"/>
  </r>
  <r>
    <n v="8"/>
    <n v="3"/>
    <n v="3"/>
    <x v="1"/>
    <n v="300"/>
    <n v="2.5"/>
    <x v="9"/>
    <n v="-0.6"/>
    <n v="400"/>
    <x v="0"/>
    <x v="0"/>
    <x v="2"/>
    <x v="0"/>
    <x v="24"/>
    <x v="1"/>
    <n v="1200"/>
    <n v="0.375"/>
  </r>
  <r>
    <n v="33"/>
    <n v="14"/>
    <n v="4.4000000000000004"/>
    <x v="0"/>
    <n v="6000"/>
    <n v="4.7"/>
    <x v="20"/>
    <n v="0.7"/>
    <n v="5000"/>
    <x v="1"/>
    <x v="1"/>
    <x v="0"/>
    <x v="1"/>
    <x v="10"/>
    <x v="0"/>
    <n v="70000"/>
    <n v="0.42424242424242425"/>
  </r>
  <r>
    <n v="11"/>
    <n v="5"/>
    <n v="3.4"/>
    <x v="1"/>
    <n v="600"/>
    <n v="3"/>
    <x v="6"/>
    <n v="-0.5"/>
    <n v="1100"/>
    <x v="1"/>
    <x v="0"/>
    <x v="2"/>
    <x v="0"/>
    <x v="12"/>
    <x v="2"/>
    <n v="5500"/>
    <n v="0.45454545454545453"/>
  </r>
  <r>
    <n v="48"/>
    <n v="20"/>
    <n v="5"/>
    <x v="0"/>
    <n v="10000"/>
    <n v="4.9000000000000004"/>
    <x v="17"/>
    <n v="0.95"/>
    <n v="10000"/>
    <x v="2"/>
    <x v="1"/>
    <x v="0"/>
    <x v="1"/>
    <x v="5"/>
    <x v="0"/>
    <n v="200000"/>
    <n v="0.41666666666666669"/>
  </r>
  <r>
    <n v="4"/>
    <n v="1"/>
    <n v="2"/>
    <x v="1"/>
    <n v="200"/>
    <n v="1.9"/>
    <x v="5"/>
    <n v="-0.8"/>
    <n v="200"/>
    <x v="0"/>
    <x v="0"/>
    <x v="3"/>
    <x v="2"/>
    <x v="28"/>
    <x v="1"/>
    <n v="200"/>
    <n v="0.25"/>
  </r>
  <r>
    <n v="28"/>
    <n v="12"/>
    <n v="4"/>
    <x v="0"/>
    <n v="5000"/>
    <n v="3.8"/>
    <x v="27"/>
    <n v="0.3"/>
    <n v="5000"/>
    <x v="1"/>
    <x v="0"/>
    <x v="1"/>
    <x v="1"/>
    <x v="22"/>
    <x v="2"/>
    <n v="60000"/>
    <n v="0.42857142857142855"/>
  </r>
  <r>
    <n v="14"/>
    <n v="7"/>
    <n v="3.8"/>
    <x v="1"/>
    <n v="700"/>
    <n v="3.5"/>
    <x v="6"/>
    <n v="-0.3"/>
    <n v="1200"/>
    <x v="1"/>
    <x v="0"/>
    <x v="2"/>
    <x v="0"/>
    <x v="8"/>
    <x v="2"/>
    <n v="8400"/>
    <n v="0.5"/>
  </r>
  <r>
    <n v="43"/>
    <n v="18"/>
    <n v="4.8"/>
    <x v="0"/>
    <n v="9000"/>
    <n v="4.7"/>
    <x v="17"/>
    <n v="0.9"/>
    <n v="9000"/>
    <x v="2"/>
    <x v="1"/>
    <x v="0"/>
    <x v="1"/>
    <x v="9"/>
    <x v="0"/>
    <n v="162000"/>
    <n v="0.41860465116279072"/>
  </r>
  <r>
    <n v="9"/>
    <n v="4"/>
    <n v="3.2"/>
    <x v="1"/>
    <n v="400"/>
    <n v="2.7"/>
    <x v="16"/>
    <n v="-0.5"/>
    <n v="1000"/>
    <x v="1"/>
    <x v="0"/>
    <x v="2"/>
    <x v="0"/>
    <x v="11"/>
    <x v="2"/>
    <n v="4000"/>
    <n v="0.44444444444444442"/>
  </r>
  <r>
    <n v="34"/>
    <n v="15"/>
    <n v="4.5"/>
    <x v="0"/>
    <n v="8000"/>
    <n v="4.9000000000000004"/>
    <x v="25"/>
    <n v="0.95"/>
    <n v="10000"/>
    <x v="2"/>
    <x v="1"/>
    <x v="0"/>
    <x v="1"/>
    <x v="0"/>
    <x v="0"/>
    <n v="150000"/>
    <n v="0.44117647058823528"/>
  </r>
  <r>
    <n v="12"/>
    <n v="6"/>
    <n v="3.5"/>
    <x v="1"/>
    <n v="800"/>
    <n v="3.3"/>
    <x v="6"/>
    <n v="-0.4"/>
    <n v="1100"/>
    <x v="1"/>
    <x v="0"/>
    <x v="2"/>
    <x v="0"/>
    <x v="16"/>
    <x v="2"/>
    <n v="6600"/>
    <n v="0.5"/>
  </r>
  <r>
    <n v="49"/>
    <n v="20"/>
    <n v="4.9000000000000004"/>
    <x v="0"/>
    <n v="10000"/>
    <n v="4.8"/>
    <x v="17"/>
    <n v="0.9"/>
    <n v="10000"/>
    <x v="2"/>
    <x v="1"/>
    <x v="1"/>
    <x v="1"/>
    <x v="9"/>
    <x v="0"/>
    <n v="200000"/>
    <n v="0.40816326530612246"/>
  </r>
  <r>
    <n v="5"/>
    <n v="2"/>
    <n v="2.2999999999999998"/>
    <x v="1"/>
    <n v="200"/>
    <n v="2"/>
    <x v="9"/>
    <n v="-0.7"/>
    <n v="500"/>
    <x v="0"/>
    <x v="0"/>
    <x v="2"/>
    <x v="0"/>
    <x v="6"/>
    <x v="1"/>
    <n v="1000"/>
    <n v="0.4"/>
  </r>
  <r>
    <n v="31"/>
    <n v="14"/>
    <n v="4.5"/>
    <x v="0"/>
    <n v="6000"/>
    <n v="4.7"/>
    <x v="20"/>
    <n v="0.75"/>
    <n v="6000"/>
    <x v="2"/>
    <x v="0"/>
    <x v="1"/>
    <x v="1"/>
    <x v="10"/>
    <x v="0"/>
    <n v="84000"/>
    <n v="0.45161290322580644"/>
  </r>
  <r>
    <n v="15"/>
    <n v="8"/>
    <n v="3.9"/>
    <x v="1"/>
    <n v="900"/>
    <n v="3.6"/>
    <x v="26"/>
    <n v="-0.2"/>
    <n v="1300"/>
    <x v="1"/>
    <x v="0"/>
    <x v="2"/>
    <x v="0"/>
    <x v="13"/>
    <x v="2"/>
    <n v="10400"/>
    <n v="0.53333333333333333"/>
  </r>
  <r>
    <n v="10"/>
    <n v="5"/>
    <n v="3.3"/>
    <x v="1"/>
    <n v="600"/>
    <n v="3.1"/>
    <x v="16"/>
    <n v="-0.4"/>
    <n v="1100"/>
    <x v="1"/>
    <x v="0"/>
    <x v="2"/>
    <x v="0"/>
    <x v="12"/>
    <x v="2"/>
    <n v="5500"/>
    <n v="0.5"/>
  </r>
  <r>
    <n v="36"/>
    <n v="16"/>
    <n v="4.5999999999999996"/>
    <x v="0"/>
    <n v="7000"/>
    <n v="4.8"/>
    <x v="20"/>
    <n v="0.8"/>
    <n v="5000"/>
    <x v="1"/>
    <x v="1"/>
    <x v="0"/>
    <x v="1"/>
    <x v="10"/>
    <x v="0"/>
    <n v="80000"/>
    <n v="0.44444444444444442"/>
  </r>
  <r>
    <n v="17"/>
    <n v="8"/>
    <n v="3.8"/>
    <x v="1"/>
    <n v="900"/>
    <n v="3.5"/>
    <x v="26"/>
    <n v="-0.2"/>
    <n v="1300"/>
    <x v="1"/>
    <x v="0"/>
    <x v="2"/>
    <x v="0"/>
    <x v="8"/>
    <x v="2"/>
    <n v="10400"/>
    <n v="0.47058823529411764"/>
  </r>
  <r>
    <n v="50"/>
    <n v="20"/>
    <n v="5"/>
    <x v="0"/>
    <n v="10000"/>
    <n v="4.9000000000000004"/>
    <x v="11"/>
    <n v="1"/>
    <n v="10000"/>
    <x v="2"/>
    <x v="1"/>
    <x v="0"/>
    <x v="1"/>
    <x v="5"/>
    <x v="0"/>
    <n v="200000"/>
    <n v="0.4"/>
  </r>
  <r>
    <n v="32"/>
    <n v="14"/>
    <n v="4.5"/>
    <x v="0"/>
    <n v="6000"/>
    <n v="4.8"/>
    <x v="20"/>
    <n v="0.8"/>
    <n v="6000"/>
    <x v="2"/>
    <x v="1"/>
    <x v="0"/>
    <x v="1"/>
    <x v="0"/>
    <x v="0"/>
    <n v="84000"/>
    <n v="0.4375"/>
  </r>
  <r>
    <n v="18"/>
    <n v="9"/>
    <n v="4"/>
    <x v="1"/>
    <n v="1000"/>
    <n v="3.7"/>
    <x v="34"/>
    <n v="-0.1"/>
    <n v="800"/>
    <x v="0"/>
    <x v="0"/>
    <x v="2"/>
    <x v="0"/>
    <x v="8"/>
    <x v="2"/>
    <n v="7200"/>
    <n v="0.5"/>
  </r>
  <r>
    <n v="37"/>
    <n v="16"/>
    <n v="4.7"/>
    <x v="0"/>
    <n v="7000"/>
    <n v="4.8"/>
    <x v="20"/>
    <n v="0.85"/>
    <n v="6000"/>
    <x v="2"/>
    <x v="1"/>
    <x v="0"/>
    <x v="1"/>
    <x v="0"/>
    <x v="0"/>
    <n v="96000"/>
    <n v="0.43243243243243246"/>
  </r>
  <r>
    <n v="19"/>
    <n v="8"/>
    <n v="3.8"/>
    <x v="1"/>
    <n v="800"/>
    <n v="3.6"/>
    <x v="34"/>
    <n v="-0.3"/>
    <n v="700"/>
    <x v="0"/>
    <x v="0"/>
    <x v="2"/>
    <x v="0"/>
    <x v="16"/>
    <x v="2"/>
    <n v="5600"/>
    <n v="0.42105263157894735"/>
  </r>
  <r>
    <n v="38"/>
    <n v="17"/>
    <n v="4.7"/>
    <x v="0"/>
    <n v="7000"/>
    <n v="4.8"/>
    <x v="28"/>
    <n v="0.9"/>
    <n v="8000"/>
    <x v="2"/>
    <x v="1"/>
    <x v="1"/>
    <x v="1"/>
    <x v="9"/>
    <x v="0"/>
    <n v="136000"/>
    <n v="0.44736842105263158"/>
  </r>
  <r>
    <n v="6"/>
    <n v="2"/>
    <n v="2.5"/>
    <x v="1"/>
    <n v="200"/>
    <n v="2.2999999999999998"/>
    <x v="4"/>
    <n v="-0.6"/>
    <n v="600"/>
    <x v="0"/>
    <x v="0"/>
    <x v="2"/>
    <x v="0"/>
    <x v="6"/>
    <x v="1"/>
    <n v="1200"/>
    <n v="0.33333333333333331"/>
  </r>
  <r>
    <n v="35"/>
    <n v="15"/>
    <n v="4.5999999999999996"/>
    <x v="0"/>
    <n v="6000"/>
    <n v="4.9000000000000004"/>
    <x v="25"/>
    <n v="0.95"/>
    <n v="10000"/>
    <x v="2"/>
    <x v="1"/>
    <x v="0"/>
    <x v="1"/>
    <x v="0"/>
    <x v="0"/>
    <n v="150000"/>
    <n v="0.42857142857142855"/>
  </r>
  <r>
    <n v="21"/>
    <n v="10"/>
    <n v="4.0999999999999996"/>
    <x v="1"/>
    <n v="1000"/>
    <n v="3.8"/>
    <x v="23"/>
    <n v="-0.1"/>
    <n v="700"/>
    <x v="0"/>
    <x v="0"/>
    <x v="2"/>
    <x v="0"/>
    <x v="8"/>
    <x v="2"/>
    <n v="7000"/>
    <n v="0.47619047619047616"/>
  </r>
  <r>
    <n v="39"/>
    <n v="17"/>
    <n v="4.8"/>
    <x v="0"/>
    <n v="8000"/>
    <n v="4.7"/>
    <x v="17"/>
    <n v="0.9"/>
    <n v="8000"/>
    <x v="2"/>
    <x v="1"/>
    <x v="0"/>
    <x v="1"/>
    <x v="9"/>
    <x v="0"/>
    <n v="136000"/>
    <n v="0.4358974358974359"/>
  </r>
  <r>
    <n v="20"/>
    <n v="9"/>
    <n v="4"/>
    <x v="1"/>
    <n v="1000"/>
    <n v="3.7"/>
    <x v="34"/>
    <n v="-0.2"/>
    <n v="800"/>
    <x v="0"/>
    <x v="0"/>
    <x v="2"/>
    <x v="0"/>
    <x v="8"/>
    <x v="2"/>
    <n v="7200"/>
    <n v="0.45"/>
  </r>
  <r>
    <n v="40"/>
    <n v="17"/>
    <n v="4.8"/>
    <x v="0"/>
    <n v="7000"/>
    <n v="4.9000000000000004"/>
    <x v="25"/>
    <n v="0.95"/>
    <n v="10000"/>
    <x v="2"/>
    <x v="1"/>
    <x v="0"/>
    <x v="1"/>
    <x v="0"/>
    <x v="0"/>
    <n v="170000"/>
    <n v="0.42499999999999999"/>
  </r>
  <r>
    <n v="26"/>
    <n v="12"/>
    <n v="4.2"/>
    <x v="1"/>
    <n v="1000"/>
    <n v="3.9"/>
    <x v="9"/>
    <n v="-0.1"/>
    <n v="1500"/>
    <x v="1"/>
    <x v="0"/>
    <x v="2"/>
    <x v="0"/>
    <x v="8"/>
    <x v="2"/>
    <n v="18000"/>
    <n v="0.46153846153846156"/>
  </r>
  <r>
    <n v="41"/>
    <n v="18"/>
    <n v="4.8"/>
    <x v="0"/>
    <n v="8000"/>
    <n v="4.7"/>
    <x v="17"/>
    <n v="0.9"/>
    <n v="8000"/>
    <x v="2"/>
    <x v="1"/>
    <x v="1"/>
    <x v="1"/>
    <x v="9"/>
    <x v="0"/>
    <n v="144000"/>
    <n v="0.43902439024390244"/>
  </r>
  <r>
    <n v="8"/>
    <n v="4"/>
    <n v="3"/>
    <x v="1"/>
    <n v="300"/>
    <n v="2.6"/>
    <x v="9"/>
    <n v="-0.6"/>
    <n v="400"/>
    <x v="0"/>
    <x v="0"/>
    <x v="2"/>
    <x v="0"/>
    <x v="24"/>
    <x v="1"/>
    <n v="1600"/>
    <n v="0.5"/>
  </r>
  <r>
    <n v="34"/>
    <n v="15"/>
    <n v="4.4000000000000004"/>
    <x v="0"/>
    <n v="6000"/>
    <n v="4.7"/>
    <x v="20"/>
    <n v="0.75"/>
    <n v="5000"/>
    <x v="1"/>
    <x v="1"/>
    <x v="0"/>
    <x v="1"/>
    <x v="10"/>
    <x v="0"/>
    <n v="75000"/>
    <n v="0.44117647058823528"/>
  </r>
  <r>
    <n v="4"/>
    <n v="2"/>
    <n v="2.2000000000000002"/>
    <x v="1"/>
    <n v="200"/>
    <n v="2"/>
    <x v="5"/>
    <n v="-0.8"/>
    <n v="300"/>
    <x v="0"/>
    <x v="0"/>
    <x v="3"/>
    <x v="2"/>
    <x v="26"/>
    <x v="1"/>
    <n v="600"/>
    <n v="0.5"/>
  </r>
  <r>
    <n v="30"/>
    <n v="14"/>
    <n v="4.5"/>
    <x v="0"/>
    <n v="5000"/>
    <n v="4.5999999999999996"/>
    <x v="31"/>
    <n v="0.7"/>
    <n v="6000"/>
    <x v="2"/>
    <x v="0"/>
    <x v="1"/>
    <x v="1"/>
    <x v="10"/>
    <x v="0"/>
    <n v="84000"/>
    <n v="0.46666666666666667"/>
  </r>
  <r>
    <n v="17"/>
    <n v="8"/>
    <n v="3.8"/>
    <x v="1"/>
    <n v="700"/>
    <n v="3.4"/>
    <x v="26"/>
    <n v="-0.2"/>
    <n v="1200"/>
    <x v="1"/>
    <x v="0"/>
    <x v="2"/>
    <x v="0"/>
    <x v="8"/>
    <x v="2"/>
    <n v="9600"/>
    <n v="0.47058823529411764"/>
  </r>
  <r>
    <n v="47"/>
    <n v="20"/>
    <n v="5"/>
    <x v="0"/>
    <n v="10000"/>
    <n v="4.9000000000000004"/>
    <x v="17"/>
    <n v="0.95"/>
    <n v="10000"/>
    <x v="2"/>
    <x v="1"/>
    <x v="0"/>
    <x v="1"/>
    <x v="5"/>
    <x v="0"/>
    <n v="200000"/>
    <n v="0.42553191489361702"/>
  </r>
  <r>
    <n v="2"/>
    <n v="1"/>
    <n v="1.3"/>
    <x v="1"/>
    <n v="100"/>
    <n v="1.2"/>
    <x v="5"/>
    <n v="-0.9"/>
    <n v="100"/>
    <x v="0"/>
    <x v="0"/>
    <x v="3"/>
    <x v="2"/>
    <x v="30"/>
    <x v="1"/>
    <n v="100"/>
    <n v="0.5"/>
  </r>
  <r>
    <n v="31"/>
    <n v="15"/>
    <n v="4.5999999999999996"/>
    <x v="0"/>
    <n v="6000"/>
    <n v="4.8"/>
    <x v="20"/>
    <n v="0.8"/>
    <n v="6000"/>
    <x v="2"/>
    <x v="1"/>
    <x v="0"/>
    <x v="1"/>
    <x v="0"/>
    <x v="0"/>
    <n v="90000"/>
    <n v="0.4838709677419355"/>
  </r>
  <r>
    <n v="14"/>
    <n v="7"/>
    <n v="3.9"/>
    <x v="1"/>
    <n v="800"/>
    <n v="3.6"/>
    <x v="6"/>
    <n v="-0.3"/>
    <n v="1100"/>
    <x v="1"/>
    <x v="0"/>
    <x v="2"/>
    <x v="0"/>
    <x v="8"/>
    <x v="2"/>
    <n v="7700"/>
    <n v="0.5"/>
  </r>
  <r>
    <n v="6"/>
    <n v="3"/>
    <n v="2.5"/>
    <x v="1"/>
    <n v="200"/>
    <n v="2.2999999999999998"/>
    <x v="4"/>
    <n v="-0.6"/>
    <n v="600"/>
    <x v="0"/>
    <x v="0"/>
    <x v="2"/>
    <x v="0"/>
    <x v="6"/>
    <x v="1"/>
    <n v="1800"/>
    <n v="0.5"/>
  </r>
  <r>
    <n v="32"/>
    <n v="15"/>
    <n v="4.4000000000000004"/>
    <x v="0"/>
    <n v="6000"/>
    <n v="4.7"/>
    <x v="20"/>
    <n v="0.75"/>
    <n v="6000"/>
    <x v="2"/>
    <x v="1"/>
    <x v="0"/>
    <x v="1"/>
    <x v="10"/>
    <x v="0"/>
    <n v="90000"/>
    <n v="0.46875"/>
  </r>
  <r>
    <n v="15"/>
    <n v="8"/>
    <n v="3.9"/>
    <x v="1"/>
    <n v="900"/>
    <n v="3.5"/>
    <x v="26"/>
    <n v="-0.2"/>
    <n v="1300"/>
    <x v="1"/>
    <x v="0"/>
    <x v="2"/>
    <x v="0"/>
    <x v="13"/>
    <x v="2"/>
    <n v="10400"/>
    <n v="0.53333333333333333"/>
  </r>
  <r>
    <n v="48"/>
    <n v="19"/>
    <n v="4.9000000000000004"/>
    <x v="0"/>
    <n v="10000"/>
    <n v="4.8"/>
    <x v="17"/>
    <n v="0.9"/>
    <n v="9000"/>
    <x v="2"/>
    <x v="1"/>
    <x v="1"/>
    <x v="1"/>
    <x v="9"/>
    <x v="0"/>
    <n v="171000"/>
    <n v="0.39583333333333331"/>
  </r>
  <r>
    <n v="10"/>
    <n v="6"/>
    <n v="3.2"/>
    <x v="1"/>
    <n v="600"/>
    <n v="3.1"/>
    <x v="16"/>
    <n v="-0.4"/>
    <n v="1100"/>
    <x v="1"/>
    <x v="0"/>
    <x v="2"/>
    <x v="0"/>
    <x v="12"/>
    <x v="2"/>
    <n v="6600"/>
    <n v="0.6"/>
  </r>
  <r>
    <n v="37"/>
    <n v="17"/>
    <n v="4.7"/>
    <x v="0"/>
    <n v="7000"/>
    <n v="4.8"/>
    <x v="20"/>
    <n v="0.85"/>
    <n v="6000"/>
    <x v="2"/>
    <x v="1"/>
    <x v="0"/>
    <x v="1"/>
    <x v="0"/>
    <x v="0"/>
    <n v="102000"/>
    <n v="0.45945945945945948"/>
  </r>
  <r>
    <n v="12"/>
    <n v="7"/>
    <n v="3.5"/>
    <x v="1"/>
    <n v="800"/>
    <n v="3.3"/>
    <x v="6"/>
    <n v="-0.4"/>
    <n v="1100"/>
    <x v="1"/>
    <x v="0"/>
    <x v="2"/>
    <x v="0"/>
    <x v="16"/>
    <x v="2"/>
    <n v="7700"/>
    <n v="0.58333333333333337"/>
  </r>
  <r>
    <n v="5"/>
    <n v="3"/>
    <n v="2.5"/>
    <x v="1"/>
    <n v="200"/>
    <n v="2.1"/>
    <x v="9"/>
    <n v="-0.7"/>
    <n v="500"/>
    <x v="0"/>
    <x v="0"/>
    <x v="2"/>
    <x v="0"/>
    <x v="6"/>
    <x v="1"/>
    <n v="1500"/>
    <n v="0.6"/>
  </r>
  <r>
    <n v="33"/>
    <n v="15"/>
    <n v="4.4000000000000004"/>
    <x v="0"/>
    <n v="6000"/>
    <n v="4.8"/>
    <x v="20"/>
    <n v="0.8"/>
    <n v="6000"/>
    <x v="2"/>
    <x v="0"/>
    <x v="0"/>
    <x v="1"/>
    <x v="0"/>
    <x v="0"/>
    <n v="90000"/>
    <n v="0.45454545454545453"/>
  </r>
  <r>
    <n v="13"/>
    <n v="7"/>
    <n v="3.7"/>
    <x v="1"/>
    <n v="900"/>
    <n v="3.5"/>
    <x v="6"/>
    <n v="-0.3"/>
    <n v="1200"/>
    <x v="1"/>
    <x v="0"/>
    <x v="2"/>
    <x v="0"/>
    <x v="8"/>
    <x v="2"/>
    <n v="8400"/>
    <n v="0.53846153846153844"/>
  </r>
  <r>
    <n v="7"/>
    <n v="3"/>
    <n v="2.5"/>
    <x v="1"/>
    <n v="200"/>
    <n v="2.2000000000000002"/>
    <x v="4"/>
    <n v="-0.6"/>
    <n v="600"/>
    <x v="0"/>
    <x v="0"/>
    <x v="2"/>
    <x v="0"/>
    <x v="6"/>
    <x v="1"/>
    <n v="1800"/>
    <n v="0.42857142857142855"/>
  </r>
  <r>
    <n v="35"/>
    <n v="16"/>
    <n v="4.5999999999999996"/>
    <x v="0"/>
    <n v="6000"/>
    <n v="4.9000000000000004"/>
    <x v="25"/>
    <n v="0.95"/>
    <n v="10000"/>
    <x v="2"/>
    <x v="1"/>
    <x v="0"/>
    <x v="1"/>
    <x v="0"/>
    <x v="0"/>
    <n v="160000"/>
    <n v="0.45714285714285713"/>
  </r>
  <r>
    <n v="20"/>
    <n v="10"/>
    <n v="4"/>
    <x v="1"/>
    <n v="1000"/>
    <n v="3.7"/>
    <x v="34"/>
    <n v="-0.2"/>
    <n v="800"/>
    <x v="0"/>
    <x v="0"/>
    <x v="2"/>
    <x v="0"/>
    <x v="8"/>
    <x v="2"/>
    <n v="8000"/>
    <n v="0.5"/>
  </r>
  <r>
    <n v="38"/>
    <n v="18"/>
    <n v="4.8"/>
    <x v="0"/>
    <n v="7000"/>
    <n v="4.8"/>
    <x v="28"/>
    <n v="0.9"/>
    <n v="8000"/>
    <x v="2"/>
    <x v="1"/>
    <x v="1"/>
    <x v="1"/>
    <x v="9"/>
    <x v="0"/>
    <n v="144000"/>
    <n v="0.47368421052631576"/>
  </r>
  <r>
    <n v="9"/>
    <n v="5"/>
    <n v="3.2"/>
    <x v="1"/>
    <n v="600"/>
    <n v="3"/>
    <x v="16"/>
    <n v="-0.4"/>
    <n v="1100"/>
    <x v="1"/>
    <x v="0"/>
    <x v="2"/>
    <x v="0"/>
    <x v="12"/>
    <x v="2"/>
    <n v="5500"/>
    <n v="0.55555555555555558"/>
  </r>
  <r>
    <n v="36"/>
    <n v="17"/>
    <n v="4.5999999999999996"/>
    <x v="0"/>
    <n v="7000"/>
    <n v="4.8"/>
    <x v="20"/>
    <n v="0.85"/>
    <n v="6000"/>
    <x v="2"/>
    <x v="1"/>
    <x v="0"/>
    <x v="1"/>
    <x v="0"/>
    <x v="0"/>
    <n v="102000"/>
    <n v="0.47222222222222221"/>
  </r>
  <r>
    <n v="11"/>
    <n v="6"/>
    <n v="3.4"/>
    <x v="1"/>
    <n v="700"/>
    <n v="3.2"/>
    <x v="6"/>
    <n v="-0.4"/>
    <n v="1200"/>
    <x v="1"/>
    <x v="0"/>
    <x v="2"/>
    <x v="0"/>
    <x v="16"/>
    <x v="2"/>
    <n v="7200"/>
    <n v="0.54545454545454541"/>
  </r>
  <r>
    <n v="47"/>
    <n v="20"/>
    <n v="4.9000000000000004"/>
    <x v="0"/>
    <n v="10000"/>
    <n v="4.8"/>
    <x v="17"/>
    <n v="0.9"/>
    <n v="9000"/>
    <x v="2"/>
    <x v="1"/>
    <x v="1"/>
    <x v="1"/>
    <x v="9"/>
    <x v="0"/>
    <n v="180000"/>
    <n v="0.42553191489361702"/>
  </r>
  <r>
    <n v="6"/>
    <n v="4"/>
    <n v="2.6"/>
    <x v="1"/>
    <n v="200"/>
    <n v="2.4"/>
    <x v="4"/>
    <n v="-0.5"/>
    <n v="700"/>
    <x v="0"/>
    <x v="0"/>
    <x v="2"/>
    <x v="0"/>
    <x v="24"/>
    <x v="1"/>
    <n v="2800"/>
    <n v="0.66666666666666663"/>
  </r>
  <r>
    <n v="32"/>
    <n v="16"/>
    <n v="4.4000000000000004"/>
    <x v="0"/>
    <n v="6000"/>
    <n v="4.7"/>
    <x v="20"/>
    <n v="0.8"/>
    <n v="6000"/>
    <x v="2"/>
    <x v="0"/>
    <x v="0"/>
    <x v="1"/>
    <x v="0"/>
    <x v="0"/>
    <n v="96000"/>
    <n v="0.5"/>
  </r>
  <r>
    <n v="14"/>
    <n v="8"/>
    <n v="4"/>
    <x v="1"/>
    <n v="1000"/>
    <n v="3.8"/>
    <x v="6"/>
    <n v="-0.3"/>
    <n v="1200"/>
    <x v="1"/>
    <x v="0"/>
    <x v="2"/>
    <x v="0"/>
    <x v="8"/>
    <x v="2"/>
    <n v="9600"/>
    <n v="0.5714285714285714"/>
  </r>
  <r>
    <n v="5"/>
    <n v="4"/>
    <n v="2.7"/>
    <x v="1"/>
    <n v="200"/>
    <n v="2.2000000000000002"/>
    <x v="9"/>
    <n v="-0.7"/>
    <n v="500"/>
    <x v="0"/>
    <x v="0"/>
    <x v="2"/>
    <x v="0"/>
    <x v="6"/>
    <x v="1"/>
    <n v="2000"/>
    <n v="0.8"/>
  </r>
  <r>
    <n v="33"/>
    <n v="16"/>
    <n v="4.5"/>
    <x v="0"/>
    <n v="6000"/>
    <n v="4.8"/>
    <x v="20"/>
    <n v="0.8"/>
    <n v="6000"/>
    <x v="2"/>
    <x v="0"/>
    <x v="0"/>
    <x v="1"/>
    <x v="0"/>
    <x v="0"/>
    <n v="96000"/>
    <n v="0.48484848484848486"/>
  </r>
  <r>
    <n v="15"/>
    <n v="9"/>
    <n v="4.0999999999999996"/>
    <x v="1"/>
    <n v="1000"/>
    <n v="3.8"/>
    <x v="26"/>
    <n v="-0.2"/>
    <n v="1300"/>
    <x v="1"/>
    <x v="0"/>
    <x v="2"/>
    <x v="0"/>
    <x v="13"/>
    <x v="2"/>
    <n v="11700"/>
    <n v="0.6"/>
  </r>
  <r>
    <n v="48"/>
    <n v="20"/>
    <n v="4.9000000000000004"/>
    <x v="0"/>
    <n v="10000"/>
    <n v="4.8"/>
    <x v="17"/>
    <n v="0.9"/>
    <n v="10000"/>
    <x v="2"/>
    <x v="1"/>
    <x v="0"/>
    <x v="1"/>
    <x v="9"/>
    <x v="0"/>
    <n v="200000"/>
    <n v="0.41666666666666669"/>
  </r>
  <r>
    <n v="7"/>
    <n v="4"/>
    <n v="2.7"/>
    <x v="1"/>
    <n v="200"/>
    <n v="2.2999999999999998"/>
    <x v="4"/>
    <n v="-0.5"/>
    <n v="700"/>
    <x v="0"/>
    <x v="0"/>
    <x v="2"/>
    <x v="0"/>
    <x v="24"/>
    <x v="1"/>
    <n v="2800"/>
    <n v="0.5714285714285714"/>
  </r>
  <r>
    <n v="34"/>
    <n v="16"/>
    <n v="4.5"/>
    <x v="0"/>
    <n v="6000"/>
    <n v="4.8"/>
    <x v="20"/>
    <n v="0.8"/>
    <n v="6000"/>
    <x v="2"/>
    <x v="0"/>
    <x v="0"/>
    <x v="1"/>
    <x v="0"/>
    <x v="0"/>
    <n v="96000"/>
    <n v="0.47058823529411764"/>
  </r>
  <r>
    <n v="16"/>
    <n v="8"/>
    <n v="3.9"/>
    <x v="1"/>
    <n v="900"/>
    <n v="3.6"/>
    <x v="15"/>
    <n v="-0.2"/>
    <n v="1000"/>
    <x v="1"/>
    <x v="0"/>
    <x v="2"/>
    <x v="0"/>
    <x v="8"/>
    <x v="2"/>
    <n v="8000"/>
    <n v="0.5"/>
  </r>
  <r>
    <n v="8"/>
    <n v="5"/>
    <n v="3"/>
    <x v="1"/>
    <n v="300"/>
    <n v="2.7"/>
    <x v="9"/>
    <n v="-0.6"/>
    <n v="400"/>
    <x v="0"/>
    <x v="0"/>
    <x v="2"/>
    <x v="0"/>
    <x v="24"/>
    <x v="1"/>
    <n v="2000"/>
    <n v="0.625"/>
  </r>
  <r>
    <n v="35"/>
    <n v="17"/>
    <n v="4.5999999999999996"/>
    <x v="0"/>
    <n v="7000"/>
    <n v="4.8"/>
    <x v="25"/>
    <n v="0.9"/>
    <n v="10000"/>
    <x v="2"/>
    <x v="1"/>
    <x v="0"/>
    <x v="1"/>
    <x v="0"/>
    <x v="0"/>
    <n v="170000"/>
    <n v="0.48571428571428571"/>
  </r>
  <r>
    <n v="21"/>
    <n v="11"/>
    <n v="4.0999999999999996"/>
    <x v="1"/>
    <n v="1000"/>
    <n v="3.8"/>
    <x v="23"/>
    <n v="-0.1"/>
    <n v="800"/>
    <x v="0"/>
    <x v="0"/>
    <x v="2"/>
    <x v="0"/>
    <x v="8"/>
    <x v="2"/>
    <n v="8800"/>
    <n v="0.52380952380952384"/>
  </r>
  <r>
    <n v="37"/>
    <n v="18"/>
    <n v="4.7"/>
    <x v="0"/>
    <n v="7000"/>
    <n v="4.8"/>
    <x v="20"/>
    <n v="0.85"/>
    <n v="6000"/>
    <x v="2"/>
    <x v="1"/>
    <x v="0"/>
    <x v="1"/>
    <x v="0"/>
    <x v="0"/>
    <n v="108000"/>
    <n v="0.48648648648648651"/>
  </r>
  <r>
    <n v="10"/>
    <n v="7"/>
    <n v="3.2"/>
    <x v="1"/>
    <n v="600"/>
    <n v="3"/>
    <x v="16"/>
    <n v="-0.4"/>
    <n v="1100"/>
    <x v="1"/>
    <x v="0"/>
    <x v="2"/>
    <x v="0"/>
    <x v="12"/>
    <x v="2"/>
    <n v="7700"/>
    <n v="0.7"/>
  </r>
  <r>
    <n v="38"/>
    <n v="19"/>
    <n v="4.8"/>
    <x v="0"/>
    <n v="7000"/>
    <n v="4.8"/>
    <x v="28"/>
    <n v="0.9"/>
    <n v="8000"/>
    <x v="2"/>
    <x v="1"/>
    <x v="1"/>
    <x v="1"/>
    <x v="9"/>
    <x v="0"/>
    <n v="152000"/>
    <n v="0.5"/>
  </r>
  <r>
    <n v="39"/>
    <n v="19"/>
    <n v="4.8"/>
    <x v="0"/>
    <n v="8000"/>
    <n v="4.7"/>
    <x v="17"/>
    <n v="0.9"/>
    <n v="8000"/>
    <x v="2"/>
    <x v="1"/>
    <x v="0"/>
    <x v="1"/>
    <x v="9"/>
    <x v="0"/>
    <n v="152000"/>
    <n v="0.48717948717948717"/>
  </r>
  <r>
    <n v="6"/>
    <n v="5"/>
    <n v="2.8"/>
    <x v="1"/>
    <n v="200"/>
    <n v="2.5"/>
    <x v="4"/>
    <n v="-0.5"/>
    <n v="800"/>
    <x v="0"/>
    <x v="0"/>
    <x v="2"/>
    <x v="0"/>
    <x v="24"/>
    <x v="1"/>
    <n v="4000"/>
    <n v="0.83333333333333337"/>
  </r>
  <r>
    <n v="32"/>
    <n v="17"/>
    <n v="4.5"/>
    <x v="0"/>
    <n v="6000"/>
    <n v="4.8"/>
    <x v="20"/>
    <n v="0.8"/>
    <n v="6000"/>
    <x v="2"/>
    <x v="0"/>
    <x v="0"/>
    <x v="1"/>
    <x v="0"/>
    <x v="0"/>
    <n v="102000"/>
    <n v="0.53125"/>
  </r>
  <r>
    <n v="13"/>
    <n v="8"/>
    <n v="3.6"/>
    <x v="1"/>
    <n v="900"/>
    <n v="3.4"/>
    <x v="6"/>
    <n v="-0.3"/>
    <n v="1200"/>
    <x v="1"/>
    <x v="0"/>
    <x v="2"/>
    <x v="0"/>
    <x v="8"/>
    <x v="2"/>
    <n v="9600"/>
    <n v="0.61538461538461542"/>
  </r>
  <r>
    <n v="49"/>
    <n v="20"/>
    <n v="4.9000000000000004"/>
    <x v="0"/>
    <n v="10000"/>
    <n v="4.8"/>
    <x v="17"/>
    <n v="0.9"/>
    <n v="9000"/>
    <x v="2"/>
    <x v="1"/>
    <x v="1"/>
    <x v="1"/>
    <x v="9"/>
    <x v="0"/>
    <n v="180000"/>
    <n v="0.40816326530612246"/>
  </r>
  <r>
    <n v="5"/>
    <n v="5"/>
    <n v="2.8"/>
    <x v="1"/>
    <n v="200"/>
    <n v="2.4"/>
    <x v="9"/>
    <n v="-0.7"/>
    <n v="500"/>
    <x v="0"/>
    <x v="0"/>
    <x v="2"/>
    <x v="0"/>
    <x v="6"/>
    <x v="1"/>
    <n v="2500"/>
    <n v="1"/>
  </r>
  <r>
    <n v="33"/>
    <n v="17"/>
    <n v="4.5"/>
    <x v="0"/>
    <n v="6000"/>
    <n v="4.8"/>
    <x v="20"/>
    <n v="0.8"/>
    <n v="6000"/>
    <x v="2"/>
    <x v="0"/>
    <x v="0"/>
    <x v="1"/>
    <x v="0"/>
    <x v="0"/>
    <n v="102000"/>
    <n v="0.51515151515151514"/>
  </r>
  <r>
    <n v="14"/>
    <n v="9"/>
    <n v="4"/>
    <x v="1"/>
    <n v="1000"/>
    <n v="3.8"/>
    <x v="6"/>
    <n v="-0.3"/>
    <n v="1200"/>
    <x v="1"/>
    <x v="0"/>
    <x v="2"/>
    <x v="0"/>
    <x v="8"/>
    <x v="2"/>
    <n v="10800"/>
    <n v="0.6428571428571429"/>
  </r>
  <r>
    <n v="8"/>
    <n v="6"/>
    <n v="3"/>
    <x v="1"/>
    <n v="300"/>
    <n v="2.8"/>
    <x v="9"/>
    <n v="-0.6"/>
    <n v="400"/>
    <x v="0"/>
    <x v="0"/>
    <x v="2"/>
    <x v="0"/>
    <x v="24"/>
    <x v="1"/>
    <n v="2400"/>
    <n v="0.75"/>
  </r>
  <r>
    <n v="35"/>
    <n v="18"/>
    <n v="4.5999999999999996"/>
    <x v="0"/>
    <n v="7000"/>
    <n v="4.8"/>
    <x v="25"/>
    <n v="0.9"/>
    <n v="10000"/>
    <x v="2"/>
    <x v="1"/>
    <x v="0"/>
    <x v="1"/>
    <x v="0"/>
    <x v="0"/>
    <n v="180000"/>
    <n v="0.51428571428571423"/>
  </r>
  <r>
    <n v="22"/>
    <n v="12"/>
    <n v="4.2"/>
    <x v="1"/>
    <n v="1000"/>
    <n v="3.9"/>
    <x v="23"/>
    <n v="-0.1"/>
    <n v="800"/>
    <x v="0"/>
    <x v="0"/>
    <x v="2"/>
    <x v="0"/>
    <x v="8"/>
    <x v="2"/>
    <n v="9600"/>
    <n v="0.54545454545454541"/>
  </r>
  <r>
    <n v="37"/>
    <n v="19"/>
    <n v="4.7"/>
    <x v="0"/>
    <n v="7000"/>
    <n v="4.8"/>
    <x v="20"/>
    <n v="0.85"/>
    <n v="6000"/>
    <x v="2"/>
    <x v="1"/>
    <x v="0"/>
    <x v="1"/>
    <x v="0"/>
    <x v="0"/>
    <n v="114000"/>
    <n v="0.51351351351351349"/>
  </r>
  <r>
    <n v="11"/>
    <n v="7"/>
    <n v="3.3"/>
    <x v="1"/>
    <n v="700"/>
    <n v="3.1"/>
    <x v="6"/>
    <n v="-0.4"/>
    <n v="1200"/>
    <x v="1"/>
    <x v="0"/>
    <x v="2"/>
    <x v="0"/>
    <x v="16"/>
    <x v="2"/>
    <n v="8400"/>
    <n v="0.63636363636363635"/>
  </r>
  <r>
    <n v="38"/>
    <n v="20"/>
    <n v="4.8"/>
    <x v="0"/>
    <n v="7000"/>
    <n v="4.8"/>
    <x v="28"/>
    <n v="0.9"/>
    <n v="8000"/>
    <x v="2"/>
    <x v="1"/>
    <x v="1"/>
    <x v="1"/>
    <x v="9"/>
    <x v="0"/>
    <n v="160000"/>
    <n v="0.52631578947368418"/>
  </r>
  <r>
    <n v="7"/>
    <n v="5"/>
    <n v="2.9"/>
    <x v="1"/>
    <n v="200"/>
    <n v="2.6"/>
    <x v="4"/>
    <n v="-0.5"/>
    <n v="800"/>
    <x v="0"/>
    <x v="0"/>
    <x v="2"/>
    <x v="0"/>
    <x v="24"/>
    <x v="1"/>
    <n v="4000"/>
    <n v="0.7142857142857143"/>
  </r>
  <r>
    <n v="34"/>
    <n v="18"/>
    <n v="4.5999999999999996"/>
    <x v="0"/>
    <n v="7000"/>
    <n v="4.8"/>
    <x v="20"/>
    <n v="0.9"/>
    <n v="7000"/>
    <x v="2"/>
    <x v="0"/>
    <x v="0"/>
    <x v="1"/>
    <x v="0"/>
    <x v="0"/>
    <n v="126000"/>
    <n v="0.52941176470588236"/>
  </r>
  <r>
    <n v="15"/>
    <n v="10"/>
    <n v="4.0999999999999996"/>
    <x v="1"/>
    <n v="1000"/>
    <n v="3.9"/>
    <x v="26"/>
    <n v="-0.1"/>
    <n v="1300"/>
    <x v="1"/>
    <x v="0"/>
    <x v="2"/>
    <x v="0"/>
    <x v="13"/>
    <x v="2"/>
    <n v="13000"/>
    <n v="0.66666666666666663"/>
  </r>
  <r>
    <n v="40"/>
    <n v="19"/>
    <n v="4.8"/>
    <x v="0"/>
    <n v="7000"/>
    <n v="4.8"/>
    <x v="28"/>
    <n v="0.9"/>
    <n v="8000"/>
    <x v="2"/>
    <x v="1"/>
    <x v="1"/>
    <x v="1"/>
    <x v="9"/>
    <x v="0"/>
    <n v="152000"/>
    <n v="0.47499999999999998"/>
  </r>
  <r>
    <n v="9"/>
    <n v="6"/>
    <n v="3.1"/>
    <x v="1"/>
    <n v="300"/>
    <n v="2.9"/>
    <x v="16"/>
    <n v="-0.4"/>
    <n v="1100"/>
    <x v="1"/>
    <x v="0"/>
    <x v="2"/>
    <x v="0"/>
    <x v="12"/>
    <x v="2"/>
    <n v="6600"/>
    <n v="0.66666666666666663"/>
  </r>
  <r>
    <n v="40"/>
    <n v="20"/>
    <n v="4.8"/>
    <x v="0"/>
    <n v="7000"/>
    <n v="4.8"/>
    <x v="28"/>
    <n v="0.9"/>
    <n v="8000"/>
    <x v="2"/>
    <x v="1"/>
    <x v="1"/>
    <x v="1"/>
    <x v="9"/>
    <x v="0"/>
    <n v="160000"/>
    <n v="0.5"/>
  </r>
  <r>
    <n v="7"/>
    <n v="6"/>
    <n v="3"/>
    <x v="1"/>
    <n v="300"/>
    <n v="2.9"/>
    <x v="4"/>
    <n v="-0.4"/>
    <n v="800"/>
    <x v="0"/>
    <x v="0"/>
    <x v="2"/>
    <x v="0"/>
    <x v="12"/>
    <x v="2"/>
    <n v="4800"/>
    <n v="0.8571428571428571"/>
  </r>
  <r>
    <n v="35"/>
    <n v="19"/>
    <n v="4.7"/>
    <x v="0"/>
    <n v="7000"/>
    <n v="4.8"/>
    <x v="25"/>
    <n v="0.9"/>
    <n v="10000"/>
    <x v="2"/>
    <x v="1"/>
    <x v="0"/>
    <x v="1"/>
    <x v="0"/>
    <x v="0"/>
    <n v="190000"/>
    <n v="0.54285714285714282"/>
  </r>
  <r>
    <n v="23"/>
    <n v="13"/>
    <n v="4.3"/>
    <x v="1"/>
    <n v="1000"/>
    <n v="4"/>
    <x v="23"/>
    <n v="0"/>
    <n v="800"/>
    <x v="0"/>
    <x v="0"/>
    <x v="2"/>
    <x v="0"/>
    <x v="8"/>
    <x v="2"/>
    <n v="10400"/>
    <n v="0.56521739130434778"/>
  </r>
  <r>
    <n v="8"/>
    <n v="7"/>
    <n v="3.1"/>
    <x v="1"/>
    <n v="300"/>
    <n v="3"/>
    <x v="9"/>
    <n v="-0.6"/>
    <n v="400"/>
    <x v="0"/>
    <x v="0"/>
    <x v="2"/>
    <x v="0"/>
    <x v="24"/>
    <x v="1"/>
    <n v="2800"/>
    <n v="0.875"/>
  </r>
  <r>
    <n v="36"/>
    <n v="18"/>
    <n v="4.7"/>
    <x v="0"/>
    <n v="7000"/>
    <n v="4.8"/>
    <x v="20"/>
    <n v="0.85"/>
    <n v="6000"/>
    <x v="2"/>
    <x v="1"/>
    <x v="0"/>
    <x v="1"/>
    <x v="0"/>
    <x v="0"/>
    <n v="108000"/>
    <n v="0.5"/>
  </r>
  <r>
    <n v="12"/>
    <n v="8"/>
    <n v="3.6"/>
    <x v="1"/>
    <n v="800"/>
    <n v="3.4"/>
    <x v="6"/>
    <n v="-0.3"/>
    <n v="1200"/>
    <x v="1"/>
    <x v="0"/>
    <x v="2"/>
    <x v="0"/>
    <x v="8"/>
    <x v="2"/>
    <n v="9600"/>
    <n v="0.66666666666666663"/>
  </r>
  <r>
    <n v="9"/>
    <n v="7"/>
    <n v="3.1"/>
    <x v="1"/>
    <n v="300"/>
    <n v="2.9"/>
    <x v="16"/>
    <n v="-0.4"/>
    <n v="1100"/>
    <x v="1"/>
    <x v="0"/>
    <x v="2"/>
    <x v="0"/>
    <x v="12"/>
    <x v="2"/>
    <n v="7700"/>
    <n v="0.77777777777777779"/>
  </r>
  <r>
    <n v="41"/>
    <n v="20"/>
    <n v="4.8"/>
    <x v="0"/>
    <n v="8000"/>
    <n v="4.7"/>
    <x v="17"/>
    <n v="0.9"/>
    <n v="8000"/>
    <x v="2"/>
    <x v="1"/>
    <x v="1"/>
    <x v="1"/>
    <x v="9"/>
    <x v="0"/>
    <n v="160000"/>
    <n v="0.48780487804878048"/>
  </r>
  <r>
    <n v="7"/>
    <n v="7"/>
    <n v="3"/>
    <x v="1"/>
    <n v="300"/>
    <n v="2.8"/>
    <x v="4"/>
    <n v="-0.4"/>
    <n v="800"/>
    <x v="0"/>
    <x v="0"/>
    <x v="2"/>
    <x v="0"/>
    <x v="12"/>
    <x v="2"/>
    <n v="5600"/>
    <n v="1"/>
  </r>
  <r>
    <n v="36"/>
    <n v="19"/>
    <n v="4.8"/>
    <x v="0"/>
    <n v="7000"/>
    <n v="4.8"/>
    <x v="20"/>
    <n v="0.85"/>
    <n v="6000"/>
    <x v="2"/>
    <x v="1"/>
    <x v="0"/>
    <x v="1"/>
    <x v="0"/>
    <x v="0"/>
    <n v="114000"/>
    <n v="0.52777777777777779"/>
  </r>
  <r>
    <n v="13"/>
    <n v="9"/>
    <n v="3.7"/>
    <x v="1"/>
    <n v="900"/>
    <n v="3.5"/>
    <x v="6"/>
    <n v="-0.3"/>
    <n v="1200"/>
    <x v="1"/>
    <x v="0"/>
    <x v="2"/>
    <x v="0"/>
    <x v="8"/>
    <x v="2"/>
    <n v="10800"/>
    <n v="0.69230769230769229"/>
  </r>
  <r>
    <n v="37"/>
    <n v="20"/>
    <n v="4.8"/>
    <x v="0"/>
    <n v="7000"/>
    <n v="4.8"/>
    <x v="20"/>
    <n v="0.85"/>
    <n v="6000"/>
    <x v="2"/>
    <x v="1"/>
    <x v="0"/>
    <x v="1"/>
    <x v="0"/>
    <x v="0"/>
    <n v="120000"/>
    <n v="0.54054054054054057"/>
  </r>
  <r>
    <n v="14"/>
    <n v="10"/>
    <n v="4"/>
    <x v="1"/>
    <n v="1000"/>
    <n v="3.9"/>
    <x v="6"/>
    <n v="-0.3"/>
    <n v="1200"/>
    <x v="1"/>
    <x v="0"/>
    <x v="2"/>
    <x v="0"/>
    <x v="8"/>
    <x v="2"/>
    <n v="12000"/>
    <n v="0.7142857142857143"/>
  </r>
  <r>
    <n v="20"/>
    <n v="5"/>
    <n v="4.3"/>
    <x v="1"/>
    <n v="300"/>
    <n v="4.7"/>
    <x v="9"/>
    <n v="0.8"/>
    <n v="700"/>
    <x v="0"/>
    <x v="0"/>
    <x v="3"/>
    <x v="0"/>
    <x v="0"/>
    <x v="0"/>
    <n v="3500"/>
    <n v="0.25"/>
  </r>
  <r>
    <n v="10"/>
    <n v="2"/>
    <n v="3.8"/>
    <x v="0"/>
    <n v="1000"/>
    <n v="4.2"/>
    <x v="26"/>
    <n v="0.6"/>
    <n v="500"/>
    <x v="0"/>
    <x v="1"/>
    <x v="0"/>
    <x v="0"/>
    <x v="8"/>
    <x v="2"/>
    <n v="1000"/>
    <n v="0.2"/>
  </r>
  <r>
    <n v="5"/>
    <n v="1"/>
    <n v="4.5"/>
    <x v="1"/>
    <n v="1000"/>
    <n v="3.9"/>
    <x v="1"/>
    <n v="0.9"/>
    <n v="900"/>
    <x v="0"/>
    <x v="0"/>
    <x v="1"/>
    <x v="2"/>
    <x v="4"/>
    <x v="0"/>
    <n v="900"/>
    <n v="0.2"/>
  </r>
  <r>
    <n v="15"/>
    <n v="3"/>
    <n v="4.2"/>
    <x v="1"/>
    <n v="2000"/>
    <n v="4.8"/>
    <x v="28"/>
    <n v="0.7"/>
    <n v="1000"/>
    <x v="1"/>
    <x v="1"/>
    <x v="2"/>
    <x v="1"/>
    <x v="2"/>
    <x v="2"/>
    <n v="3000"/>
    <n v="0.2"/>
  </r>
  <r>
    <n v="8"/>
    <n v="0"/>
    <n v="4"/>
    <x v="0"/>
    <n v="400"/>
    <n v="3.5"/>
    <x v="18"/>
    <n v="-0.3"/>
    <n v="800"/>
    <x v="0"/>
    <x v="0"/>
    <x v="0"/>
    <x v="1"/>
    <x v="6"/>
    <x v="1"/>
    <n v="0"/>
    <n v="0"/>
  </r>
  <r>
    <n v="25"/>
    <n v="7"/>
    <n v="4.8"/>
    <x v="0"/>
    <n v="5000"/>
    <n v="4.9000000000000004"/>
    <x v="0"/>
    <n v="0.9"/>
    <n v="700"/>
    <x v="0"/>
    <x v="0"/>
    <x v="3"/>
    <x v="0"/>
    <x v="0"/>
    <x v="0"/>
    <n v="4900"/>
    <n v="0.28000000000000003"/>
  </r>
  <r>
    <n v="30"/>
    <n v="10"/>
    <n v="4.7"/>
    <x v="1"/>
    <n v="1000"/>
    <n v="4.5999999999999996"/>
    <x v="41"/>
    <n v="0.5"/>
    <n v="400"/>
    <x v="0"/>
    <x v="1"/>
    <x v="0"/>
    <x v="0"/>
    <x v="4"/>
    <x v="0"/>
    <n v="4000"/>
    <n v="0.33333333333333331"/>
  </r>
  <r>
    <n v="12"/>
    <n v="4"/>
    <n v="3.5"/>
    <x v="1"/>
    <n v="2000"/>
    <n v="3.4"/>
    <x v="42"/>
    <n v="-0.1"/>
    <n v="900"/>
    <x v="0"/>
    <x v="0"/>
    <x v="3"/>
    <x v="2"/>
    <x v="11"/>
    <x v="2"/>
    <n v="3600"/>
    <n v="0.33333333333333331"/>
  </r>
  <r>
    <n v="40"/>
    <n v="15"/>
    <n v="4.9000000000000004"/>
    <x v="0"/>
    <n v="8000"/>
    <n v="4.7"/>
    <x v="3"/>
    <n v="0.9"/>
    <n v="200"/>
    <x v="0"/>
    <x v="1"/>
    <x v="1"/>
    <x v="0"/>
    <x v="0"/>
    <x v="0"/>
    <n v="3000"/>
    <n v="0.375"/>
  </r>
  <r>
    <n v="5"/>
    <n v="0"/>
    <n v="2.5"/>
    <x v="0"/>
    <n v="1000"/>
    <n v="2.8"/>
    <x v="16"/>
    <n v="-0.6"/>
    <n v="100"/>
    <x v="0"/>
    <x v="0"/>
    <x v="3"/>
    <x v="1"/>
    <x v="3"/>
    <x v="1"/>
    <n v="0"/>
    <n v="0"/>
  </r>
  <r>
    <n v="18"/>
    <n v="6"/>
    <n v="4.0999999999999996"/>
    <x v="1"/>
    <n v="3000"/>
    <n v="4.5"/>
    <x v="4"/>
    <n v="0.8"/>
    <n v="600"/>
    <x v="0"/>
    <x v="1"/>
    <x v="0"/>
    <x v="0"/>
    <x v="2"/>
    <x v="2"/>
    <n v="3600"/>
    <n v="0.33333333333333331"/>
  </r>
  <r>
    <n v="22"/>
    <n v="8"/>
    <n v="4.5999999999999996"/>
    <x v="1"/>
    <n v="600"/>
    <n v="4.4000000000000004"/>
    <x v="10"/>
    <n v="0.4"/>
    <n v="300"/>
    <x v="0"/>
    <x v="1"/>
    <x v="2"/>
    <x v="1"/>
    <x v="8"/>
    <x v="2"/>
    <n v="2400"/>
    <n v="0.36363636363636365"/>
  </r>
  <r>
    <n v="3"/>
    <n v="0"/>
    <n v="3"/>
    <x v="0"/>
    <n v="700"/>
    <n v="3.2"/>
    <x v="43"/>
    <n v="-0.5"/>
    <n v="1000"/>
    <x v="1"/>
    <x v="1"/>
    <x v="3"/>
    <x v="0"/>
    <x v="1"/>
    <x v="1"/>
    <n v="0"/>
    <n v="0"/>
  </r>
  <r>
    <n v="45"/>
    <n v="18"/>
    <n v="4.9000000000000004"/>
    <x v="0"/>
    <n v="9000"/>
    <n v="4.9000000000000004"/>
    <x v="6"/>
    <n v="0.9"/>
    <n v="900"/>
    <x v="0"/>
    <x v="1"/>
    <x v="3"/>
    <x v="2"/>
    <x v="5"/>
    <x v="0"/>
    <n v="16200"/>
    <n v="0.4"/>
  </r>
  <r>
    <n v="7"/>
    <n v="2"/>
    <n v="3.7"/>
    <x v="1"/>
    <n v="200"/>
    <n v="3.8"/>
    <x v="19"/>
    <n v="0.2"/>
    <n v="300"/>
    <x v="0"/>
    <x v="0"/>
    <x v="0"/>
    <x v="1"/>
    <x v="12"/>
    <x v="2"/>
    <n v="600"/>
    <n v="0.2857142857142857"/>
  </r>
  <r>
    <n v="10"/>
    <n v="2"/>
    <n v="4"/>
    <x v="0"/>
    <n v="800"/>
    <n v="4.0999999999999996"/>
    <x v="24"/>
    <n v="0.7"/>
    <n v="700"/>
    <x v="0"/>
    <x v="1"/>
    <x v="3"/>
    <x v="1"/>
    <x v="4"/>
    <x v="0"/>
    <n v="1400"/>
    <n v="0.2"/>
  </r>
  <r>
    <n v="28"/>
    <n v="12"/>
    <n v="4.5"/>
    <x v="1"/>
    <n v="1500"/>
    <n v="4.5999999999999996"/>
    <x v="34"/>
    <n v="0.6"/>
    <n v="200"/>
    <x v="0"/>
    <x v="0"/>
    <x v="3"/>
    <x v="0"/>
    <x v="4"/>
    <x v="0"/>
    <n v="2400"/>
    <n v="0.42857142857142855"/>
  </r>
  <r>
    <n v="35"/>
    <n v="14"/>
    <n v="4.8"/>
    <x v="0"/>
    <n v="4000"/>
    <n v="4.8"/>
    <x v="13"/>
    <n v="0.8"/>
    <n v="500"/>
    <x v="0"/>
    <x v="1"/>
    <x v="2"/>
    <x v="1"/>
    <x v="0"/>
    <x v="0"/>
    <n v="7000"/>
    <n v="0.4"/>
  </r>
  <r>
    <n v="2"/>
    <n v="0"/>
    <n v="2"/>
    <x v="0"/>
    <n v="200"/>
    <n v="2.2999999999999998"/>
    <x v="23"/>
    <n v="-0.9"/>
    <n v="100"/>
    <x v="0"/>
    <x v="0"/>
    <x v="0"/>
    <x v="0"/>
    <x v="3"/>
    <x v="1"/>
    <n v="0"/>
    <n v="0"/>
  </r>
  <r>
    <n v="16"/>
    <n v="5"/>
    <n v="3.9"/>
    <x v="1"/>
    <n v="500"/>
    <n v="3.7"/>
    <x v="29"/>
    <n v="0.3"/>
    <n v="800"/>
    <x v="0"/>
    <x v="0"/>
    <x v="1"/>
    <x v="2"/>
    <x v="12"/>
    <x v="2"/>
    <n v="4000"/>
    <n v="0.3125"/>
  </r>
  <r>
    <n v="6"/>
    <n v="1"/>
    <n v="3.2"/>
    <x v="0"/>
    <n v="6000"/>
    <n v="3.6"/>
    <x v="12"/>
    <n v="-0.2"/>
    <n v="600"/>
    <x v="0"/>
    <x v="1"/>
    <x v="0"/>
    <x v="1"/>
    <x v="11"/>
    <x v="2"/>
    <n v="600"/>
    <n v="0.16666666666666666"/>
  </r>
  <r>
    <n v="38"/>
    <n v="16"/>
    <n v="4.7"/>
    <x v="1"/>
    <n v="7000"/>
    <n v="4.7"/>
    <x v="38"/>
    <n v="0.9"/>
    <n v="100"/>
    <x v="0"/>
    <x v="1"/>
    <x v="2"/>
    <x v="0"/>
    <x v="5"/>
    <x v="0"/>
    <n v="1600"/>
    <n v="0.42105263157894735"/>
  </r>
  <r>
    <n v="9"/>
    <n v="3"/>
    <n v="3.6"/>
    <x v="0"/>
    <n v="900"/>
    <n v="3.3"/>
    <x v="20"/>
    <n v="-0.4"/>
    <n v="400"/>
    <x v="0"/>
    <x v="0"/>
    <x v="0"/>
    <x v="0"/>
    <x v="1"/>
    <x v="1"/>
    <n v="1200"/>
    <n v="0.33333333333333331"/>
  </r>
  <r>
    <n v="14"/>
    <n v="4"/>
    <n v="4.4000000000000004"/>
    <x v="1"/>
    <n v="4000"/>
    <n v="4.4000000000000004"/>
    <x v="44"/>
    <n v="0.2"/>
    <n v="800"/>
    <x v="0"/>
    <x v="0"/>
    <x v="3"/>
    <x v="0"/>
    <x v="2"/>
    <x v="2"/>
    <n v="3200"/>
    <n v="0.2857142857142857"/>
  </r>
  <r>
    <n v="21"/>
    <n v="7"/>
    <n v="4.5999999999999996"/>
    <x v="1"/>
    <n v="2000"/>
    <n v="4.5"/>
    <x v="32"/>
    <n v="0.7"/>
    <n v="800"/>
    <x v="0"/>
    <x v="1"/>
    <x v="3"/>
    <x v="0"/>
    <x v="4"/>
    <x v="0"/>
    <n v="5600"/>
    <n v="0.33333333333333331"/>
  </r>
  <r>
    <n v="33"/>
    <n v="11"/>
    <n v="4.3"/>
    <x v="0"/>
    <n v="3000"/>
    <n v="4.2"/>
    <x v="9"/>
    <n v="0.4"/>
    <n v="700"/>
    <x v="0"/>
    <x v="1"/>
    <x v="1"/>
    <x v="2"/>
    <x v="8"/>
    <x v="2"/>
    <n v="7700"/>
    <n v="0.33333333333333331"/>
  </r>
  <r>
    <n v="8"/>
    <n v="1"/>
    <n v="3.7"/>
    <x v="0"/>
    <n v="500"/>
    <n v="3.8"/>
    <x v="26"/>
    <n v="0.3"/>
    <n v="300"/>
    <x v="0"/>
    <x v="0"/>
    <x v="3"/>
    <x v="0"/>
    <x v="11"/>
    <x v="2"/>
    <n v="300"/>
    <n v="0.125"/>
  </r>
  <r>
    <n v="11"/>
    <n v="3"/>
    <n v="4.0999999999999996"/>
    <x v="1"/>
    <n v="7000"/>
    <n v="4.4000000000000004"/>
    <x v="1"/>
    <n v="0.8"/>
    <n v="900"/>
    <x v="0"/>
    <x v="1"/>
    <x v="2"/>
    <x v="2"/>
    <x v="0"/>
    <x v="0"/>
    <n v="2700"/>
    <n v="0.27272727272727271"/>
  </r>
  <r>
    <n v="25"/>
    <n v="8"/>
    <n v="4.8"/>
    <x v="0"/>
    <n v="10000"/>
    <n v="4.9000000000000004"/>
    <x v="45"/>
    <n v="0.9"/>
    <n v="600"/>
    <x v="0"/>
    <x v="1"/>
    <x v="3"/>
    <x v="1"/>
    <x v="5"/>
    <x v="0"/>
    <n v="4800"/>
    <n v="0.32"/>
  </r>
  <r>
    <n v="5"/>
    <n v="2"/>
    <n v="2.9"/>
    <x v="1"/>
    <n v="400"/>
    <n v="3.1"/>
    <x v="28"/>
    <n v="-0.5"/>
    <n v="400"/>
    <x v="0"/>
    <x v="0"/>
    <x v="0"/>
    <x v="0"/>
    <x v="3"/>
    <x v="1"/>
    <n v="800"/>
    <n v="0.4"/>
  </r>
  <r>
    <n v="17"/>
    <n v="6"/>
    <n v="4.5"/>
    <x v="0"/>
    <n v="2000"/>
    <n v="4.3"/>
    <x v="18"/>
    <n v="0.6"/>
    <n v="700"/>
    <x v="0"/>
    <x v="1"/>
    <x v="3"/>
    <x v="0"/>
    <x v="4"/>
    <x v="0"/>
    <n v="4200"/>
    <n v="0.35294117647058826"/>
  </r>
  <r>
    <n v="29"/>
    <n v="9"/>
    <n v="4.7"/>
    <x v="0"/>
    <n v="700"/>
    <n v="4.5999999999999996"/>
    <x v="2"/>
    <n v="0.7"/>
    <n v="800"/>
    <x v="0"/>
    <x v="1"/>
    <x v="3"/>
    <x v="0"/>
    <x v="4"/>
    <x v="0"/>
    <n v="7200"/>
    <n v="0.31034482758620691"/>
  </r>
  <r>
    <n v="4"/>
    <n v="0"/>
    <n v="2"/>
    <x v="1"/>
    <n v="1000"/>
    <n v="2.2999999999999998"/>
    <x v="0"/>
    <n v="-0.8"/>
    <n v="200"/>
    <x v="0"/>
    <x v="0"/>
    <x v="1"/>
    <x v="2"/>
    <x v="3"/>
    <x v="1"/>
    <n v="0"/>
    <n v="0"/>
  </r>
  <r>
    <n v="14"/>
    <n v="4"/>
    <n v="3.9"/>
    <x v="0"/>
    <n v="3000"/>
    <n v="4.2"/>
    <x v="41"/>
    <n v="0.5"/>
    <n v="900"/>
    <x v="0"/>
    <x v="0"/>
    <x v="0"/>
    <x v="0"/>
    <x v="2"/>
    <x v="2"/>
    <n v="3600"/>
    <n v="0.2857142857142857"/>
  </r>
  <r>
    <n v="6"/>
    <n v="2"/>
    <n v="3.2"/>
    <x v="1"/>
    <n v="4000"/>
    <n v="3.5"/>
    <x v="42"/>
    <n v="0.1"/>
    <n v="500"/>
    <x v="0"/>
    <x v="1"/>
    <x v="3"/>
    <x v="1"/>
    <x v="6"/>
    <x v="1"/>
    <n v="1000"/>
    <n v="0.33333333333333331"/>
  </r>
  <r>
    <n v="19"/>
    <n v="5"/>
    <n v="4.2"/>
    <x v="1"/>
    <n v="6000"/>
    <n v="4.7"/>
    <x v="3"/>
    <n v="0.8"/>
    <n v="1000"/>
    <x v="1"/>
    <x v="1"/>
    <x v="0"/>
    <x v="0"/>
    <x v="0"/>
    <x v="0"/>
    <n v="5000"/>
    <n v="0.26315789473684209"/>
  </r>
  <r>
    <n v="22"/>
    <n v="10"/>
    <n v="4.4000000000000004"/>
    <x v="0"/>
    <n v="1500"/>
    <n v="4.5999999999999996"/>
    <x v="16"/>
    <n v="0.3"/>
    <n v="300"/>
    <x v="0"/>
    <x v="1"/>
    <x v="3"/>
    <x v="2"/>
    <x v="12"/>
    <x v="2"/>
    <n v="3000"/>
    <n v="0.45454545454545453"/>
  </r>
  <r>
    <n v="12"/>
    <n v="3"/>
    <n v="3.8"/>
    <x v="1"/>
    <n v="5000"/>
    <n v="3.9"/>
    <x v="4"/>
    <n v="0.6"/>
    <n v="200"/>
    <x v="0"/>
    <x v="1"/>
    <x v="1"/>
    <x v="1"/>
    <x v="2"/>
    <x v="2"/>
    <n v="600"/>
    <n v="0.25"/>
  </r>
  <r>
    <n v="27"/>
    <n v="13"/>
    <n v="4.5999999999999996"/>
    <x v="0"/>
    <n v="8000"/>
    <n v="4.8"/>
    <x v="10"/>
    <n v="0.9"/>
    <n v="700"/>
    <x v="0"/>
    <x v="1"/>
    <x v="0"/>
    <x v="0"/>
    <x v="0"/>
    <x v="0"/>
    <n v="9100"/>
    <n v="0.48148148148148145"/>
  </r>
  <r>
    <n v="8"/>
    <n v="2"/>
    <n v="3"/>
    <x v="1"/>
    <n v="200"/>
    <n v="3.4"/>
    <x v="43"/>
    <n v="-0.2"/>
    <n v="600"/>
    <x v="0"/>
    <x v="1"/>
    <x v="3"/>
    <x v="2"/>
    <x v="11"/>
    <x v="2"/>
    <n v="1200"/>
    <n v="0.25"/>
  </r>
  <r>
    <n v="36"/>
    <n v="15"/>
    <n v="4.9000000000000004"/>
    <x v="0"/>
    <n v="900"/>
    <n v="4.8"/>
    <x v="6"/>
    <n v="0.8"/>
    <n v="800"/>
    <x v="0"/>
    <x v="1"/>
    <x v="3"/>
    <x v="1"/>
    <x v="0"/>
    <x v="0"/>
    <n v="12000"/>
    <n v="0.41666666666666669"/>
  </r>
  <r>
    <n v="15"/>
    <n v="5"/>
    <n v="3.8"/>
    <x v="1"/>
    <n v="300"/>
    <n v="3.6"/>
    <x v="19"/>
    <n v="0.2"/>
    <n v="900"/>
    <x v="0"/>
    <x v="0"/>
    <x v="0"/>
    <x v="0"/>
    <x v="12"/>
    <x v="2"/>
    <n v="4500"/>
    <n v="0.33333333333333331"/>
  </r>
  <r>
    <n v="10"/>
    <n v="3"/>
    <n v="3.5"/>
    <x v="0"/>
    <n v="6000"/>
    <n v="3.7"/>
    <x v="24"/>
    <n v="0.5"/>
    <n v="400"/>
    <x v="0"/>
    <x v="1"/>
    <x v="2"/>
    <x v="0"/>
    <x v="8"/>
    <x v="2"/>
    <n v="1200"/>
    <n v="0.3"/>
  </r>
  <r>
    <n v="24"/>
    <n v="8"/>
    <n v="4.3"/>
    <x v="1"/>
    <n v="2000"/>
    <n v="4.5"/>
    <x v="34"/>
    <n v="0.7"/>
    <n v="800"/>
    <x v="0"/>
    <x v="1"/>
    <x v="3"/>
    <x v="2"/>
    <x v="0"/>
    <x v="0"/>
    <n v="6400"/>
    <n v="0.33333333333333331"/>
  </r>
  <r>
    <n v="31"/>
    <n v="12"/>
    <n v="4.8"/>
    <x v="0"/>
    <n v="4000"/>
    <n v="4.7"/>
    <x v="13"/>
    <n v="0.9"/>
    <n v="600"/>
    <x v="0"/>
    <x v="1"/>
    <x v="3"/>
    <x v="0"/>
    <x v="5"/>
    <x v="0"/>
    <n v="7200"/>
    <n v="0.38709677419354838"/>
  </r>
  <r>
    <n v="3"/>
    <n v="1"/>
    <n v="2.5"/>
    <x v="0"/>
    <n v="300"/>
    <n v="2.7"/>
    <x v="23"/>
    <n v="-0.7"/>
    <n v="500"/>
    <x v="0"/>
    <x v="0"/>
    <x v="3"/>
    <x v="1"/>
    <x v="3"/>
    <x v="1"/>
    <n v="500"/>
    <n v="0.33333333333333331"/>
  </r>
  <r>
    <n v="16"/>
    <n v="4"/>
    <n v="3.6"/>
    <x v="1"/>
    <n v="8000"/>
    <n v="3.8"/>
    <x v="29"/>
    <n v="0.1"/>
    <n v="200"/>
    <x v="0"/>
    <x v="1"/>
    <x v="0"/>
    <x v="2"/>
    <x v="1"/>
    <x v="1"/>
    <n v="800"/>
    <n v="0.25"/>
  </r>
  <r>
    <n v="9"/>
    <n v="2"/>
    <n v="3"/>
    <x v="0"/>
    <n v="700"/>
    <n v="3.3"/>
    <x v="12"/>
    <n v="-0.3"/>
    <n v="100"/>
    <x v="0"/>
    <x v="0"/>
    <x v="3"/>
    <x v="0"/>
    <x v="1"/>
    <x v="1"/>
    <n v="200"/>
    <n v="0.22222222222222221"/>
  </r>
  <r>
    <n v="39"/>
    <n v="17"/>
    <n v="4.8"/>
    <x v="1"/>
    <n v="8000"/>
    <n v="4.8"/>
    <x v="38"/>
    <n v="0.9"/>
    <n v="500"/>
    <x v="0"/>
    <x v="1"/>
    <x v="2"/>
    <x v="2"/>
    <x v="5"/>
    <x v="0"/>
    <n v="8500"/>
    <n v="0.4358974358974359"/>
  </r>
  <r>
    <n v="7"/>
    <n v="1"/>
    <n v="2.8"/>
    <x v="0"/>
    <n v="500"/>
    <n v="3"/>
    <x v="20"/>
    <n v="-0.6"/>
    <n v="300"/>
    <x v="0"/>
    <x v="0"/>
    <x v="0"/>
    <x v="0"/>
    <x v="3"/>
    <x v="1"/>
    <n v="300"/>
    <n v="0.14285714285714285"/>
  </r>
  <r>
    <n v="20"/>
    <n v="6"/>
    <n v="4.0999999999999996"/>
    <x v="1"/>
    <n v="4000"/>
    <n v="4.2"/>
    <x v="44"/>
    <n v="0.4"/>
    <n v="700"/>
    <x v="0"/>
    <x v="1"/>
    <x v="3"/>
    <x v="1"/>
    <x v="2"/>
    <x v="2"/>
    <n v="4200"/>
    <n v="0.3"/>
  </r>
  <r>
    <n v="23"/>
    <n v="7"/>
    <n v="4.7"/>
    <x v="1"/>
    <n v="600"/>
    <n v="4.5999999999999996"/>
    <x v="32"/>
    <n v="0.8"/>
    <n v="400"/>
    <x v="0"/>
    <x v="1"/>
    <x v="0"/>
    <x v="0"/>
    <x v="4"/>
    <x v="0"/>
    <n v="2800"/>
    <n v="0.30434782608695654"/>
  </r>
  <r>
    <n v="35"/>
    <n v="12"/>
    <n v="4.4000000000000004"/>
    <x v="0"/>
    <n v="2000"/>
    <n v="4.3"/>
    <x v="9"/>
    <n v="0.5"/>
    <n v="300"/>
    <x v="0"/>
    <x v="0"/>
    <x v="3"/>
    <x v="2"/>
    <x v="2"/>
    <x v="2"/>
    <n v="3600"/>
    <n v="0.34285714285714286"/>
  </r>
  <r>
    <n v="10"/>
    <n v="2"/>
    <n v="3.6"/>
    <x v="0"/>
    <n v="5000"/>
    <n v="3.8"/>
    <x v="26"/>
    <n v="0.2"/>
    <n v="800"/>
    <x v="0"/>
    <x v="1"/>
    <x v="3"/>
    <x v="1"/>
    <x v="12"/>
    <x v="2"/>
    <n v="1600"/>
    <n v="0.2"/>
  </r>
  <r>
    <n v="13"/>
    <n v="4"/>
    <n v="4"/>
    <x v="1"/>
    <n v="9000"/>
    <n v="4.5"/>
    <x v="1"/>
    <n v="0.9"/>
    <n v="600"/>
    <x v="0"/>
    <x v="1"/>
    <x v="0"/>
    <x v="2"/>
    <x v="0"/>
    <x v="0"/>
    <n v="2400"/>
    <n v="0.30769230769230771"/>
  </r>
  <r>
    <n v="26"/>
    <n v="9"/>
    <n v="4.8"/>
    <x v="0"/>
    <n v="10000"/>
    <n v="4.9000000000000004"/>
    <x v="45"/>
    <n v="0.9"/>
    <n v="900"/>
    <x v="0"/>
    <x v="1"/>
    <x v="2"/>
    <x v="1"/>
    <x v="5"/>
    <x v="0"/>
    <n v="8100"/>
    <n v="0.34615384615384615"/>
  </r>
  <r>
    <n v="6"/>
    <n v="1"/>
    <n v="2.8"/>
    <x v="1"/>
    <n v="300"/>
    <n v="3"/>
    <x v="28"/>
    <n v="-0.4"/>
    <n v="200"/>
    <x v="0"/>
    <x v="0"/>
    <x v="3"/>
    <x v="0"/>
    <x v="3"/>
    <x v="1"/>
    <n v="200"/>
    <n v="0.16666666666666666"/>
  </r>
  <r>
    <n v="18"/>
    <n v="7"/>
    <n v="4.5999999999999996"/>
    <x v="0"/>
    <n v="1500"/>
    <n v="4.4000000000000004"/>
    <x v="18"/>
    <n v="0.7"/>
    <n v="400"/>
    <x v="0"/>
    <x v="1"/>
    <x v="3"/>
    <x v="0"/>
    <x v="4"/>
    <x v="0"/>
    <n v="2800"/>
    <n v="0.3888888888888889"/>
  </r>
  <r>
    <n v="30"/>
    <n v="10"/>
    <n v="4.5"/>
    <x v="0"/>
    <n v="800"/>
    <n v="4.5999999999999996"/>
    <x v="2"/>
    <n v="0.8"/>
    <n v="500"/>
    <x v="0"/>
    <x v="1"/>
    <x v="1"/>
    <x v="0"/>
    <x v="4"/>
    <x v="0"/>
    <n v="5000"/>
    <n v="0.33333333333333331"/>
  </r>
  <r>
    <n v="5"/>
    <n v="0"/>
    <n v="1.8"/>
    <x v="1"/>
    <n v="1500"/>
    <n v="2.2000000000000002"/>
    <x v="0"/>
    <n v="-0.9"/>
    <n v="100"/>
    <x v="0"/>
    <x v="0"/>
    <x v="3"/>
    <x v="2"/>
    <x v="27"/>
    <x v="1"/>
    <n v="0"/>
    <n v="0"/>
  </r>
  <r>
    <n v="16"/>
    <n v="5"/>
    <n v="3.8"/>
    <x v="0"/>
    <n v="4000"/>
    <n v="4.0999999999999996"/>
    <x v="41"/>
    <n v="0.4"/>
    <n v="700"/>
    <x v="0"/>
    <x v="1"/>
    <x v="3"/>
    <x v="1"/>
    <x v="2"/>
    <x v="2"/>
    <n v="3500"/>
    <n v="0.3125"/>
  </r>
  <r>
    <n v="7"/>
    <n v="2"/>
    <n v="3.1"/>
    <x v="1"/>
    <n v="5000"/>
    <n v="3.3"/>
    <x v="42"/>
    <n v="0.1"/>
    <n v="300"/>
    <x v="0"/>
    <x v="1"/>
    <x v="0"/>
    <x v="2"/>
    <x v="11"/>
    <x v="2"/>
    <n v="600"/>
    <n v="0.2857142857142857"/>
  </r>
  <r>
    <n v="20"/>
    <n v="6"/>
    <n v="4.3"/>
    <x v="1"/>
    <n v="700"/>
    <n v="4.7"/>
    <x v="3"/>
    <n v="0.8"/>
    <n v="800"/>
    <x v="0"/>
    <x v="1"/>
    <x v="3"/>
    <x v="0"/>
    <x v="0"/>
    <x v="0"/>
    <n v="4800"/>
    <n v="0.3"/>
  </r>
  <r>
    <n v="24"/>
    <n v="8"/>
    <n v="4.5"/>
    <x v="0"/>
    <n v="1000"/>
    <n v="4.7"/>
    <x v="16"/>
    <n v="0.4"/>
    <n v="600"/>
    <x v="0"/>
    <x v="1"/>
    <x v="0"/>
    <x v="0"/>
    <x v="8"/>
    <x v="2"/>
    <n v="4800"/>
    <n v="0.33333333333333331"/>
  </r>
  <r>
    <n v="14"/>
    <n v="4"/>
    <n v="3.9"/>
    <x v="1"/>
    <n v="6000"/>
    <n v="4"/>
    <x v="4"/>
    <n v="0.6"/>
    <n v="200"/>
    <x v="0"/>
    <x v="1"/>
    <x v="3"/>
    <x v="0"/>
    <x v="12"/>
    <x v="2"/>
    <n v="800"/>
    <n v="0.2857142857142857"/>
  </r>
  <r>
    <n v="28"/>
    <n v="14"/>
    <n v="4.7"/>
    <x v="0"/>
    <n v="9000"/>
    <n v="4.8"/>
    <x v="10"/>
    <n v="0.9"/>
    <n v="1000"/>
    <x v="1"/>
    <x v="1"/>
    <x v="0"/>
    <x v="1"/>
    <x v="0"/>
    <x v="0"/>
    <n v="14000"/>
    <n v="0.5"/>
  </r>
  <r>
    <n v="9"/>
    <n v="2"/>
    <n v="2.9"/>
    <x v="1"/>
    <n v="200"/>
    <n v="3.2"/>
    <x v="43"/>
    <n v="-0.1"/>
    <n v="500"/>
    <x v="0"/>
    <x v="1"/>
    <x v="3"/>
    <x v="1"/>
    <x v="6"/>
    <x v="1"/>
    <n v="1000"/>
    <n v="0.22222222222222221"/>
  </r>
  <r>
    <n v="38"/>
    <n v="16"/>
    <n v="4.9000000000000004"/>
    <x v="0"/>
    <n v="800"/>
    <n v="4.8"/>
    <x v="6"/>
    <n v="0.9"/>
    <n v="900"/>
    <x v="0"/>
    <x v="1"/>
    <x v="2"/>
    <x v="0"/>
    <x v="5"/>
    <x v="0"/>
    <n v="14400"/>
    <n v="0.42105263157894735"/>
  </r>
  <r>
    <n v="12"/>
    <n v="3"/>
    <n v="3.7"/>
    <x v="1"/>
    <n v="500"/>
    <n v="3.5"/>
    <x v="19"/>
    <n v="0.3"/>
    <n v="600"/>
    <x v="0"/>
    <x v="1"/>
    <x v="3"/>
    <x v="1"/>
    <x v="8"/>
    <x v="2"/>
    <n v="1800"/>
    <n v="0.25"/>
  </r>
  <r>
    <n v="11"/>
    <n v="4"/>
    <n v="3.4"/>
    <x v="0"/>
    <n v="7000"/>
    <n v="3.6"/>
    <x v="24"/>
    <n v="0.6"/>
    <n v="800"/>
    <x v="0"/>
    <x v="1"/>
    <x v="0"/>
    <x v="0"/>
    <x v="4"/>
    <x v="0"/>
    <n v="3200"/>
    <n v="0.36363636363636365"/>
  </r>
  <r>
    <n v="22"/>
    <n v="7"/>
    <n v="4.2"/>
    <x v="1"/>
    <n v="2500"/>
    <n v="4.4000000000000004"/>
    <x v="34"/>
    <n v="0.7"/>
    <n v="700"/>
    <x v="0"/>
    <x v="1"/>
    <x v="3"/>
    <x v="2"/>
    <x v="0"/>
    <x v="0"/>
    <n v="4900"/>
    <n v="0.31818181818181818"/>
  </r>
  <r>
    <n v="32"/>
    <n v="13"/>
    <n v="4.9000000000000004"/>
    <x v="0"/>
    <n v="4500"/>
    <n v="4.7"/>
    <x v="13"/>
    <n v="0.9"/>
    <n v="500"/>
    <x v="0"/>
    <x v="1"/>
    <x v="3"/>
    <x v="0"/>
    <x v="5"/>
    <x v="0"/>
    <n v="6500"/>
    <n v="0.40625"/>
  </r>
  <r>
    <n v="4"/>
    <n v="1"/>
    <n v="2.2999999999999998"/>
    <x v="0"/>
    <n v="400"/>
    <n v="2.6"/>
    <x v="23"/>
    <n v="-0.6"/>
    <n v="400"/>
    <x v="0"/>
    <x v="0"/>
    <x v="3"/>
    <x v="2"/>
    <x v="1"/>
    <x v="1"/>
    <n v="400"/>
    <n v="0.25"/>
  </r>
  <r>
    <n v="15"/>
    <n v="6"/>
    <n v="3.7"/>
    <x v="1"/>
    <n v="10000"/>
    <n v="3.9"/>
    <x v="29"/>
    <n v="0.2"/>
    <n v="300"/>
    <x v="0"/>
    <x v="1"/>
    <x v="0"/>
    <x v="0"/>
    <x v="6"/>
    <x v="1"/>
    <n v="1800"/>
    <n v="0.4"/>
  </r>
  <r>
    <n v="8"/>
    <n v="3"/>
    <n v="2.8"/>
    <x v="0"/>
    <n v="600"/>
    <n v="3.1"/>
    <x v="12"/>
    <n v="-0.4"/>
    <n v="700"/>
    <x v="0"/>
    <x v="1"/>
    <x v="3"/>
    <x v="1"/>
    <x v="6"/>
    <x v="1"/>
    <n v="2100"/>
    <n v="0.375"/>
  </r>
  <r>
    <n v="37"/>
    <n v="18"/>
    <n v="4.8"/>
    <x v="1"/>
    <n v="7000"/>
    <n v="4.8"/>
    <x v="38"/>
    <n v="0.9"/>
    <n v="600"/>
    <x v="0"/>
    <x v="1"/>
    <x v="2"/>
    <x v="2"/>
    <x v="5"/>
    <x v="0"/>
    <n v="10800"/>
    <n v="0.48648648648648651"/>
  </r>
  <r>
    <n v="6"/>
    <n v="1"/>
    <n v="2.7"/>
    <x v="0"/>
    <n v="800"/>
    <n v="2.9"/>
    <x v="20"/>
    <n v="-0.7"/>
    <n v="200"/>
    <x v="0"/>
    <x v="0"/>
    <x v="3"/>
    <x v="0"/>
    <x v="3"/>
    <x v="1"/>
    <n v="200"/>
    <n v="0.16666666666666666"/>
  </r>
  <r>
    <n v="19"/>
    <n v="5"/>
    <n v="4"/>
    <x v="1"/>
    <n v="4500"/>
    <n v="4.0999999999999996"/>
    <x v="44"/>
    <n v="0.5"/>
    <n v="800"/>
    <x v="0"/>
    <x v="1"/>
    <x v="3"/>
    <x v="2"/>
    <x v="2"/>
    <x v="2"/>
    <n v="4000"/>
    <n v="0.26315789473684209"/>
  </r>
  <r>
    <n v="25"/>
    <n v="8"/>
    <n v="4.8"/>
    <x v="1"/>
    <n v="700"/>
    <n v="4.7"/>
    <x v="32"/>
    <n v="0.9"/>
    <n v="700"/>
    <x v="0"/>
    <x v="1"/>
    <x v="0"/>
    <x v="0"/>
    <x v="0"/>
    <x v="0"/>
    <n v="5600"/>
    <n v="0.32"/>
  </r>
  <r>
    <n v="38"/>
    <n v="13"/>
    <n v="4.5"/>
    <x v="0"/>
    <n v="2500"/>
    <n v="4.4000000000000004"/>
    <x v="9"/>
    <n v="0.6"/>
    <n v="500"/>
    <x v="0"/>
    <x v="1"/>
    <x v="3"/>
    <x v="2"/>
    <x v="4"/>
    <x v="0"/>
    <n v="6500"/>
    <n v="0.34210526315789475"/>
  </r>
  <r>
    <n v="12"/>
    <n v="2"/>
    <n v="3.5"/>
    <x v="0"/>
    <n v="6000"/>
    <n v="3.7"/>
    <x v="26"/>
    <n v="0.3"/>
    <n v="600"/>
    <x v="0"/>
    <x v="1"/>
    <x v="3"/>
    <x v="1"/>
    <x v="12"/>
    <x v="2"/>
    <n v="1200"/>
    <n v="0.16666666666666666"/>
  </r>
  <r>
    <n v="15"/>
    <n v="5"/>
    <n v="3.9"/>
    <x v="1"/>
    <n v="8000"/>
    <n v="4.3"/>
    <x v="1"/>
    <n v="0.8"/>
    <n v="300"/>
    <x v="0"/>
    <x v="1"/>
    <x v="0"/>
    <x v="2"/>
    <x v="4"/>
    <x v="0"/>
    <n v="1500"/>
    <n v="0.33333333333333331"/>
  </r>
  <r>
    <n v="28"/>
    <n v="10"/>
    <n v="4.7"/>
    <x v="0"/>
    <n v="9000"/>
    <n v="4.9000000000000004"/>
    <x v="45"/>
    <n v="0.9"/>
    <n v="1000"/>
    <x v="1"/>
    <x v="1"/>
    <x v="2"/>
    <x v="1"/>
    <x v="5"/>
    <x v="0"/>
    <n v="10000"/>
    <n v="0.35714285714285715"/>
  </r>
  <r>
    <n v="7"/>
    <n v="1"/>
    <n v="2.6"/>
    <x v="1"/>
    <n v="500"/>
    <n v="2.8"/>
    <x v="28"/>
    <n v="-0.5"/>
    <n v="300"/>
    <x v="0"/>
    <x v="0"/>
    <x v="3"/>
    <x v="0"/>
    <x v="3"/>
    <x v="1"/>
    <n v="300"/>
    <n v="0.14285714285714285"/>
  </r>
  <r>
    <n v="21"/>
    <n v="6"/>
    <n v="4.5"/>
    <x v="0"/>
    <n v="1000"/>
    <n v="4.3"/>
    <x v="18"/>
    <n v="0.7"/>
    <n v="500"/>
    <x v="0"/>
    <x v="1"/>
    <x v="3"/>
    <x v="0"/>
    <x v="4"/>
    <x v="0"/>
    <n v="3000"/>
    <n v="0.2857142857142857"/>
  </r>
  <r>
    <n v="32"/>
    <n v="11"/>
    <n v="4.5999999999999996"/>
    <x v="0"/>
    <n v="800"/>
    <n v="4.7"/>
    <x v="2"/>
    <n v="0.8"/>
    <n v="400"/>
    <x v="0"/>
    <x v="1"/>
    <x v="1"/>
    <x v="0"/>
    <x v="4"/>
    <x v="0"/>
    <n v="4400"/>
    <n v="0.34375"/>
  </r>
  <r>
    <n v="4"/>
    <n v="0"/>
    <n v="1.6"/>
    <x v="1"/>
    <n v="2000"/>
    <n v="2"/>
    <x v="0"/>
    <n v="-0.9"/>
    <n v="200"/>
    <x v="0"/>
    <x v="0"/>
    <x v="3"/>
    <x v="2"/>
    <x v="27"/>
    <x v="1"/>
    <n v="0"/>
    <n v="0"/>
  </r>
  <r>
    <n v="14"/>
    <n v="4"/>
    <n v="3.6"/>
    <x v="0"/>
    <n v="4500"/>
    <n v="3.9"/>
    <x v="41"/>
    <n v="0.5"/>
    <n v="800"/>
    <x v="0"/>
    <x v="1"/>
    <x v="3"/>
    <x v="1"/>
    <x v="2"/>
    <x v="2"/>
    <n v="3200"/>
    <n v="0.2857142857142857"/>
  </r>
  <r>
    <n v="8"/>
    <n v="2"/>
    <n v="3"/>
    <x v="1"/>
    <n v="6000"/>
    <n v="3.2"/>
    <x v="42"/>
    <n v="0.2"/>
    <n v="400"/>
    <x v="0"/>
    <x v="1"/>
    <x v="0"/>
    <x v="2"/>
    <x v="11"/>
    <x v="2"/>
    <n v="800"/>
    <n v="0.25"/>
  </r>
  <r>
    <n v="19"/>
    <n v="7"/>
    <n v="4.0999999999999996"/>
    <x v="1"/>
    <n v="800"/>
    <n v="4.5"/>
    <x v="3"/>
    <n v="0.7"/>
    <n v="700"/>
    <x v="0"/>
    <x v="1"/>
    <x v="3"/>
    <x v="0"/>
    <x v="0"/>
    <x v="0"/>
    <n v="4900"/>
    <n v="0.36842105263157893"/>
  </r>
  <r>
    <n v="23"/>
    <n v="9"/>
    <n v="4.3"/>
    <x v="0"/>
    <n v="1500"/>
    <n v="4.5999999999999996"/>
    <x v="16"/>
    <n v="0.4"/>
    <n v="500"/>
    <x v="0"/>
    <x v="1"/>
    <x v="0"/>
    <x v="0"/>
    <x v="8"/>
    <x v="2"/>
    <n v="4500"/>
    <n v="0.39130434782608697"/>
  </r>
  <r>
    <n v="13"/>
    <n v="3"/>
    <n v="3.8"/>
    <x v="1"/>
    <n v="5000"/>
    <n v="3.9"/>
    <x v="4"/>
    <n v="0.6"/>
    <n v="300"/>
    <x v="0"/>
    <x v="1"/>
    <x v="3"/>
    <x v="0"/>
    <x v="12"/>
    <x v="2"/>
    <n v="900"/>
    <n v="0.23076923076923078"/>
  </r>
  <r>
    <n v="30"/>
    <n v="15"/>
    <n v="4.5999999999999996"/>
    <x v="0"/>
    <n v="9500"/>
    <n v="4.8"/>
    <x v="10"/>
    <n v="0.9"/>
    <n v="1100"/>
    <x v="1"/>
    <x v="1"/>
    <x v="0"/>
    <x v="1"/>
    <x v="0"/>
    <x v="0"/>
    <n v="16500"/>
    <n v="0.5"/>
  </r>
  <r>
    <n v="11"/>
    <n v="1"/>
    <n v="2.7"/>
    <x v="1"/>
    <n v="100"/>
    <n v="3"/>
    <x v="43"/>
    <n v="-0.1"/>
    <n v="600"/>
    <x v="0"/>
    <x v="1"/>
    <x v="3"/>
    <x v="1"/>
    <x v="6"/>
    <x v="1"/>
    <n v="600"/>
    <n v="9.0909090909090912E-2"/>
  </r>
  <r>
    <n v="39"/>
    <n v="17"/>
    <n v="4.9000000000000004"/>
    <x v="0"/>
    <n v="750"/>
    <n v="4.9000000000000004"/>
    <x v="6"/>
    <n v="0.9"/>
    <n v="1000"/>
    <x v="1"/>
    <x v="1"/>
    <x v="2"/>
    <x v="0"/>
    <x v="5"/>
    <x v="0"/>
    <n v="17000"/>
    <n v="0.4358974358974359"/>
  </r>
  <r>
    <n v="10"/>
    <n v="3"/>
    <n v="3.4"/>
    <x v="1"/>
    <n v="400"/>
    <n v="3.6"/>
    <x v="19"/>
    <n v="0.3"/>
    <n v="700"/>
    <x v="0"/>
    <x v="1"/>
    <x v="3"/>
    <x v="1"/>
    <x v="8"/>
    <x v="2"/>
    <n v="2100"/>
    <n v="0.3"/>
  </r>
  <r>
    <n v="9"/>
    <n v="5"/>
    <n v="3.2"/>
    <x v="0"/>
    <n v="6500"/>
    <n v="3.4"/>
    <x v="24"/>
    <n v="0.6"/>
    <n v="900"/>
    <x v="0"/>
    <x v="1"/>
    <x v="0"/>
    <x v="0"/>
    <x v="4"/>
    <x v="0"/>
    <n v="4500"/>
    <n v="0.55555555555555558"/>
  </r>
  <r>
    <n v="25"/>
    <n v="8"/>
    <n v="4.4000000000000004"/>
    <x v="1"/>
    <n v="2800"/>
    <n v="4.5"/>
    <x v="34"/>
    <n v="0.8"/>
    <n v="800"/>
    <x v="0"/>
    <x v="1"/>
    <x v="3"/>
    <x v="2"/>
    <x v="0"/>
    <x v="0"/>
    <n v="6400"/>
    <n v="0.32"/>
  </r>
  <r>
    <n v="36"/>
    <n v="14"/>
    <n v="4.8"/>
    <x v="0"/>
    <n v="4200"/>
    <n v="4.7"/>
    <x v="13"/>
    <n v="0.9"/>
    <n v="700"/>
    <x v="0"/>
    <x v="1"/>
    <x v="3"/>
    <x v="0"/>
    <x v="5"/>
    <x v="0"/>
    <n v="9800"/>
    <n v="0.3888888888888889"/>
  </r>
  <r>
    <n v="3"/>
    <n v="1"/>
    <n v="2.1"/>
    <x v="0"/>
    <n v="500"/>
    <n v="2.5"/>
    <x v="23"/>
    <n v="-0.8"/>
    <n v="300"/>
    <x v="0"/>
    <x v="0"/>
    <x v="3"/>
    <x v="2"/>
    <x v="3"/>
    <x v="1"/>
    <n v="300"/>
    <n v="0.33333333333333331"/>
  </r>
  <r>
    <n v="17"/>
    <n v="6"/>
    <n v="3.8"/>
    <x v="1"/>
    <n v="12000"/>
    <n v="3.9"/>
    <x v="29"/>
    <n v="0.3"/>
    <n v="400"/>
    <x v="0"/>
    <x v="1"/>
    <x v="0"/>
    <x v="0"/>
    <x v="6"/>
    <x v="1"/>
    <n v="2400"/>
    <n v="0.35294117647058826"/>
  </r>
  <r>
    <n v="7"/>
    <n v="2"/>
    <n v="2.6"/>
    <x v="0"/>
    <n v="800"/>
    <n v="2.9"/>
    <x v="12"/>
    <n v="-0.5"/>
    <n v="800"/>
    <x v="0"/>
    <x v="1"/>
    <x v="3"/>
    <x v="1"/>
    <x v="6"/>
    <x v="1"/>
    <n v="1600"/>
    <n v="0.2857142857142857"/>
  </r>
  <r>
    <n v="40"/>
    <n v="19"/>
    <n v="4.8"/>
    <x v="1"/>
    <n v="9000"/>
    <n v="4.8"/>
    <x v="38"/>
    <n v="0.9"/>
    <n v="700"/>
    <x v="0"/>
    <x v="1"/>
    <x v="2"/>
    <x v="2"/>
    <x v="5"/>
    <x v="0"/>
    <n v="13300"/>
    <n v="0.47499999999999998"/>
  </r>
  <r>
    <n v="6"/>
    <n v="1"/>
    <n v="2.5"/>
    <x v="0"/>
    <n v="700"/>
    <n v="2.8"/>
    <x v="20"/>
    <n v="-0.8"/>
    <n v="300"/>
    <x v="0"/>
    <x v="0"/>
    <x v="3"/>
    <x v="0"/>
    <x v="3"/>
    <x v="1"/>
    <n v="300"/>
    <n v="0.16666666666666666"/>
  </r>
  <r>
    <n v="18"/>
    <n v="6"/>
    <n v="4"/>
    <x v="1"/>
    <n v="5000"/>
    <n v="4.0999999999999996"/>
    <x v="44"/>
    <n v="0.6"/>
    <n v="900"/>
    <x v="0"/>
    <x v="1"/>
    <x v="3"/>
    <x v="2"/>
    <x v="2"/>
    <x v="2"/>
    <n v="5400"/>
    <n v="0.33333333333333331"/>
  </r>
  <r>
    <n v="24"/>
    <n v="9"/>
    <n v="4.9000000000000004"/>
    <x v="1"/>
    <n v="800"/>
    <n v="4.8"/>
    <x v="32"/>
    <n v="0.9"/>
    <n v="800"/>
    <x v="0"/>
    <x v="1"/>
    <x v="0"/>
    <x v="0"/>
    <x v="0"/>
    <x v="0"/>
    <n v="7200"/>
    <n v="0.375"/>
  </r>
  <r>
    <n v="41"/>
    <n v="14"/>
    <n v="4.5999999999999996"/>
    <x v="0"/>
    <n v="2700"/>
    <n v="4.5"/>
    <x v="9"/>
    <n v="0.7"/>
    <n v="600"/>
    <x v="0"/>
    <x v="1"/>
    <x v="3"/>
    <x v="2"/>
    <x v="4"/>
    <x v="0"/>
    <n v="8400"/>
    <n v="0.34146341463414637"/>
  </r>
  <r>
    <n v="11"/>
    <n v="2"/>
    <n v="3.4"/>
    <x v="0"/>
    <n v="7000"/>
    <n v="3.6"/>
    <x v="26"/>
    <n v="0.4"/>
    <n v="700"/>
    <x v="0"/>
    <x v="1"/>
    <x v="3"/>
    <x v="1"/>
    <x v="8"/>
    <x v="2"/>
    <n v="1400"/>
    <n v="0.18181818181818182"/>
  </r>
  <r>
    <n v="14"/>
    <n v="4"/>
    <n v="4"/>
    <x v="1"/>
    <n v="8500"/>
    <n v="4.4000000000000004"/>
    <x v="1"/>
    <n v="0.9"/>
    <n v="400"/>
    <x v="0"/>
    <x v="1"/>
    <x v="0"/>
    <x v="2"/>
    <x v="0"/>
    <x v="0"/>
    <n v="1600"/>
    <n v="0.2857142857142857"/>
  </r>
  <r>
    <n v="30"/>
    <n v="11"/>
    <n v="4.5999999999999996"/>
    <x v="0"/>
    <n v="11000"/>
    <n v="4.8"/>
    <x v="45"/>
    <n v="0.9"/>
    <n v="1200"/>
    <x v="1"/>
    <x v="1"/>
    <x v="2"/>
    <x v="1"/>
    <x v="5"/>
    <x v="0"/>
    <n v="13200"/>
    <n v="0.36666666666666664"/>
  </r>
  <r>
    <n v="8"/>
    <n v="1"/>
    <n v="2.4"/>
    <x v="1"/>
    <n v="600"/>
    <n v="2.6"/>
    <x v="28"/>
    <n v="-0.6"/>
    <n v="400"/>
    <x v="0"/>
    <x v="0"/>
    <x v="3"/>
    <x v="0"/>
    <x v="3"/>
    <x v="1"/>
    <n v="400"/>
    <n v="0.125"/>
  </r>
  <r>
    <n v="22"/>
    <n v="7"/>
    <n v="4.4000000000000004"/>
    <x v="0"/>
    <n v="1200"/>
    <n v="4.2"/>
    <x v="18"/>
    <n v="0.8"/>
    <n v="600"/>
    <x v="0"/>
    <x v="1"/>
    <x v="3"/>
    <x v="0"/>
    <x v="4"/>
    <x v="0"/>
    <n v="4200"/>
    <n v="0.31818181818181818"/>
  </r>
  <r>
    <n v="33"/>
    <n v="12"/>
    <n v="4.7"/>
    <x v="0"/>
    <n v="900"/>
    <n v="4.8"/>
    <x v="2"/>
    <n v="0.8"/>
    <n v="500"/>
    <x v="0"/>
    <x v="1"/>
    <x v="1"/>
    <x v="0"/>
    <x v="4"/>
    <x v="0"/>
    <n v="6000"/>
    <n v="0.36363636363636365"/>
  </r>
  <r>
    <n v="5"/>
    <n v="0"/>
    <n v="1.4"/>
    <x v="1"/>
    <n v="2500"/>
    <n v="1.8"/>
    <x v="0"/>
    <n v="-1"/>
    <n v="300"/>
    <x v="0"/>
    <x v="0"/>
    <x v="3"/>
    <x v="2"/>
    <x v="27"/>
    <x v="1"/>
    <n v="0"/>
    <n v="0"/>
  </r>
  <r>
    <n v="16"/>
    <n v="6"/>
    <n v="3.7"/>
    <x v="0"/>
    <n v="4500"/>
    <n v="4"/>
    <x v="41"/>
    <n v="0.5"/>
    <n v="900"/>
    <x v="0"/>
    <x v="1"/>
    <x v="3"/>
    <x v="1"/>
    <x v="2"/>
    <x v="2"/>
    <n v="5400"/>
    <n v="0.375"/>
  </r>
  <r>
    <n v="6"/>
    <n v="3"/>
    <n v="2.8"/>
    <x v="1"/>
    <n v="5500"/>
    <n v="3.1"/>
    <x v="42"/>
    <n v="0.2"/>
    <n v="500"/>
    <x v="0"/>
    <x v="1"/>
    <x v="0"/>
    <x v="2"/>
    <x v="11"/>
    <x v="2"/>
    <n v="1500"/>
    <n v="0.5"/>
  </r>
  <r>
    <n v="20"/>
    <n v="8"/>
    <n v="4.2"/>
    <x v="1"/>
    <n v="900"/>
    <n v="4.5999999999999996"/>
    <x v="3"/>
    <n v="0.7"/>
    <n v="800"/>
    <x v="0"/>
    <x v="1"/>
    <x v="3"/>
    <x v="0"/>
    <x v="0"/>
    <x v="0"/>
    <n v="6400"/>
    <n v="0.4"/>
  </r>
  <r>
    <n v="25"/>
    <n v="10"/>
    <n v="4.5"/>
    <x v="0"/>
    <n v="1300"/>
    <n v="4.7"/>
    <x v="16"/>
    <n v="0.4"/>
    <n v="600"/>
    <x v="0"/>
    <x v="1"/>
    <x v="0"/>
    <x v="0"/>
    <x v="8"/>
    <x v="2"/>
    <n v="6000"/>
    <n v="0.4"/>
  </r>
  <r>
    <n v="15"/>
    <n v="5"/>
    <n v="3.7"/>
    <x v="1"/>
    <n v="6000"/>
    <n v="3.9"/>
    <x v="4"/>
    <n v="0.7"/>
    <n v="400"/>
    <x v="0"/>
    <x v="1"/>
    <x v="3"/>
    <x v="0"/>
    <x v="8"/>
    <x v="2"/>
    <n v="2000"/>
    <n v="0.33333333333333331"/>
  </r>
  <r>
    <n v="32"/>
    <n v="16"/>
    <n v="4.8"/>
    <x v="0"/>
    <n v="10000"/>
    <n v="4.9000000000000004"/>
    <x v="10"/>
    <n v="0.9"/>
    <n v="1300"/>
    <x v="1"/>
    <x v="1"/>
    <x v="0"/>
    <x v="1"/>
    <x v="0"/>
    <x v="0"/>
    <n v="20800"/>
    <n v="0.5"/>
  </r>
  <r>
    <n v="10"/>
    <n v="2"/>
    <n v="2.7"/>
    <x v="1"/>
    <n v="300"/>
    <n v="3"/>
    <x v="43"/>
    <n v="-0.1"/>
    <n v="700"/>
    <x v="0"/>
    <x v="1"/>
    <x v="3"/>
    <x v="1"/>
    <x v="6"/>
    <x v="1"/>
    <n v="1400"/>
    <n v="0.2"/>
  </r>
  <r>
    <n v="40"/>
    <n v="18"/>
    <n v="4.9000000000000004"/>
    <x v="0"/>
    <n v="800"/>
    <n v="4.8"/>
    <x v="6"/>
    <n v="0.9"/>
    <n v="1100"/>
    <x v="1"/>
    <x v="1"/>
    <x v="2"/>
    <x v="0"/>
    <x v="5"/>
    <x v="0"/>
    <n v="19800"/>
    <n v="0.45"/>
  </r>
  <r>
    <n v="9"/>
    <n v="1"/>
    <n v="2.4"/>
    <x v="1"/>
    <n v="600"/>
    <n v="2.7"/>
    <x v="19"/>
    <n v="0.3"/>
    <n v="800"/>
    <x v="0"/>
    <x v="1"/>
    <x v="3"/>
    <x v="1"/>
    <x v="8"/>
    <x v="2"/>
    <n v="800"/>
    <n v="0.1111111111111111"/>
  </r>
  <r>
    <n v="13"/>
    <n v="6"/>
    <n v="3.3"/>
    <x v="0"/>
    <n v="7500"/>
    <n v="3.5"/>
    <x v="24"/>
    <n v="0.7"/>
    <n v="1000"/>
    <x v="1"/>
    <x v="1"/>
    <x v="0"/>
    <x v="0"/>
    <x v="4"/>
    <x v="0"/>
    <n v="6000"/>
    <n v="0.46153846153846156"/>
  </r>
  <r>
    <n v="28"/>
    <n v="9"/>
    <n v="4.3"/>
    <x v="1"/>
    <n v="2200"/>
    <n v="4.5"/>
    <x v="34"/>
    <n v="0.8"/>
    <n v="900"/>
    <x v="0"/>
    <x v="1"/>
    <x v="3"/>
    <x v="2"/>
    <x v="0"/>
    <x v="0"/>
    <n v="8100"/>
    <n v="0.32142857142857145"/>
  </r>
  <r>
    <n v="34"/>
    <n v="15"/>
    <n v="4.9000000000000004"/>
    <x v="0"/>
    <n v="5000"/>
    <n v="4.8"/>
    <x v="13"/>
    <n v="0.9"/>
    <n v="800"/>
    <x v="0"/>
    <x v="1"/>
    <x v="3"/>
    <x v="0"/>
    <x v="5"/>
    <x v="0"/>
    <n v="12000"/>
    <n v="0.44117647058823528"/>
  </r>
  <r>
    <n v="2"/>
    <n v="0"/>
    <n v="1.8"/>
    <x v="0"/>
    <n v="700"/>
    <n v="2.2999999999999998"/>
    <x v="23"/>
    <n v="-0.9"/>
    <n v="400"/>
    <x v="0"/>
    <x v="0"/>
    <x v="3"/>
    <x v="2"/>
    <x v="3"/>
    <x v="1"/>
    <n v="0"/>
    <n v="0"/>
  </r>
  <r>
    <n v="18"/>
    <n v="7"/>
    <n v="3.9"/>
    <x v="1"/>
    <n v="13000"/>
    <n v="4"/>
    <x v="29"/>
    <n v="0.3"/>
    <n v="500"/>
    <x v="0"/>
    <x v="1"/>
    <x v="0"/>
    <x v="0"/>
    <x v="6"/>
    <x v="1"/>
    <n v="3500"/>
    <n v="0.3888888888888889"/>
  </r>
  <r>
    <n v="8"/>
    <n v="3"/>
    <n v="2.4"/>
    <x v="0"/>
    <n v="700"/>
    <n v="2.8"/>
    <x v="12"/>
    <n v="-0.6"/>
    <n v="900"/>
    <x v="0"/>
    <x v="1"/>
    <x v="3"/>
    <x v="1"/>
    <x v="6"/>
    <x v="1"/>
    <n v="2700"/>
    <n v="0.375"/>
  </r>
  <r>
    <n v="41"/>
    <n v="20"/>
    <n v="4.9000000000000004"/>
    <x v="1"/>
    <n v="8500"/>
    <n v="4.8"/>
    <x v="38"/>
    <n v="0.9"/>
    <n v="800"/>
    <x v="0"/>
    <x v="1"/>
    <x v="2"/>
    <x v="2"/>
    <x v="5"/>
    <x v="0"/>
    <n v="16000"/>
    <n v="0.48780487804878048"/>
  </r>
  <r>
    <n v="7"/>
    <n v="1"/>
    <n v="2.2999999999999998"/>
    <x v="0"/>
    <n v="1000"/>
    <n v="2.6"/>
    <x v="20"/>
    <n v="-0.9"/>
    <n v="300"/>
    <x v="0"/>
    <x v="0"/>
    <x v="3"/>
    <x v="0"/>
    <x v="3"/>
    <x v="1"/>
    <n v="300"/>
    <n v="0.14285714285714285"/>
  </r>
  <r>
    <n v="21"/>
    <n v="6"/>
    <n v="3.9"/>
    <x v="1"/>
    <n v="6000"/>
    <n v="4.0999999999999996"/>
    <x v="44"/>
    <n v="0.7"/>
    <n v="1000"/>
    <x v="1"/>
    <x v="1"/>
    <x v="3"/>
    <x v="2"/>
    <x v="4"/>
    <x v="0"/>
    <n v="6000"/>
    <n v="0.2857142857142857"/>
  </r>
  <r>
    <n v="26"/>
    <n v="10"/>
    <n v="4.9000000000000004"/>
    <x v="1"/>
    <n v="900"/>
    <n v="4.9000000000000004"/>
    <x v="32"/>
    <n v="0.9"/>
    <n v="900"/>
    <x v="0"/>
    <x v="1"/>
    <x v="0"/>
    <x v="0"/>
    <x v="0"/>
    <x v="0"/>
    <n v="9000"/>
    <n v="0.38461538461538464"/>
  </r>
  <r>
    <n v="44"/>
    <n v="15"/>
    <n v="4.7"/>
    <x v="0"/>
    <n v="2900"/>
    <n v="4.5999999999999996"/>
    <x v="9"/>
    <n v="0.8"/>
    <n v="700"/>
    <x v="0"/>
    <x v="1"/>
    <x v="3"/>
    <x v="2"/>
    <x v="0"/>
    <x v="0"/>
    <n v="10500"/>
    <n v="0.34090909090909088"/>
  </r>
  <r>
    <n v="10"/>
    <n v="3"/>
    <n v="3.2"/>
    <x v="0"/>
    <n v="8000"/>
    <n v="3.5"/>
    <x v="26"/>
    <n v="0.4"/>
    <n v="800"/>
    <x v="0"/>
    <x v="1"/>
    <x v="3"/>
    <x v="1"/>
    <x v="8"/>
    <x v="2"/>
    <n v="2400"/>
    <n v="0.3"/>
  </r>
  <r>
    <n v="16"/>
    <n v="4"/>
    <n v="3.8"/>
    <x v="1"/>
    <n v="9000"/>
    <n v="4.2"/>
    <x v="1"/>
    <n v="0.9"/>
    <n v="500"/>
    <x v="0"/>
    <x v="1"/>
    <x v="0"/>
    <x v="2"/>
    <x v="0"/>
    <x v="0"/>
    <n v="2000"/>
    <n v="0.25"/>
  </r>
  <r>
    <n v="31"/>
    <n v="12"/>
    <n v="4.7"/>
    <x v="0"/>
    <n v="13500"/>
    <n v="4.9000000000000004"/>
    <x v="45"/>
    <n v="0.9"/>
    <n v="1400"/>
    <x v="1"/>
    <x v="1"/>
    <x v="2"/>
    <x v="1"/>
    <x v="5"/>
    <x v="0"/>
    <n v="16800"/>
    <n v="0.38709677419354838"/>
  </r>
  <r>
    <n v="9"/>
    <n v="1"/>
    <n v="2.2000000000000002"/>
    <x v="1"/>
    <n v="800"/>
    <n v="2.4"/>
    <x v="28"/>
    <n v="-0.7"/>
    <n v="500"/>
    <x v="0"/>
    <x v="0"/>
    <x v="3"/>
    <x v="0"/>
    <x v="3"/>
    <x v="1"/>
    <n v="500"/>
    <n v="0.1111111111111111"/>
  </r>
  <r>
    <n v="23"/>
    <n v="8"/>
    <n v="4.5999999999999996"/>
    <x v="0"/>
    <n v="1400"/>
    <n v="4.3"/>
    <x v="18"/>
    <n v="0.8"/>
    <n v="700"/>
    <x v="0"/>
    <x v="1"/>
    <x v="3"/>
    <x v="0"/>
    <x v="4"/>
    <x v="0"/>
    <n v="5600"/>
    <n v="0.34782608695652173"/>
  </r>
  <r>
    <n v="35"/>
    <n v="13"/>
    <n v="4.8"/>
    <x v="0"/>
    <n v="1000"/>
    <n v="4.9000000000000004"/>
    <x v="2"/>
    <n v="0.9"/>
    <n v="600"/>
    <x v="0"/>
    <x v="1"/>
    <x v="1"/>
    <x v="0"/>
    <x v="0"/>
    <x v="0"/>
    <n v="7800"/>
    <n v="0.37142857142857144"/>
  </r>
  <r>
    <n v="6"/>
    <n v="0"/>
    <n v="1.2"/>
    <x v="1"/>
    <n v="3000"/>
    <n v="1.6"/>
    <x v="0"/>
    <n v="-1"/>
    <n v="400"/>
    <x v="0"/>
    <x v="0"/>
    <x v="3"/>
    <x v="2"/>
    <x v="27"/>
    <x v="1"/>
    <n v="0"/>
    <n v="0"/>
  </r>
  <r>
    <n v="17"/>
    <n v="7"/>
    <n v="3.8"/>
    <x v="0"/>
    <n v="5500"/>
    <n v="4.0999999999999996"/>
    <x v="41"/>
    <n v="0.6"/>
    <n v="1000"/>
    <x v="1"/>
    <x v="1"/>
    <x v="3"/>
    <x v="1"/>
    <x v="2"/>
    <x v="2"/>
    <n v="7000"/>
    <n v="0.41176470588235292"/>
  </r>
  <r>
    <n v="7"/>
    <n v="4"/>
    <n v="2.6"/>
    <x v="1"/>
    <n v="6500"/>
    <n v="2.9"/>
    <x v="42"/>
    <n v="0.2"/>
    <n v="600"/>
    <x v="0"/>
    <x v="1"/>
    <x v="0"/>
    <x v="2"/>
    <x v="11"/>
    <x v="2"/>
    <n v="2400"/>
    <n v="0.5714285714285714"/>
  </r>
  <r>
    <n v="21"/>
    <n v="9"/>
    <n v="4.0999999999999996"/>
    <x v="1"/>
    <n v="1000"/>
    <n v="4.5999999999999996"/>
    <x v="3"/>
    <n v="0.8"/>
    <n v="900"/>
    <x v="0"/>
    <x v="1"/>
    <x v="3"/>
    <x v="0"/>
    <x v="0"/>
    <x v="0"/>
    <n v="8100"/>
    <n v="0.42857142857142855"/>
  </r>
  <r>
    <n v="26"/>
    <n v="11"/>
    <n v="4.4000000000000004"/>
    <x v="0"/>
    <n v="1500"/>
    <n v="4.8"/>
    <x v="16"/>
    <n v="0.5"/>
    <n v="700"/>
    <x v="0"/>
    <x v="1"/>
    <x v="0"/>
    <x v="0"/>
    <x v="8"/>
    <x v="2"/>
    <n v="7700"/>
    <n v="0.42307692307692307"/>
  </r>
  <r>
    <n v="16"/>
    <n v="5"/>
    <n v="3.6"/>
    <x v="1"/>
    <n v="7000"/>
    <n v="3.8"/>
    <x v="4"/>
    <n v="0.7"/>
    <n v="500"/>
    <x v="0"/>
    <x v="1"/>
    <x v="3"/>
    <x v="0"/>
    <x v="8"/>
    <x v="2"/>
    <n v="2500"/>
    <n v="0.3125"/>
  </r>
  <r>
    <n v="34"/>
    <n v="17"/>
    <n v="4.7"/>
    <x v="0"/>
    <n v="11000"/>
    <n v="4.9000000000000004"/>
    <x v="10"/>
    <n v="0.9"/>
    <n v="1500"/>
    <x v="1"/>
    <x v="1"/>
    <x v="0"/>
    <x v="1"/>
    <x v="0"/>
    <x v="0"/>
    <n v="25500"/>
    <n v="0.5"/>
  </r>
  <r>
    <n v="11"/>
    <n v="3"/>
    <n v="2.6"/>
    <x v="1"/>
    <n v="500"/>
    <n v="2.9"/>
    <x v="43"/>
    <n v="-0.1"/>
    <n v="800"/>
    <x v="0"/>
    <x v="1"/>
    <x v="3"/>
    <x v="1"/>
    <x v="6"/>
    <x v="1"/>
    <n v="2400"/>
    <n v="0.27272727272727271"/>
  </r>
  <r>
    <n v="42"/>
    <n v="19"/>
    <n v="4.9000000000000004"/>
    <x v="0"/>
    <n v="900"/>
    <n v="4.8"/>
    <x v="6"/>
    <n v="0.9"/>
    <n v="1200"/>
    <x v="1"/>
    <x v="1"/>
    <x v="2"/>
    <x v="0"/>
    <x v="5"/>
    <x v="0"/>
    <n v="22800"/>
    <n v="0.45238095238095238"/>
  </r>
  <r>
    <n v="8"/>
    <n v="2"/>
    <n v="2.2999999999999998"/>
    <x v="1"/>
    <n v="700"/>
    <n v="2.6"/>
    <x v="19"/>
    <n v="0.3"/>
    <n v="900"/>
    <x v="0"/>
    <x v="1"/>
    <x v="3"/>
    <x v="1"/>
    <x v="8"/>
    <x v="2"/>
    <n v="1800"/>
    <n v="0.25"/>
  </r>
  <r>
    <n v="15"/>
    <n v="6"/>
    <n v="3.5"/>
    <x v="0"/>
    <n v="8500"/>
    <n v="3.8"/>
    <x v="24"/>
    <n v="0.7"/>
    <n v="1100"/>
    <x v="1"/>
    <x v="1"/>
    <x v="0"/>
    <x v="0"/>
    <x v="4"/>
    <x v="0"/>
    <n v="6600"/>
    <n v="0.4"/>
  </r>
  <r>
    <n v="30"/>
    <n v="10"/>
    <n v="4.2"/>
    <x v="1"/>
    <n v="2500"/>
    <n v="4.7"/>
    <x v="34"/>
    <n v="0.9"/>
    <n v="1000"/>
    <x v="1"/>
    <x v="1"/>
    <x v="3"/>
    <x v="2"/>
    <x v="0"/>
    <x v="0"/>
    <n v="10000"/>
    <n v="0.33333333333333331"/>
  </r>
  <r>
    <n v="37"/>
    <n v="16"/>
    <n v="4.9000000000000004"/>
    <x v="0"/>
    <n v="5500"/>
    <n v="4.8"/>
    <x v="13"/>
    <n v="0.9"/>
    <n v="900"/>
    <x v="0"/>
    <x v="1"/>
    <x v="3"/>
    <x v="0"/>
    <x v="5"/>
    <x v="0"/>
    <n v="14400"/>
    <n v="0.43243243243243246"/>
  </r>
  <r>
    <n v="3"/>
    <n v="1"/>
    <n v="1.6"/>
    <x v="0"/>
    <n v="800"/>
    <n v="2.1"/>
    <x v="23"/>
    <n v="-0.9"/>
    <n v="500"/>
    <x v="0"/>
    <x v="0"/>
    <x v="3"/>
    <x v="2"/>
    <x v="3"/>
    <x v="1"/>
    <n v="500"/>
    <n v="0.33333333333333331"/>
  </r>
  <r>
    <n v="19"/>
    <n v="8"/>
    <n v="3.9"/>
    <x v="1"/>
    <n v="14000"/>
    <n v="4"/>
    <x v="29"/>
    <n v="0.4"/>
    <n v="600"/>
    <x v="0"/>
    <x v="1"/>
    <x v="0"/>
    <x v="0"/>
    <x v="6"/>
    <x v="1"/>
    <n v="4800"/>
    <n v="0.42105263157894735"/>
  </r>
  <r>
    <n v="9"/>
    <n v="2"/>
    <n v="2.2000000000000002"/>
    <x v="0"/>
    <n v="800"/>
    <n v="2.5"/>
    <x v="12"/>
    <n v="-0.7"/>
    <n v="1000"/>
    <x v="1"/>
    <x v="1"/>
    <x v="3"/>
    <x v="1"/>
    <x v="6"/>
    <x v="1"/>
    <n v="2000"/>
    <n v="0.22222222222222221"/>
  </r>
  <r>
    <n v="43"/>
    <n v="21"/>
    <n v="4.9000000000000004"/>
    <x v="1"/>
    <n v="9500"/>
    <n v="4.8"/>
    <x v="38"/>
    <n v="0.9"/>
    <n v="900"/>
    <x v="0"/>
    <x v="1"/>
    <x v="2"/>
    <x v="2"/>
    <x v="5"/>
    <x v="0"/>
    <n v="18900"/>
    <n v="0.48837209302325579"/>
  </r>
  <r>
    <n v="8"/>
    <n v="0"/>
    <n v="1.9"/>
    <x v="0"/>
    <n v="1100"/>
    <n v="2.2999999999999998"/>
    <x v="20"/>
    <n v="-0.9"/>
    <n v="400"/>
    <x v="0"/>
    <x v="0"/>
    <x v="3"/>
    <x v="0"/>
    <x v="3"/>
    <x v="1"/>
    <n v="0"/>
    <n v="0"/>
  </r>
  <r>
    <n v="23"/>
    <n v="6"/>
    <n v="3.8"/>
    <x v="1"/>
    <n v="6500"/>
    <n v="4"/>
    <x v="44"/>
    <n v="0.7"/>
    <n v="1200"/>
    <x v="1"/>
    <x v="1"/>
    <x v="3"/>
    <x v="2"/>
    <x v="4"/>
    <x v="0"/>
    <n v="7200"/>
    <n v="0.2608695652173913"/>
  </r>
  <r>
    <n v="27"/>
    <n v="11"/>
    <n v="4.9000000000000004"/>
    <x v="1"/>
    <n v="1000"/>
    <n v="4.9000000000000004"/>
    <x v="32"/>
    <n v="0.9"/>
    <n v="1000"/>
    <x v="1"/>
    <x v="1"/>
    <x v="0"/>
    <x v="0"/>
    <x v="0"/>
    <x v="0"/>
    <n v="11000"/>
    <n v="0.40740740740740738"/>
  </r>
  <r>
    <n v="47"/>
    <n v="16"/>
    <n v="4.8"/>
    <x v="0"/>
    <n v="3100"/>
    <n v="4.7"/>
    <x v="9"/>
    <n v="0.8"/>
    <n v="800"/>
    <x v="0"/>
    <x v="1"/>
    <x v="3"/>
    <x v="2"/>
    <x v="0"/>
    <x v="0"/>
    <n v="12800"/>
    <n v="0.34042553191489361"/>
  </r>
  <r>
    <n v="11"/>
    <n v="3"/>
    <n v="3.4"/>
    <x v="0"/>
    <n v="8500"/>
    <n v="3.6"/>
    <x v="26"/>
    <n v="0.5"/>
    <n v="900"/>
    <x v="0"/>
    <x v="1"/>
    <x v="3"/>
    <x v="1"/>
    <x v="8"/>
    <x v="2"/>
    <n v="2700"/>
    <n v="0.27272727272727271"/>
  </r>
  <r>
    <n v="18"/>
    <n v="5"/>
    <n v="4"/>
    <x v="1"/>
    <n v="9500"/>
    <n v="4.4000000000000004"/>
    <x v="1"/>
    <n v="0.9"/>
    <n v="600"/>
    <x v="0"/>
    <x v="1"/>
    <x v="0"/>
    <x v="2"/>
    <x v="0"/>
    <x v="0"/>
    <n v="3000"/>
    <n v="0.27777777777777779"/>
  </r>
  <r>
    <n v="33"/>
    <n v="13"/>
    <n v="4.8"/>
    <x v="0"/>
    <n v="14000"/>
    <n v="4.9000000000000004"/>
    <x v="45"/>
    <n v="0.9"/>
    <n v="1500"/>
    <x v="1"/>
    <x v="1"/>
    <x v="2"/>
    <x v="1"/>
    <x v="5"/>
    <x v="0"/>
    <n v="19500"/>
    <n v="0.39393939393939392"/>
  </r>
  <r>
    <n v="10"/>
    <n v="0"/>
    <n v="2"/>
    <x v="1"/>
    <n v="1000"/>
    <n v="2.2000000000000002"/>
    <x v="28"/>
    <n v="-0.8"/>
    <n v="600"/>
    <x v="0"/>
    <x v="0"/>
    <x v="3"/>
    <x v="0"/>
    <x v="27"/>
    <x v="1"/>
    <n v="0"/>
    <n v="0"/>
  </r>
  <r>
    <n v="24"/>
    <n v="9"/>
    <n v="4.7"/>
    <x v="0"/>
    <n v="1600"/>
    <n v="4.4000000000000004"/>
    <x v="18"/>
    <n v="0.8"/>
    <n v="800"/>
    <x v="0"/>
    <x v="1"/>
    <x v="3"/>
    <x v="0"/>
    <x v="4"/>
    <x v="0"/>
    <n v="7200"/>
    <n v="0.375"/>
  </r>
  <r>
    <n v="36"/>
    <n v="14"/>
    <n v="4.9000000000000004"/>
    <x v="0"/>
    <n v="1100"/>
    <n v="5"/>
    <x v="2"/>
    <n v="0.9"/>
    <n v="700"/>
    <x v="0"/>
    <x v="1"/>
    <x v="1"/>
    <x v="0"/>
    <x v="5"/>
    <x v="0"/>
    <n v="9800"/>
    <n v="0.3888888888888889"/>
  </r>
  <r>
    <n v="7"/>
    <n v="1"/>
    <n v="1"/>
    <x v="1"/>
    <n v="4000"/>
    <n v="1.3"/>
    <x v="0"/>
    <n v="-1"/>
    <n v="500"/>
    <x v="0"/>
    <x v="0"/>
    <x v="3"/>
    <x v="2"/>
    <x v="27"/>
    <x v="1"/>
    <n v="500"/>
    <n v="0.14285714285714285"/>
  </r>
  <r>
    <n v="18"/>
    <n v="8"/>
    <n v="4"/>
    <x v="0"/>
    <n v="6500"/>
    <n v="4.2"/>
    <x v="41"/>
    <n v="0.6"/>
    <n v="1200"/>
    <x v="1"/>
    <x v="1"/>
    <x v="3"/>
    <x v="1"/>
    <x v="2"/>
    <x v="2"/>
    <n v="9600"/>
    <n v="0.44444444444444442"/>
  </r>
  <r>
    <n v="8"/>
    <n v="5"/>
    <n v="2.5"/>
    <x v="1"/>
    <n v="7500"/>
    <n v="2.9"/>
    <x v="42"/>
    <n v="0.2"/>
    <n v="700"/>
    <x v="0"/>
    <x v="1"/>
    <x v="0"/>
    <x v="2"/>
    <x v="11"/>
    <x v="2"/>
    <n v="3500"/>
    <n v="0.625"/>
  </r>
  <r>
    <n v="22"/>
    <n v="10"/>
    <n v="4.3"/>
    <x v="1"/>
    <n v="1200"/>
    <n v="4.8"/>
    <x v="3"/>
    <n v="0.8"/>
    <n v="1000"/>
    <x v="1"/>
    <x v="1"/>
    <x v="3"/>
    <x v="0"/>
    <x v="0"/>
    <x v="0"/>
    <n v="10000"/>
    <n v="0.45454545454545453"/>
  </r>
  <r>
    <n v="27"/>
    <n v="12"/>
    <n v="4.3"/>
    <x v="0"/>
    <n v="1700"/>
    <n v="4.9000000000000004"/>
    <x v="16"/>
    <n v="0.6"/>
    <n v="800"/>
    <x v="0"/>
    <x v="1"/>
    <x v="0"/>
    <x v="0"/>
    <x v="2"/>
    <x v="2"/>
    <n v="9600"/>
    <n v="0.44444444444444442"/>
  </r>
  <r>
    <n v="18"/>
    <n v="6"/>
    <n v="3.7"/>
    <x v="1"/>
    <n v="7500"/>
    <n v="3.9"/>
    <x v="4"/>
    <n v="0.7"/>
    <n v="600"/>
    <x v="0"/>
    <x v="1"/>
    <x v="3"/>
    <x v="0"/>
    <x v="8"/>
    <x v="2"/>
    <n v="3600"/>
    <n v="0.33333333333333331"/>
  </r>
  <r>
    <n v="36"/>
    <n v="18"/>
    <n v="4.8"/>
    <x v="0"/>
    <n v="12000"/>
    <n v="4.9000000000000004"/>
    <x v="10"/>
    <n v="0.9"/>
    <n v="1600"/>
    <x v="1"/>
    <x v="1"/>
    <x v="0"/>
    <x v="1"/>
    <x v="0"/>
    <x v="0"/>
    <n v="28800"/>
    <n v="0.5"/>
  </r>
  <r>
    <n v="12"/>
    <n v="2"/>
    <n v="2.5"/>
    <x v="1"/>
    <n v="700"/>
    <n v="2.8"/>
    <x v="43"/>
    <n v="-0.1"/>
    <n v="900"/>
    <x v="0"/>
    <x v="1"/>
    <x v="3"/>
    <x v="1"/>
    <x v="6"/>
    <x v="1"/>
    <n v="1800"/>
    <n v="0.16666666666666666"/>
  </r>
  <r>
    <n v="46"/>
    <n v="20"/>
    <n v="4.9000000000000004"/>
    <x v="0"/>
    <n v="950"/>
    <n v="4.8"/>
    <x v="6"/>
    <n v="0.9"/>
    <n v="1300"/>
    <x v="1"/>
    <x v="1"/>
    <x v="2"/>
    <x v="0"/>
    <x v="5"/>
    <x v="0"/>
    <n v="26000"/>
    <n v="0.43478260869565216"/>
  </r>
  <r>
    <n v="10"/>
    <n v="1"/>
    <n v="1.9"/>
    <x v="1"/>
    <n v="800"/>
    <n v="2.2000000000000002"/>
    <x v="19"/>
    <n v="0.3"/>
    <n v="1000"/>
    <x v="1"/>
    <x v="1"/>
    <x v="3"/>
    <x v="1"/>
    <x v="8"/>
    <x v="2"/>
    <n v="1000"/>
    <n v="0.1"/>
  </r>
  <r>
    <n v="17"/>
    <n v="7"/>
    <n v="3.8"/>
    <x v="0"/>
    <n v="9500"/>
    <n v="4"/>
    <x v="24"/>
    <n v="0.7"/>
    <n v="1200"/>
    <x v="1"/>
    <x v="1"/>
    <x v="0"/>
    <x v="0"/>
    <x v="4"/>
    <x v="0"/>
    <n v="8400"/>
    <n v="0.41176470588235292"/>
  </r>
  <r>
    <n v="32"/>
    <n v="11"/>
    <n v="4"/>
    <x v="1"/>
    <n v="2800"/>
    <n v="4.5"/>
    <x v="34"/>
    <n v="0.9"/>
    <n v="1100"/>
    <x v="1"/>
    <x v="1"/>
    <x v="3"/>
    <x v="2"/>
    <x v="0"/>
    <x v="0"/>
    <n v="12100"/>
    <n v="0.34375"/>
  </r>
  <r>
    <n v="39"/>
    <n v="17"/>
    <n v="4.9000000000000004"/>
    <x v="0"/>
    <n v="6000"/>
    <n v="4.8"/>
    <x v="13"/>
    <n v="0.9"/>
    <n v="1000"/>
    <x v="1"/>
    <x v="1"/>
    <x v="3"/>
    <x v="0"/>
    <x v="5"/>
    <x v="0"/>
    <n v="17000"/>
    <n v="0.4358974358974359"/>
  </r>
  <r>
    <n v="4"/>
    <n v="2"/>
    <n v="1.3"/>
    <x v="0"/>
    <n v="900"/>
    <n v="1.8"/>
    <x v="23"/>
    <n v="-1"/>
    <n v="600"/>
    <x v="0"/>
    <x v="0"/>
    <x v="3"/>
    <x v="2"/>
    <x v="3"/>
    <x v="1"/>
    <n v="1200"/>
    <n v="0.5"/>
  </r>
  <r>
    <n v="20"/>
    <n v="9"/>
    <n v="4"/>
    <x v="1"/>
    <n v="16000"/>
    <n v="4.0999999999999996"/>
    <x v="29"/>
    <n v="0.5"/>
    <n v="700"/>
    <x v="0"/>
    <x v="1"/>
    <x v="0"/>
    <x v="0"/>
    <x v="6"/>
    <x v="1"/>
    <n v="6300"/>
    <n v="0.45"/>
  </r>
  <r>
    <n v="10"/>
    <n v="3"/>
    <n v="2"/>
    <x v="0"/>
    <n v="900"/>
    <n v="2.4"/>
    <x v="12"/>
    <n v="-0.8"/>
    <n v="1200"/>
    <x v="1"/>
    <x v="1"/>
    <x v="3"/>
    <x v="1"/>
    <x v="6"/>
    <x v="1"/>
    <n v="3600"/>
    <n v="0.3"/>
  </r>
  <r>
    <n v="45"/>
    <n v="22"/>
    <n v="4.9000000000000004"/>
    <x v="1"/>
    <n v="9800"/>
    <n v="4.8"/>
    <x v="38"/>
    <n v="0.9"/>
    <n v="1100"/>
    <x v="1"/>
    <x v="1"/>
    <x v="2"/>
    <x v="2"/>
    <x v="5"/>
    <x v="0"/>
    <n v="24200"/>
    <n v="0.48888888888888887"/>
  </r>
  <r>
    <n v="9"/>
    <n v="1"/>
    <n v="1.8"/>
    <x v="0"/>
    <n v="1300"/>
    <n v="2.1"/>
    <x v="20"/>
    <n v="-0.9"/>
    <n v="500"/>
    <x v="0"/>
    <x v="0"/>
    <x v="3"/>
    <x v="0"/>
    <x v="3"/>
    <x v="1"/>
    <n v="500"/>
    <n v="0.1111111111111111"/>
  </r>
  <r>
    <n v="25"/>
    <n v="7"/>
    <n v="4"/>
    <x v="1"/>
    <n v="7500"/>
    <n v="4.2"/>
    <x v="44"/>
    <n v="0.7"/>
    <n v="1400"/>
    <x v="1"/>
    <x v="1"/>
    <x v="3"/>
    <x v="2"/>
    <x v="4"/>
    <x v="0"/>
    <n v="9800"/>
    <n v="0.28000000000000003"/>
  </r>
  <r>
    <n v="28"/>
    <n v="12"/>
    <n v="4.9000000000000004"/>
    <x v="1"/>
    <n v="1100"/>
    <n v="4.9000000000000004"/>
    <x v="32"/>
    <n v="0.9"/>
    <n v="1100"/>
    <x v="1"/>
    <x v="1"/>
    <x v="0"/>
    <x v="0"/>
    <x v="0"/>
    <x v="0"/>
    <n v="13200"/>
    <n v="0.42857142857142855"/>
  </r>
  <r>
    <n v="50"/>
    <n v="17"/>
    <n v="4.9000000000000004"/>
    <x v="0"/>
    <n v="3300"/>
    <n v="4.8"/>
    <x v="9"/>
    <n v="0.8"/>
    <n v="900"/>
    <x v="0"/>
    <x v="1"/>
    <x v="3"/>
    <x v="2"/>
    <x v="0"/>
    <x v="0"/>
    <n v="15300"/>
    <n v="0.34"/>
  </r>
  <r>
    <n v="12"/>
    <n v="4"/>
    <n v="3.6"/>
    <x v="0"/>
    <n v="9000"/>
    <n v="3.8"/>
    <x v="26"/>
    <n v="0.5"/>
    <n v="1000"/>
    <x v="1"/>
    <x v="1"/>
    <x v="3"/>
    <x v="1"/>
    <x v="8"/>
    <x v="2"/>
    <n v="4000"/>
    <n v="0.33333333333333331"/>
  </r>
  <r>
    <n v="20"/>
    <n v="6"/>
    <n v="4"/>
    <x v="1"/>
    <n v="10000"/>
    <n v="4.5"/>
    <x v="1"/>
    <n v="0.9"/>
    <n v="700"/>
    <x v="0"/>
    <x v="1"/>
    <x v="0"/>
    <x v="2"/>
    <x v="0"/>
    <x v="0"/>
    <n v="4200"/>
    <n v="0.3"/>
  </r>
  <r>
    <n v="35"/>
    <n v="14"/>
    <n v="4.8"/>
    <x v="0"/>
    <n v="14500"/>
    <n v="4.9000000000000004"/>
    <x v="45"/>
    <n v="0.9"/>
    <n v="1600"/>
    <x v="1"/>
    <x v="1"/>
    <x v="2"/>
    <x v="1"/>
    <x v="5"/>
    <x v="0"/>
    <n v="22400"/>
    <n v="0.4"/>
  </r>
  <r>
    <n v="11"/>
    <n v="0"/>
    <n v="1.8"/>
    <x v="1"/>
    <n v="1200"/>
    <n v="2"/>
    <x v="28"/>
    <n v="-0.9"/>
    <n v="700"/>
    <x v="0"/>
    <x v="0"/>
    <x v="3"/>
    <x v="0"/>
    <x v="27"/>
    <x v="1"/>
    <n v="0"/>
    <n v="0"/>
  </r>
  <r>
    <n v="25"/>
    <n v="10"/>
    <n v="4.8"/>
    <x v="0"/>
    <n v="1700"/>
    <n v="4.5"/>
    <x v="18"/>
    <n v="0.8"/>
    <n v="900"/>
    <x v="0"/>
    <x v="1"/>
    <x v="3"/>
    <x v="0"/>
    <x v="4"/>
    <x v="0"/>
    <n v="9000"/>
    <n v="0.4"/>
  </r>
  <r>
    <n v="37"/>
    <n v="15"/>
    <n v="4.9000000000000004"/>
    <x v="0"/>
    <n v="1200"/>
    <n v="5"/>
    <x v="2"/>
    <n v="0.9"/>
    <n v="800"/>
    <x v="0"/>
    <x v="1"/>
    <x v="1"/>
    <x v="0"/>
    <x v="5"/>
    <x v="0"/>
    <n v="12000"/>
    <n v="0.40540540540540543"/>
  </r>
  <r>
    <n v="8"/>
    <n v="2"/>
    <n v="1.8"/>
    <x v="1"/>
    <n v="4500"/>
    <n v="2.1"/>
    <x v="0"/>
    <n v="-1"/>
    <n v="600"/>
    <x v="0"/>
    <x v="0"/>
    <x v="3"/>
    <x v="2"/>
    <x v="27"/>
    <x v="1"/>
    <n v="1200"/>
    <n v="0.25"/>
  </r>
  <r>
    <n v="20"/>
    <n v="9"/>
    <n v="3.9"/>
    <x v="0"/>
    <n v="7500"/>
    <n v="4.3"/>
    <x v="41"/>
    <n v="0.7"/>
    <n v="1300"/>
    <x v="1"/>
    <x v="1"/>
    <x v="3"/>
    <x v="1"/>
    <x v="2"/>
    <x v="2"/>
    <n v="11700"/>
    <n v="0.45"/>
  </r>
  <r>
    <n v="9"/>
    <n v="6"/>
    <n v="2.8"/>
    <x v="1"/>
    <n v="8500"/>
    <n v="3"/>
    <x v="42"/>
    <n v="0.2"/>
    <n v="800"/>
    <x v="0"/>
    <x v="1"/>
    <x v="0"/>
    <x v="2"/>
    <x v="11"/>
    <x v="2"/>
    <n v="4800"/>
    <n v="0.66666666666666663"/>
  </r>
  <r>
    <n v="23"/>
    <n v="11"/>
    <n v="4.4000000000000004"/>
    <x v="1"/>
    <n v="1300"/>
    <n v="4.8"/>
    <x v="3"/>
    <n v="0.8"/>
    <n v="1200"/>
    <x v="1"/>
    <x v="1"/>
    <x v="3"/>
    <x v="0"/>
    <x v="0"/>
    <x v="0"/>
    <n v="13200"/>
    <n v="0.47826086956521741"/>
  </r>
  <r>
    <n v="28"/>
    <n v="13"/>
    <n v="4.4000000000000004"/>
    <x v="0"/>
    <n v="1800"/>
    <n v="4.9000000000000004"/>
    <x v="16"/>
    <n v="0.6"/>
    <n v="900"/>
    <x v="0"/>
    <x v="1"/>
    <x v="0"/>
    <x v="0"/>
    <x v="2"/>
    <x v="2"/>
    <n v="11700"/>
    <n v="0.4642857142857143"/>
  </r>
  <r>
    <n v="20"/>
    <n v="7"/>
    <n v="3.6"/>
    <x v="1"/>
    <n v="8000"/>
    <n v="3.9"/>
    <x v="4"/>
    <n v="0.7"/>
    <n v="700"/>
    <x v="0"/>
    <x v="1"/>
    <x v="3"/>
    <x v="0"/>
    <x v="8"/>
    <x v="2"/>
    <n v="4900"/>
    <n v="0.35"/>
  </r>
  <r>
    <n v="38"/>
    <n v="19"/>
    <n v="4.9000000000000004"/>
    <x v="0"/>
    <n v="13000"/>
    <n v="5"/>
    <x v="10"/>
    <n v="0.9"/>
    <n v="1700"/>
    <x v="1"/>
    <x v="1"/>
    <x v="0"/>
    <x v="1"/>
    <x v="0"/>
    <x v="0"/>
    <n v="32300"/>
    <n v="0.5"/>
  </r>
  <r>
    <n v="13"/>
    <n v="3"/>
    <n v="2.2999999999999998"/>
    <x v="1"/>
    <n v="600"/>
    <n v="2.6"/>
    <x v="43"/>
    <n v="-0.1"/>
    <n v="1000"/>
    <x v="1"/>
    <x v="1"/>
    <x v="3"/>
    <x v="1"/>
    <x v="6"/>
    <x v="1"/>
    <n v="3000"/>
    <n v="0.23076923076923078"/>
  </r>
  <r>
    <n v="50"/>
    <n v="21"/>
    <n v="4.9000000000000004"/>
    <x v="0"/>
    <n v="1000"/>
    <n v="4.9000000000000004"/>
    <x v="6"/>
    <n v="0.9"/>
    <n v="1400"/>
    <x v="1"/>
    <x v="1"/>
    <x v="2"/>
    <x v="0"/>
    <x v="5"/>
    <x v="0"/>
    <n v="29400"/>
    <n v="0.42"/>
  </r>
  <r>
    <n v="12"/>
    <n v="2"/>
    <n v="1.7"/>
    <x v="1"/>
    <n v="900"/>
    <n v="2"/>
    <x v="19"/>
    <n v="0.3"/>
    <n v="1100"/>
    <x v="1"/>
    <x v="1"/>
    <x v="3"/>
    <x v="1"/>
    <x v="8"/>
    <x v="2"/>
    <n v="2200"/>
    <n v="0.16666666666666666"/>
  </r>
  <r>
    <n v="22"/>
    <n v="8"/>
    <n v="4.0999999999999996"/>
    <x v="1"/>
    <n v="11000"/>
    <n v="4.5999999999999996"/>
    <x v="24"/>
    <n v="0.7"/>
    <n v="1400"/>
    <x v="1"/>
    <x v="1"/>
    <x v="0"/>
    <x v="0"/>
    <x v="4"/>
    <x v="0"/>
    <n v="11200"/>
    <n v="0.36363636363636365"/>
  </r>
  <r>
    <n v="34"/>
    <n v="12"/>
    <n v="4.0999999999999996"/>
    <x v="0"/>
    <n v="3000"/>
    <n v="4.5999999999999996"/>
    <x v="34"/>
    <n v="0.9"/>
    <n v="1200"/>
    <x v="1"/>
    <x v="1"/>
    <x v="3"/>
    <x v="2"/>
    <x v="0"/>
    <x v="0"/>
    <n v="14400"/>
    <n v="0.35294117647058826"/>
  </r>
  <r>
    <n v="41"/>
    <n v="18"/>
    <n v="4.9000000000000004"/>
    <x v="0"/>
    <n v="7000"/>
    <n v="4.9000000000000004"/>
    <x v="13"/>
    <n v="0.9"/>
    <n v="1100"/>
    <x v="1"/>
    <x v="1"/>
    <x v="3"/>
    <x v="0"/>
    <x v="5"/>
    <x v="0"/>
    <n v="19800"/>
    <n v="0.43902439024390244"/>
  </r>
  <r>
    <n v="6"/>
    <n v="3"/>
    <n v="1"/>
    <x v="0"/>
    <n v="1000"/>
    <n v="1.5"/>
    <x v="23"/>
    <n v="-1"/>
    <n v="700"/>
    <x v="0"/>
    <x v="0"/>
    <x v="3"/>
    <x v="2"/>
    <x v="3"/>
    <x v="1"/>
    <n v="2100"/>
    <n v="0.5"/>
  </r>
  <r>
    <n v="21"/>
    <n v="10"/>
    <n v="3.9"/>
    <x v="1"/>
    <n v="18000"/>
    <n v="4.0999999999999996"/>
    <x v="29"/>
    <n v="0.5"/>
    <n v="800"/>
    <x v="0"/>
    <x v="1"/>
    <x v="0"/>
    <x v="0"/>
    <x v="6"/>
    <x v="1"/>
    <n v="8000"/>
    <n v="0.47619047619047616"/>
  </r>
  <r>
    <n v="11"/>
    <n v="4"/>
    <n v="1.7"/>
    <x v="0"/>
    <n v="1000"/>
    <n v="2"/>
    <x v="12"/>
    <n v="-0.9"/>
    <n v="1300"/>
    <x v="1"/>
    <x v="1"/>
    <x v="3"/>
    <x v="1"/>
    <x v="6"/>
    <x v="1"/>
    <n v="5200"/>
    <n v="0.36363636363636365"/>
  </r>
  <r>
    <n v="48"/>
    <n v="23"/>
    <n v="4.9000000000000004"/>
    <x v="1"/>
    <n v="10000"/>
    <n v="4.9000000000000004"/>
    <x v="38"/>
    <n v="0.9"/>
    <n v="1200"/>
    <x v="1"/>
    <x v="1"/>
    <x v="2"/>
    <x v="2"/>
    <x v="5"/>
    <x v="0"/>
    <n v="27600"/>
    <n v="0.47916666666666669"/>
  </r>
  <r>
    <n v="10"/>
    <n v="2"/>
    <n v="1.7"/>
    <x v="0"/>
    <n v="1500"/>
    <n v="2"/>
    <x v="20"/>
    <n v="-0.9"/>
    <n v="600"/>
    <x v="0"/>
    <x v="0"/>
    <x v="3"/>
    <x v="0"/>
    <x v="3"/>
    <x v="1"/>
    <n v="1200"/>
    <n v="0.2"/>
  </r>
  <r>
    <n v="27"/>
    <n v="8"/>
    <n v="4"/>
    <x v="1"/>
    <n v="9500"/>
    <n v="4.3"/>
    <x v="44"/>
    <n v="0.7"/>
    <n v="1500"/>
    <x v="1"/>
    <x v="1"/>
    <x v="3"/>
    <x v="2"/>
    <x v="4"/>
    <x v="0"/>
    <n v="12000"/>
    <n v="0.29629629629629628"/>
  </r>
  <r>
    <n v="30"/>
    <n v="14"/>
    <n v="4.9000000000000004"/>
    <x v="1"/>
    <n v="1200"/>
    <n v="4.9000000000000004"/>
    <x v="32"/>
    <n v="0.9"/>
    <n v="1200"/>
    <x v="1"/>
    <x v="1"/>
    <x v="0"/>
    <x v="0"/>
    <x v="0"/>
    <x v="0"/>
    <n v="16800"/>
    <n v="0.46666666666666667"/>
  </r>
  <r>
    <n v="53"/>
    <n v="18"/>
    <n v="4.9000000000000004"/>
    <x v="0"/>
    <n v="3500"/>
    <n v="4.9000000000000004"/>
    <x v="9"/>
    <n v="0.9"/>
    <n v="1000"/>
    <x v="1"/>
    <x v="1"/>
    <x v="3"/>
    <x v="2"/>
    <x v="0"/>
    <x v="0"/>
    <n v="18000"/>
    <n v="0.33962264150943394"/>
  </r>
  <r>
    <n v="13"/>
    <n v="5"/>
    <n v="3"/>
    <x v="0"/>
    <n v="9500"/>
    <n v="3.5"/>
    <x v="26"/>
    <n v="0.5"/>
    <n v="1100"/>
    <x v="1"/>
    <x v="1"/>
    <x v="3"/>
    <x v="1"/>
    <x v="8"/>
    <x v="2"/>
    <n v="5500"/>
    <n v="0.38461538461538464"/>
  </r>
  <r>
    <n v="22"/>
    <n v="7"/>
    <n v="4"/>
    <x v="1"/>
    <n v="10500"/>
    <n v="4.5999999999999996"/>
    <x v="1"/>
    <n v="0.9"/>
    <n v="800"/>
    <x v="0"/>
    <x v="1"/>
    <x v="0"/>
    <x v="2"/>
    <x v="0"/>
    <x v="0"/>
    <n v="5600"/>
    <n v="0.31818181818181818"/>
  </r>
  <r>
    <n v="37"/>
    <n v="15"/>
    <n v="4.9000000000000004"/>
    <x v="0"/>
    <n v="15000"/>
    <n v="5"/>
    <x v="45"/>
    <n v="0.9"/>
    <n v="1700"/>
    <x v="1"/>
    <x v="1"/>
    <x v="2"/>
    <x v="1"/>
    <x v="5"/>
    <x v="0"/>
    <n v="25500"/>
    <n v="0.40540540540540543"/>
  </r>
  <r>
    <n v="12"/>
    <n v="1"/>
    <n v="1.5"/>
    <x v="1"/>
    <n v="1400"/>
    <n v="1.7"/>
    <x v="28"/>
    <n v="-0.9"/>
    <n v="800"/>
    <x v="0"/>
    <x v="0"/>
    <x v="3"/>
    <x v="0"/>
    <x v="27"/>
    <x v="1"/>
    <n v="800"/>
    <n v="8.3333333333333329E-2"/>
  </r>
  <r>
    <n v="26"/>
    <n v="11"/>
    <n v="4.9000000000000004"/>
    <x v="0"/>
    <n v="1800"/>
    <n v="4.5999999999999996"/>
    <x v="18"/>
    <n v="0.8"/>
    <n v="1000"/>
    <x v="1"/>
    <x v="1"/>
    <x v="3"/>
    <x v="0"/>
    <x v="4"/>
    <x v="0"/>
    <n v="11000"/>
    <n v="0.42307692307692307"/>
  </r>
  <r>
    <n v="39"/>
    <n v="16"/>
    <n v="4.9000000000000004"/>
    <x v="0"/>
    <n v="1300"/>
    <n v="5"/>
    <x v="2"/>
    <n v="0.9"/>
    <n v="900"/>
    <x v="0"/>
    <x v="1"/>
    <x v="1"/>
    <x v="0"/>
    <x v="5"/>
    <x v="0"/>
    <n v="14400"/>
    <n v="0.41025641025641024"/>
  </r>
  <r>
    <n v="10"/>
    <n v="3"/>
    <n v="1.5"/>
    <x v="1"/>
    <n v="5000"/>
    <n v="2"/>
    <x v="0"/>
    <n v="-1"/>
    <n v="700"/>
    <x v="0"/>
    <x v="0"/>
    <x v="3"/>
    <x v="2"/>
    <x v="27"/>
    <x v="1"/>
    <n v="2100"/>
    <n v="0.3"/>
  </r>
  <r>
    <n v="22"/>
    <n v="10"/>
    <n v="4"/>
    <x v="0"/>
    <n v="8500"/>
    <n v="4.4000000000000004"/>
    <x v="41"/>
    <n v="0.7"/>
    <n v="1400"/>
    <x v="1"/>
    <x v="1"/>
    <x v="3"/>
    <x v="1"/>
    <x v="2"/>
    <x v="2"/>
    <n v="14000"/>
    <n v="0.45454545454545453"/>
  </r>
  <r>
    <n v="10"/>
    <n v="7"/>
    <n v="2.2000000000000002"/>
    <x v="1"/>
    <n v="9000"/>
    <n v="2.5"/>
    <x v="42"/>
    <n v="0.2"/>
    <n v="900"/>
    <x v="0"/>
    <x v="1"/>
    <x v="0"/>
    <x v="2"/>
    <x v="11"/>
    <x v="2"/>
    <n v="6300"/>
    <n v="0.7"/>
  </r>
  <r>
    <n v="25"/>
    <n v="12"/>
    <n v="4.5"/>
    <x v="1"/>
    <n v="1400"/>
    <n v="5"/>
    <x v="3"/>
    <n v="0.8"/>
    <n v="1300"/>
    <x v="1"/>
    <x v="1"/>
    <x v="3"/>
    <x v="0"/>
    <x v="0"/>
    <x v="0"/>
    <n v="15600"/>
    <n v="0.48"/>
  </r>
  <r>
    <n v="29"/>
    <n v="14"/>
    <n v="4.5"/>
    <x v="0"/>
    <n v="1900"/>
    <n v="4.9000000000000004"/>
    <x v="16"/>
    <n v="0.7"/>
    <n v="1000"/>
    <x v="1"/>
    <x v="1"/>
    <x v="0"/>
    <x v="0"/>
    <x v="2"/>
    <x v="2"/>
    <n v="14000"/>
    <n v="0.48275862068965519"/>
  </r>
  <r>
    <n v="22"/>
    <n v="8"/>
    <n v="3.5"/>
    <x v="1"/>
    <n v="8500"/>
    <n v="3.9"/>
    <x v="4"/>
    <n v="0.7"/>
    <n v="800"/>
    <x v="0"/>
    <x v="1"/>
    <x v="3"/>
    <x v="0"/>
    <x v="8"/>
    <x v="2"/>
    <n v="6400"/>
    <n v="0.36363636363636365"/>
  </r>
  <r>
    <n v="40"/>
    <n v="20"/>
    <n v="4.9000000000000004"/>
    <x v="0"/>
    <n v="13500"/>
    <n v="5"/>
    <x v="10"/>
    <n v="0.9"/>
    <n v="1800"/>
    <x v="1"/>
    <x v="1"/>
    <x v="0"/>
    <x v="1"/>
    <x v="0"/>
    <x v="0"/>
    <n v="36000"/>
    <n v="0.5"/>
  </r>
  <r>
    <n v="15"/>
    <n v="4"/>
    <n v="1.8"/>
    <x v="1"/>
    <n v="700"/>
    <n v="2.1"/>
    <x v="43"/>
    <n v="-0.1"/>
    <n v="1100"/>
    <x v="1"/>
    <x v="1"/>
    <x v="3"/>
    <x v="1"/>
    <x v="6"/>
    <x v="1"/>
    <n v="4400"/>
    <n v="0.26666666666666666"/>
  </r>
  <r>
    <n v="55"/>
    <n v="22"/>
    <n v="4.9000000000000004"/>
    <x v="0"/>
    <n v="1100"/>
    <n v="4.9000000000000004"/>
    <x v="6"/>
    <n v="0.9"/>
    <n v="1500"/>
    <x v="1"/>
    <x v="1"/>
    <x v="2"/>
    <x v="0"/>
    <x v="5"/>
    <x v="0"/>
    <n v="33000"/>
    <n v="0.4"/>
  </r>
  <r>
    <n v="14"/>
    <n v="3"/>
    <n v="1.5"/>
    <x v="1"/>
    <n v="950"/>
    <n v="2"/>
    <x v="19"/>
    <n v="0.3"/>
    <n v="1200"/>
    <x v="1"/>
    <x v="1"/>
    <x v="3"/>
    <x v="1"/>
    <x v="8"/>
    <x v="2"/>
    <n v="3600"/>
    <n v="0.21428571428571427"/>
  </r>
  <r>
    <n v="24"/>
    <n v="9"/>
    <n v="4"/>
    <x v="1"/>
    <n v="13000"/>
    <n v="4.7"/>
    <x v="24"/>
    <n v="0.7"/>
    <n v="1600"/>
    <x v="1"/>
    <x v="1"/>
    <x v="0"/>
    <x v="0"/>
    <x v="4"/>
    <x v="0"/>
    <n v="14400"/>
    <n v="0.375"/>
  </r>
  <r>
    <n v="36"/>
    <n v="13"/>
    <n v="4"/>
    <x v="0"/>
    <n v="3200"/>
    <n v="4.7"/>
    <x v="34"/>
    <n v="0.9"/>
    <n v="1300"/>
    <x v="1"/>
    <x v="1"/>
    <x v="3"/>
    <x v="2"/>
    <x v="0"/>
    <x v="0"/>
    <n v="16900"/>
    <n v="0.3611111111111111"/>
  </r>
  <r>
    <n v="43"/>
    <n v="19"/>
    <n v="4.9000000000000004"/>
    <x v="0"/>
    <n v="7500"/>
    <n v="4.9000000000000004"/>
    <x v="13"/>
    <n v="0.9"/>
    <n v="1200"/>
    <x v="1"/>
    <x v="1"/>
    <x v="3"/>
    <x v="0"/>
    <x v="5"/>
    <x v="0"/>
    <n v="22800"/>
    <n v="0.44186046511627908"/>
  </r>
  <r>
    <n v="7"/>
    <n v="4"/>
    <n v="1"/>
    <x v="0"/>
    <n v="1100"/>
    <n v="1.6"/>
    <x v="23"/>
    <n v="-1"/>
    <n v="800"/>
    <x v="0"/>
    <x v="0"/>
    <x v="3"/>
    <x v="2"/>
    <x v="3"/>
    <x v="1"/>
    <n v="3200"/>
    <n v="0.5714285714285714"/>
  </r>
  <r>
    <n v="23"/>
    <n v="12"/>
    <n v="4"/>
    <x v="1"/>
    <n v="19000"/>
    <n v="4.0999999999999996"/>
    <x v="29"/>
    <n v="0.6"/>
    <n v="900"/>
    <x v="0"/>
    <x v="1"/>
    <x v="0"/>
    <x v="0"/>
    <x v="6"/>
    <x v="1"/>
    <n v="10800"/>
    <n v="0.52173913043478259"/>
  </r>
  <r>
    <n v="12"/>
    <n v="5"/>
    <n v="1.5"/>
    <x v="0"/>
    <n v="1100"/>
    <n v="2"/>
    <x v="12"/>
    <n v="-0.9"/>
    <n v="1400"/>
    <x v="1"/>
    <x v="1"/>
    <x v="3"/>
    <x v="1"/>
    <x v="6"/>
    <x v="1"/>
    <n v="7000"/>
    <n v="0.41666666666666669"/>
  </r>
  <r>
    <n v="50"/>
    <n v="24"/>
    <n v="4.9000000000000004"/>
    <x v="1"/>
    <n v="10500"/>
    <n v="4.9000000000000004"/>
    <x v="38"/>
    <n v="0.9"/>
    <n v="1300"/>
    <x v="1"/>
    <x v="1"/>
    <x v="2"/>
    <x v="2"/>
    <x v="5"/>
    <x v="0"/>
    <n v="31200"/>
    <n v="0.48"/>
  </r>
  <r>
    <n v="11"/>
    <n v="3"/>
    <n v="1.5"/>
    <x v="0"/>
    <n v="1600"/>
    <n v="2"/>
    <x v="20"/>
    <n v="-0.9"/>
    <n v="700"/>
    <x v="0"/>
    <x v="0"/>
    <x v="3"/>
    <x v="0"/>
    <x v="3"/>
    <x v="1"/>
    <n v="2100"/>
    <n v="0.27272727272727271"/>
  </r>
  <r>
    <n v="29"/>
    <n v="10"/>
    <n v="4"/>
    <x v="1"/>
    <n v="9500"/>
    <n v="4.4000000000000004"/>
    <x v="44"/>
    <n v="0.7"/>
    <n v="1800"/>
    <x v="1"/>
    <x v="1"/>
    <x v="3"/>
    <x v="2"/>
    <x v="4"/>
    <x v="0"/>
    <n v="18000"/>
    <n v="0.34482758620689657"/>
  </r>
  <r>
    <n v="30"/>
    <n v="5"/>
    <n v="4.2"/>
    <x v="0"/>
    <n v="1000"/>
    <n v="4.5"/>
    <x v="9"/>
    <n v="0.7"/>
    <n v="2500"/>
    <x v="1"/>
    <x v="0"/>
    <x v="0"/>
    <x v="0"/>
    <x v="4"/>
    <x v="0"/>
    <n v="12500"/>
    <n v="0.16666666666666666"/>
  </r>
  <r>
    <n v="10"/>
    <n v="2"/>
    <n v="3.9"/>
    <x v="1"/>
    <n v="200"/>
    <n v="3.8"/>
    <x v="29"/>
    <n v="-0.2"/>
    <n v="100"/>
    <x v="0"/>
    <x v="0"/>
    <x v="3"/>
    <x v="1"/>
    <x v="6"/>
    <x v="1"/>
    <n v="200"/>
    <n v="0.2"/>
  </r>
  <r>
    <n v="15"/>
    <n v="8"/>
    <n v="4.8"/>
    <x v="0"/>
    <n v="5000"/>
    <n v="4.7"/>
    <x v="34"/>
    <n v="0.9"/>
    <n v="600"/>
    <x v="0"/>
    <x v="0"/>
    <x v="0"/>
    <x v="0"/>
    <x v="0"/>
    <x v="0"/>
    <n v="4800"/>
    <n v="0.53333333333333333"/>
  </r>
  <r>
    <n v="5"/>
    <n v="0"/>
    <n v="4.5"/>
    <x v="0"/>
    <n v="100"/>
    <n v="4.2"/>
    <x v="31"/>
    <n v="0.5"/>
    <n v="200"/>
    <x v="0"/>
    <x v="0"/>
    <x v="1"/>
    <x v="2"/>
    <x v="8"/>
    <x v="2"/>
    <n v="0"/>
    <n v="0"/>
  </r>
  <r>
    <n v="40"/>
    <n v="15"/>
    <n v="4.5999999999999996"/>
    <x v="1"/>
    <n v="8000"/>
    <n v="4.9000000000000004"/>
    <x v="12"/>
    <n v="0.8"/>
    <n v="900"/>
    <x v="0"/>
    <x v="1"/>
    <x v="0"/>
    <x v="1"/>
    <x v="9"/>
    <x v="0"/>
    <n v="13500"/>
    <n v="0.375"/>
  </r>
  <r>
    <n v="20"/>
    <n v="3"/>
    <n v="3.2"/>
    <x v="0"/>
    <n v="1500"/>
    <n v="3.4"/>
    <x v="5"/>
    <n v="-0.1"/>
    <n v="170"/>
    <x v="0"/>
    <x v="0"/>
    <x v="2"/>
    <x v="0"/>
    <x v="11"/>
    <x v="2"/>
    <n v="510"/>
    <n v="0.15"/>
  </r>
  <r>
    <n v="8"/>
    <n v="1"/>
    <n v="2.5"/>
    <x v="0"/>
    <n v="2000"/>
    <n v="2.2999999999999998"/>
    <x v="1"/>
    <n v="-0.5"/>
    <n v="400"/>
    <x v="0"/>
    <x v="0"/>
    <x v="3"/>
    <x v="0"/>
    <x v="3"/>
    <x v="1"/>
    <n v="400"/>
    <n v="0.125"/>
  </r>
  <r>
    <n v="12"/>
    <n v="6"/>
    <n v="4"/>
    <x v="1"/>
    <n v="700"/>
    <n v="4"/>
    <x v="18"/>
    <n v="0.3"/>
    <n v="750"/>
    <x v="0"/>
    <x v="0"/>
    <x v="1"/>
    <x v="1"/>
    <x v="2"/>
    <x v="2"/>
    <n v="4500"/>
    <n v="0.5"/>
  </r>
  <r>
    <n v="35"/>
    <n v="18"/>
    <n v="4.9000000000000004"/>
    <x v="0"/>
    <n v="6000"/>
    <n v="4.8"/>
    <x v="15"/>
    <n v="0.7"/>
    <n v="700"/>
    <x v="0"/>
    <x v="0"/>
    <x v="0"/>
    <x v="0"/>
    <x v="10"/>
    <x v="0"/>
    <n v="12600"/>
    <n v="0.51428571428571423"/>
  </r>
  <r>
    <n v="45"/>
    <n v="12"/>
    <n v="4.7"/>
    <x v="1"/>
    <n v="3000"/>
    <n v="4.5999999999999996"/>
    <x v="0"/>
    <n v="0.6"/>
    <n v="300"/>
    <x v="0"/>
    <x v="1"/>
    <x v="3"/>
    <x v="1"/>
    <x v="0"/>
    <x v="0"/>
    <n v="3600"/>
    <n v="0.26666666666666666"/>
  </r>
  <r>
    <n v="25"/>
    <n v="5"/>
    <n v="3.8"/>
    <x v="1"/>
    <n v="400"/>
    <n v="3.7"/>
    <x v="25"/>
    <n v="-0.3"/>
    <n v="500"/>
    <x v="0"/>
    <x v="1"/>
    <x v="1"/>
    <x v="0"/>
    <x v="6"/>
    <x v="1"/>
    <n v="2500"/>
    <n v="0.2"/>
  </r>
  <r>
    <n v="3"/>
    <n v="0"/>
    <n v="4.3"/>
    <x v="1"/>
    <n v="900"/>
    <n v="4.4000000000000004"/>
    <x v="2"/>
    <n v="0.2"/>
    <n v="1000"/>
    <x v="1"/>
    <x v="0"/>
    <x v="0"/>
    <x v="1"/>
    <x v="12"/>
    <x v="2"/>
    <n v="0"/>
    <n v="0"/>
  </r>
  <r>
    <n v="18"/>
    <n v="10"/>
    <n v="4.5999999999999996"/>
    <x v="0"/>
    <n v="3500"/>
    <n v="4.7"/>
    <x v="36"/>
    <n v="0.4"/>
    <n v="800"/>
    <x v="0"/>
    <x v="0"/>
    <x v="3"/>
    <x v="2"/>
    <x v="4"/>
    <x v="0"/>
    <n v="8000"/>
    <n v="0.55555555555555558"/>
  </r>
  <r>
    <n v="7"/>
    <n v="2"/>
    <n v="3.7"/>
    <x v="0"/>
    <n v="4500"/>
    <n v="3.5"/>
    <x v="17"/>
    <n v="-0.4"/>
    <n v="300"/>
    <x v="0"/>
    <x v="0"/>
    <x v="2"/>
    <x v="0"/>
    <x v="1"/>
    <x v="1"/>
    <n v="600"/>
    <n v="0.2857142857142857"/>
  </r>
  <r>
    <n v="22"/>
    <n v="7"/>
    <n v="4.5"/>
    <x v="1"/>
    <n v="5500"/>
    <n v="4.3"/>
    <x v="24"/>
    <n v="0.1"/>
    <n v="1000"/>
    <x v="1"/>
    <x v="0"/>
    <x v="0"/>
    <x v="1"/>
    <x v="22"/>
    <x v="2"/>
    <n v="7000"/>
    <n v="0.31818181818181818"/>
  </r>
  <r>
    <n v="50"/>
    <n v="20"/>
    <n v="4.5"/>
    <x v="0"/>
    <n v="9500"/>
    <n v="4.7"/>
    <x v="4"/>
    <n v="0.9"/>
    <n v="900"/>
    <x v="0"/>
    <x v="0"/>
    <x v="0"/>
    <x v="1"/>
    <x v="5"/>
    <x v="0"/>
    <n v="18000"/>
    <n v="0.4"/>
  </r>
  <r>
    <n v="13"/>
    <n v="4"/>
    <n v="3.4"/>
    <x v="0"/>
    <n v="750"/>
    <n v="3.3"/>
    <x v="37"/>
    <n v="0"/>
    <n v="600"/>
    <x v="0"/>
    <x v="0"/>
    <x v="3"/>
    <x v="2"/>
    <x v="11"/>
    <x v="2"/>
    <n v="2400"/>
    <n v="0.30769230769230771"/>
  </r>
  <r>
    <n v="6"/>
    <n v="0"/>
    <n v="3"/>
    <x v="1"/>
    <n v="300"/>
    <n v="2.8"/>
    <x v="35"/>
    <n v="-0.6"/>
    <n v="200"/>
    <x v="0"/>
    <x v="0"/>
    <x v="1"/>
    <x v="0"/>
    <x v="7"/>
    <x v="1"/>
    <n v="0"/>
    <n v="0"/>
  </r>
  <r>
    <n v="28"/>
    <n v="9"/>
    <n v="4.0999999999999996"/>
    <x v="1"/>
    <n v="2500"/>
    <n v="4"/>
    <x v="28"/>
    <n v="0.5"/>
    <n v="800"/>
    <x v="0"/>
    <x v="0"/>
    <x v="0"/>
    <x v="1"/>
    <x v="8"/>
    <x v="2"/>
    <n v="7200"/>
    <n v="0.32142857142857145"/>
  </r>
  <r>
    <n v="16"/>
    <n v="3"/>
    <n v="4.8"/>
    <x v="0"/>
    <n v="4000"/>
    <n v="4.9000000000000004"/>
    <x v="26"/>
    <n v="0.8"/>
    <n v="500"/>
    <x v="0"/>
    <x v="0"/>
    <x v="2"/>
    <x v="0"/>
    <x v="4"/>
    <x v="0"/>
    <n v="1500"/>
    <n v="0.1875"/>
  </r>
  <r>
    <n v="9"/>
    <n v="2"/>
    <n v="3.3"/>
    <x v="0"/>
    <n v="550"/>
    <n v="3.1"/>
    <x v="8"/>
    <n v="-0.1"/>
    <n v="300"/>
    <x v="0"/>
    <x v="1"/>
    <x v="0"/>
    <x v="1"/>
    <x v="3"/>
    <x v="1"/>
    <n v="600"/>
    <n v="0.22222222222222221"/>
  </r>
  <r>
    <n v="33"/>
    <n v="14"/>
    <n v="4.4000000000000004"/>
    <x v="1"/>
    <n v="8500"/>
    <n v="4.5999999999999996"/>
    <x v="20"/>
    <n v="0.6"/>
    <n v="700"/>
    <x v="0"/>
    <x v="0"/>
    <x v="3"/>
    <x v="0"/>
    <x v="10"/>
    <x v="0"/>
    <n v="9800"/>
    <n v="0.42424242424242425"/>
  </r>
  <r>
    <n v="11"/>
    <n v="1"/>
    <n v="4"/>
    <x v="1"/>
    <n v="600"/>
    <n v="3.9"/>
    <x v="31"/>
    <n v="0.1"/>
    <n v="800"/>
    <x v="0"/>
    <x v="0"/>
    <x v="1"/>
    <x v="1"/>
    <x v="16"/>
    <x v="2"/>
    <n v="800"/>
    <n v="9.0909090909090912E-2"/>
  </r>
  <r>
    <n v="2"/>
    <n v="0"/>
    <n v="2.5"/>
    <x v="0"/>
    <n v="150"/>
    <n v="2.4"/>
    <x v="11"/>
    <n v="-0.7"/>
    <n v="100"/>
    <x v="0"/>
    <x v="0"/>
    <x v="2"/>
    <x v="2"/>
    <x v="31"/>
    <x v="1"/>
    <n v="0"/>
    <n v="0"/>
  </r>
  <r>
    <n v="18"/>
    <n v="6"/>
    <n v="3.8"/>
    <x v="0"/>
    <n v="4500"/>
    <n v="3.6"/>
    <x v="20"/>
    <n v="0.2"/>
    <n v="1000"/>
    <x v="1"/>
    <x v="0"/>
    <x v="3"/>
    <x v="0"/>
    <x v="2"/>
    <x v="2"/>
    <n v="6000"/>
    <n v="0.33333333333333331"/>
  </r>
  <r>
    <n v="5"/>
    <n v="1"/>
    <n v="4.2"/>
    <x v="1"/>
    <n v="3000"/>
    <n v="4.3"/>
    <x v="22"/>
    <n v="0.4"/>
    <n v="700"/>
    <x v="0"/>
    <x v="0"/>
    <x v="0"/>
    <x v="1"/>
    <x v="8"/>
    <x v="2"/>
    <n v="700"/>
    <n v="0.2"/>
  </r>
  <r>
    <n v="23"/>
    <n v="7"/>
    <n v="4.5999999999999996"/>
    <x v="0"/>
    <n v="7000"/>
    <n v="4.7"/>
    <x v="36"/>
    <n v="0.8"/>
    <n v="800"/>
    <x v="0"/>
    <x v="0"/>
    <x v="3"/>
    <x v="0"/>
    <x v="0"/>
    <x v="0"/>
    <n v="5600"/>
    <n v="0.30434782608695654"/>
  </r>
  <r>
    <n v="7"/>
    <n v="0"/>
    <n v="3.5"/>
    <x v="0"/>
    <n v="150"/>
    <n v="3.4"/>
    <x v="11"/>
    <n v="-0.3"/>
    <n v="100"/>
    <x v="0"/>
    <x v="0"/>
    <x v="1"/>
    <x v="2"/>
    <x v="3"/>
    <x v="1"/>
    <n v="0"/>
    <n v="0"/>
  </r>
  <r>
    <n v="12"/>
    <n v="3"/>
    <n v="3.9"/>
    <x v="1"/>
    <n v="800"/>
    <n v="3.7"/>
    <x v="12"/>
    <n v="0.1"/>
    <n v="600"/>
    <x v="0"/>
    <x v="0"/>
    <x v="2"/>
    <x v="0"/>
    <x v="11"/>
    <x v="2"/>
    <n v="1800"/>
    <n v="0.25"/>
  </r>
  <r>
    <n v="30"/>
    <n v="12"/>
    <n v="4.5"/>
    <x v="0"/>
    <n v="9500"/>
    <n v="4.8"/>
    <x v="23"/>
    <n v="0.9"/>
    <n v="1000"/>
    <x v="1"/>
    <x v="0"/>
    <x v="0"/>
    <x v="1"/>
    <x v="9"/>
    <x v="0"/>
    <n v="12000"/>
    <n v="0.4"/>
  </r>
  <r>
    <n v="40"/>
    <n v="18"/>
    <n v="4.7"/>
    <x v="1"/>
    <n v="5500"/>
    <n v="4.5999999999999996"/>
    <x v="26"/>
    <n v="0.7"/>
    <n v="700"/>
    <x v="0"/>
    <x v="0"/>
    <x v="3"/>
    <x v="0"/>
    <x v="10"/>
    <x v="0"/>
    <n v="12600"/>
    <n v="0.45"/>
  </r>
  <r>
    <n v="8"/>
    <n v="2"/>
    <n v="3"/>
    <x v="0"/>
    <n v="250"/>
    <n v="2.8"/>
    <x v="15"/>
    <n v="-0.5"/>
    <n v="400"/>
    <x v="0"/>
    <x v="0"/>
    <x v="3"/>
    <x v="2"/>
    <x v="25"/>
    <x v="1"/>
    <n v="800"/>
    <n v="0.25"/>
  </r>
  <r>
    <n v="15"/>
    <n v="5"/>
    <n v="3.6"/>
    <x v="1"/>
    <n v="4000"/>
    <n v="3.5"/>
    <x v="5"/>
    <n v="0.2"/>
    <n v="500"/>
    <x v="0"/>
    <x v="1"/>
    <x v="0"/>
    <x v="1"/>
    <x v="6"/>
    <x v="1"/>
    <n v="2500"/>
    <n v="0.33333333333333331"/>
  </r>
  <r>
    <n v="25"/>
    <n v="10"/>
    <n v="4.3"/>
    <x v="0"/>
    <n v="8500"/>
    <n v="4.5"/>
    <x v="31"/>
    <n v="0.5"/>
    <n v="600"/>
    <x v="0"/>
    <x v="0"/>
    <x v="1"/>
    <x v="0"/>
    <x v="4"/>
    <x v="0"/>
    <n v="6000"/>
    <n v="0.4"/>
  </r>
  <r>
    <n v="35"/>
    <n v="15"/>
    <n v="4.9000000000000004"/>
    <x v="0"/>
    <n v="6000"/>
    <n v="4.8"/>
    <x v="34"/>
    <n v="0.8"/>
    <n v="700"/>
    <x v="0"/>
    <x v="1"/>
    <x v="3"/>
    <x v="1"/>
    <x v="0"/>
    <x v="0"/>
    <n v="10500"/>
    <n v="0.42857142857142855"/>
  </r>
  <r>
    <n v="9"/>
    <n v="2"/>
    <n v="2.5"/>
    <x v="1"/>
    <n v="1500"/>
    <n v="2.2999999999999998"/>
    <x v="8"/>
    <n v="-0.8"/>
    <n v="300"/>
    <x v="0"/>
    <x v="0"/>
    <x v="2"/>
    <x v="0"/>
    <x v="7"/>
    <x v="1"/>
    <n v="600"/>
    <n v="0.22222222222222221"/>
  </r>
  <r>
    <n v="20"/>
    <n v="4"/>
    <n v="4"/>
    <x v="1"/>
    <n v="650"/>
    <n v="3.9"/>
    <x v="4"/>
    <n v="0.1"/>
    <n v="800"/>
    <x v="0"/>
    <x v="0"/>
    <x v="3"/>
    <x v="1"/>
    <x v="12"/>
    <x v="2"/>
    <n v="3200"/>
    <n v="0.2"/>
  </r>
  <r>
    <n v="13"/>
    <n v="3"/>
    <n v="4.5999999999999996"/>
    <x v="0"/>
    <n v="5000"/>
    <n v="4.7"/>
    <x v="13"/>
    <n v="0.6"/>
    <n v="750"/>
    <x v="0"/>
    <x v="0"/>
    <x v="0"/>
    <x v="0"/>
    <x v="4"/>
    <x v="0"/>
    <n v="2250"/>
    <n v="0.23076923076923078"/>
  </r>
  <r>
    <n v="6"/>
    <n v="1"/>
    <n v="3.3"/>
    <x v="1"/>
    <n v="200"/>
    <n v="3.2"/>
    <x v="3"/>
    <n v="-0.1"/>
    <n v="200"/>
    <x v="0"/>
    <x v="0"/>
    <x v="2"/>
    <x v="2"/>
    <x v="1"/>
    <x v="1"/>
    <n v="200"/>
    <n v="0.16666666666666666"/>
  </r>
  <r>
    <n v="32"/>
    <n v="11"/>
    <n v="4.8"/>
    <x v="0"/>
    <n v="7500"/>
    <n v="4.9000000000000004"/>
    <x v="1"/>
    <n v="0.9"/>
    <n v="900"/>
    <x v="0"/>
    <x v="0"/>
    <x v="0"/>
    <x v="1"/>
    <x v="9"/>
    <x v="0"/>
    <n v="9900"/>
    <n v="0.34375"/>
  </r>
  <r>
    <n v="10"/>
    <n v="0"/>
    <n v="3.7"/>
    <x v="1"/>
    <n v="250"/>
    <n v="3.5"/>
    <x v="21"/>
    <n v="-0.4"/>
    <n v="100"/>
    <x v="0"/>
    <x v="0"/>
    <x v="1"/>
    <x v="0"/>
    <x v="7"/>
    <x v="1"/>
    <n v="0"/>
    <n v="0"/>
  </r>
  <r>
    <n v="28"/>
    <n v="8"/>
    <n v="4.0999999999999996"/>
    <x v="0"/>
    <n v="3000"/>
    <n v="4"/>
    <x v="6"/>
    <n v="0.3"/>
    <n v="800"/>
    <x v="0"/>
    <x v="0"/>
    <x v="0"/>
    <x v="0"/>
    <x v="8"/>
    <x v="2"/>
    <n v="6400"/>
    <n v="0.2857142857142857"/>
  </r>
  <r>
    <n v="4"/>
    <n v="0"/>
    <n v="2.8"/>
    <x v="0"/>
    <n v="100"/>
    <n v="2.6"/>
    <x v="35"/>
    <n v="-0.7"/>
    <n v="100"/>
    <x v="0"/>
    <x v="0"/>
    <x v="3"/>
    <x v="2"/>
    <x v="7"/>
    <x v="1"/>
    <n v="0"/>
    <n v="0"/>
  </r>
  <r>
    <n v="17"/>
    <n v="4"/>
    <n v="4.2"/>
    <x v="1"/>
    <n v="4500"/>
    <n v="4.4000000000000004"/>
    <x v="31"/>
    <n v="0.7"/>
    <n v="500"/>
    <x v="0"/>
    <x v="0"/>
    <x v="2"/>
    <x v="1"/>
    <x v="2"/>
    <x v="2"/>
    <n v="2000"/>
    <n v="0.23529411764705882"/>
  </r>
  <r>
    <n v="21"/>
    <n v="9"/>
    <n v="4.5"/>
    <x v="1"/>
    <n v="8500"/>
    <n v="4.5999999999999996"/>
    <x v="32"/>
    <n v="0.6"/>
    <n v="600"/>
    <x v="0"/>
    <x v="0"/>
    <x v="0"/>
    <x v="0"/>
    <x v="10"/>
    <x v="0"/>
    <n v="5400"/>
    <n v="0.42857142857142855"/>
  </r>
  <r>
    <n v="37"/>
    <n v="14"/>
    <n v="4.9000000000000004"/>
    <x v="0"/>
    <n v="7000"/>
    <n v="4.8"/>
    <x v="15"/>
    <n v="0.9"/>
    <n v="700"/>
    <x v="0"/>
    <x v="1"/>
    <x v="3"/>
    <x v="1"/>
    <x v="0"/>
    <x v="0"/>
    <n v="9800"/>
    <n v="0.3783783783783784"/>
  </r>
  <r>
    <n v="14"/>
    <n v="5"/>
    <n v="3.9"/>
    <x v="1"/>
    <n v="500"/>
    <n v="3.8"/>
    <x v="9"/>
    <n v="0"/>
    <n v="700"/>
    <x v="0"/>
    <x v="0"/>
    <x v="1"/>
    <x v="2"/>
    <x v="6"/>
    <x v="1"/>
    <n v="3500"/>
    <n v="0.35714285714285715"/>
  </r>
  <r>
    <n v="19"/>
    <n v="7"/>
    <n v="4.3"/>
    <x v="0"/>
    <n v="5500"/>
    <n v="4.4000000000000004"/>
    <x v="20"/>
    <n v="0.7"/>
    <n v="700"/>
    <x v="0"/>
    <x v="0"/>
    <x v="3"/>
    <x v="1"/>
    <x v="4"/>
    <x v="0"/>
    <n v="4900"/>
    <n v="0.36842105263157893"/>
  </r>
  <r>
    <n v="6"/>
    <n v="1"/>
    <n v="3.5"/>
    <x v="1"/>
    <n v="2000"/>
    <n v="3.4"/>
    <x v="3"/>
    <n v="-0.2"/>
    <n v="200"/>
    <x v="0"/>
    <x v="0"/>
    <x v="2"/>
    <x v="0"/>
    <x v="1"/>
    <x v="1"/>
    <n v="200"/>
    <n v="0.16666666666666666"/>
  </r>
  <r>
    <n v="31"/>
    <n v="13"/>
    <n v="4.7"/>
    <x v="0"/>
    <n v="8000"/>
    <n v="4.5999999999999996"/>
    <x v="9"/>
    <n v="0.8"/>
    <n v="800"/>
    <x v="0"/>
    <x v="0"/>
    <x v="0"/>
    <x v="0"/>
    <x v="0"/>
    <x v="0"/>
    <n v="10400"/>
    <n v="0.41935483870967744"/>
  </r>
  <r>
    <n v="8"/>
    <n v="3"/>
    <n v="3.2"/>
    <x v="0"/>
    <n v="300"/>
    <n v="3.1"/>
    <x v="11"/>
    <n v="-0.4"/>
    <n v="100"/>
    <x v="0"/>
    <x v="0"/>
    <x v="3"/>
    <x v="2"/>
    <x v="3"/>
    <x v="1"/>
    <n v="300"/>
    <n v="0.375"/>
  </r>
  <r>
    <n v="14"/>
    <n v="4"/>
    <n v="4"/>
    <x v="1"/>
    <n v="700"/>
    <n v="4.0999999999999996"/>
    <x v="5"/>
    <n v="0.2"/>
    <n v="600"/>
    <x v="0"/>
    <x v="0"/>
    <x v="1"/>
    <x v="0"/>
    <x v="12"/>
    <x v="2"/>
    <n v="2400"/>
    <n v="0.2857142857142857"/>
  </r>
  <r>
    <n v="24"/>
    <n v="11"/>
    <n v="4.5999999999999996"/>
    <x v="0"/>
    <n v="9000"/>
    <n v="4.7"/>
    <x v="23"/>
    <n v="0.9"/>
    <n v="1000"/>
    <x v="1"/>
    <x v="0"/>
    <x v="0"/>
    <x v="1"/>
    <x v="9"/>
    <x v="0"/>
    <n v="11000"/>
    <n v="0.45833333333333331"/>
  </r>
  <r>
    <n v="41"/>
    <n v="17"/>
    <n v="4.8"/>
    <x v="1"/>
    <n v="5000"/>
    <n v="4.9000000000000004"/>
    <x v="1"/>
    <n v="0.9"/>
    <n v="700"/>
    <x v="0"/>
    <x v="0"/>
    <x v="3"/>
    <x v="0"/>
    <x v="9"/>
    <x v="0"/>
    <n v="11900"/>
    <n v="0.41463414634146339"/>
  </r>
  <r>
    <n v="9"/>
    <n v="2"/>
    <n v="2.8"/>
    <x v="0"/>
    <n v="200"/>
    <n v="2.6"/>
    <x v="2"/>
    <n v="-0.6"/>
    <n v="100"/>
    <x v="0"/>
    <x v="0"/>
    <x v="2"/>
    <x v="2"/>
    <x v="7"/>
    <x v="1"/>
    <n v="200"/>
    <n v="0.22222222222222221"/>
  </r>
  <r>
    <n v="16"/>
    <n v="6"/>
    <n v="3.8"/>
    <x v="1"/>
    <n v="4500"/>
    <n v="3.9"/>
    <x v="22"/>
    <n v="0.3"/>
    <n v="500"/>
    <x v="0"/>
    <x v="0"/>
    <x v="0"/>
    <x v="1"/>
    <x v="2"/>
    <x v="2"/>
    <n v="3000"/>
    <n v="0.375"/>
  </r>
  <r>
    <n v="26"/>
    <n v="9"/>
    <n v="4.4000000000000004"/>
    <x v="0"/>
    <n v="7500"/>
    <n v="4.5"/>
    <x v="26"/>
    <n v="0.6"/>
    <n v="600"/>
    <x v="0"/>
    <x v="0"/>
    <x v="3"/>
    <x v="0"/>
    <x v="4"/>
    <x v="0"/>
    <n v="5400"/>
    <n v="0.34615384615384615"/>
  </r>
  <r>
    <n v="36"/>
    <n v="14"/>
    <n v="4.9000000000000004"/>
    <x v="0"/>
    <n v="6500"/>
    <n v="4.8"/>
    <x v="20"/>
    <n v="0.9"/>
    <n v="700"/>
    <x v="0"/>
    <x v="1"/>
    <x v="0"/>
    <x v="1"/>
    <x v="9"/>
    <x v="0"/>
    <n v="9800"/>
    <n v="0.3888888888888889"/>
  </r>
  <r>
    <n v="11"/>
    <n v="1"/>
    <n v="3"/>
    <x v="1"/>
    <n v="300"/>
    <n v="2.9"/>
    <x v="11"/>
    <n v="-0.5"/>
    <n v="200"/>
    <x v="0"/>
    <x v="0"/>
    <x v="2"/>
    <x v="2"/>
    <x v="7"/>
    <x v="1"/>
    <n v="200"/>
    <n v="9.0909090909090912E-2"/>
  </r>
  <r>
    <n v="19"/>
    <n v="5"/>
    <n v="4.0999999999999996"/>
    <x v="1"/>
    <n v="6000"/>
    <n v="4.2"/>
    <x v="9"/>
    <n v="0.4"/>
    <n v="700"/>
    <x v="0"/>
    <x v="0"/>
    <x v="1"/>
    <x v="0"/>
    <x v="8"/>
    <x v="2"/>
    <n v="3500"/>
    <n v="0.26315789473684209"/>
  </r>
  <r>
    <n v="33"/>
    <n v="12"/>
    <n v="4.7"/>
    <x v="0"/>
    <n v="8500"/>
    <n v="4.5999999999999996"/>
    <x v="34"/>
    <n v="0.8"/>
    <n v="800"/>
    <x v="0"/>
    <x v="0"/>
    <x v="3"/>
    <x v="1"/>
    <x v="0"/>
    <x v="0"/>
    <n v="9600"/>
    <n v="0.36363636363636365"/>
  </r>
  <r>
    <n v="7"/>
    <n v="1"/>
    <n v="3.3"/>
    <x v="1"/>
    <n v="250"/>
    <n v="3.1"/>
    <x v="3"/>
    <n v="-0.3"/>
    <n v="100"/>
    <x v="0"/>
    <x v="0"/>
    <x v="3"/>
    <x v="2"/>
    <x v="3"/>
    <x v="1"/>
    <n v="100"/>
    <n v="0.14285714285714285"/>
  </r>
  <r>
    <n v="22"/>
    <n v="8"/>
    <n v="4.5"/>
    <x v="0"/>
    <n v="7000"/>
    <n v="4.4000000000000004"/>
    <x v="36"/>
    <n v="0.7"/>
    <n v="800"/>
    <x v="0"/>
    <x v="0"/>
    <x v="0"/>
    <x v="0"/>
    <x v="10"/>
    <x v="0"/>
    <n v="6400"/>
    <n v="0.36363636363636365"/>
  </r>
  <r>
    <n v="12"/>
    <n v="0"/>
    <n v="3.2"/>
    <x v="1"/>
    <n v="400"/>
    <n v="3"/>
    <x v="46"/>
    <n v="-0.2"/>
    <n v="200"/>
    <x v="0"/>
    <x v="0"/>
    <x v="1"/>
    <x v="2"/>
    <x v="7"/>
    <x v="1"/>
    <n v="0"/>
    <n v="0"/>
  </r>
  <r>
    <n v="29"/>
    <n v="10"/>
    <n v="4.5"/>
    <x v="1"/>
    <n v="8000"/>
    <n v="4.7"/>
    <x v="23"/>
    <n v="0.8"/>
    <n v="900"/>
    <x v="0"/>
    <x v="0"/>
    <x v="0"/>
    <x v="1"/>
    <x v="0"/>
    <x v="0"/>
    <n v="9000"/>
    <n v="0.34482758620689657"/>
  </r>
  <r>
    <n v="39"/>
    <n v="16"/>
    <n v="4.9000000000000004"/>
    <x v="0"/>
    <n v="5500"/>
    <n v="4.8"/>
    <x v="1"/>
    <n v="0.9"/>
    <n v="700"/>
    <x v="0"/>
    <x v="1"/>
    <x v="3"/>
    <x v="0"/>
    <x v="9"/>
    <x v="0"/>
    <n v="11200"/>
    <n v="0.41025641025641024"/>
  </r>
  <r>
    <n v="10"/>
    <n v="3"/>
    <n v="3.5"/>
    <x v="0"/>
    <n v="350"/>
    <n v="3.4"/>
    <x v="18"/>
    <n v="-0.1"/>
    <n v="300"/>
    <x v="0"/>
    <x v="0"/>
    <x v="2"/>
    <x v="0"/>
    <x v="6"/>
    <x v="1"/>
    <n v="900"/>
    <n v="0.3"/>
  </r>
  <r>
    <n v="20"/>
    <n v="6"/>
    <n v="4"/>
    <x v="1"/>
    <n v="5000"/>
    <n v="4.0999999999999996"/>
    <x v="9"/>
    <n v="0.5"/>
    <n v="600"/>
    <x v="0"/>
    <x v="0"/>
    <x v="1"/>
    <x v="0"/>
    <x v="2"/>
    <x v="2"/>
    <n v="3600"/>
    <n v="0.3"/>
  </r>
  <r>
    <n v="34"/>
    <n v="13"/>
    <n v="4.8"/>
    <x v="0"/>
    <n v="8000"/>
    <n v="4.9000000000000004"/>
    <x v="34"/>
    <n v="0.9"/>
    <n v="800"/>
    <x v="0"/>
    <x v="0"/>
    <x v="3"/>
    <x v="1"/>
    <x v="9"/>
    <x v="0"/>
    <n v="10400"/>
    <n v="0.38235294117647056"/>
  </r>
  <r>
    <n v="8"/>
    <n v="1"/>
    <n v="3.1"/>
    <x v="1"/>
    <n v="300"/>
    <n v="3"/>
    <x v="3"/>
    <n v="-0.4"/>
    <n v="200"/>
    <x v="0"/>
    <x v="0"/>
    <x v="2"/>
    <x v="2"/>
    <x v="7"/>
    <x v="1"/>
    <n v="200"/>
    <n v="0.125"/>
  </r>
  <r>
    <n v="17"/>
    <n v="7"/>
    <n v="4.4000000000000004"/>
    <x v="0"/>
    <n v="7000"/>
    <n v="4.5999999999999996"/>
    <x v="15"/>
    <n v="0.7"/>
    <n v="800"/>
    <x v="0"/>
    <x v="0"/>
    <x v="0"/>
    <x v="0"/>
    <x v="10"/>
    <x v="0"/>
    <n v="5600"/>
    <n v="0.41176470588235292"/>
  </r>
  <r>
    <n v="13"/>
    <n v="0"/>
    <n v="3"/>
    <x v="1"/>
    <n v="450"/>
    <n v="2.8"/>
    <x v="46"/>
    <n v="-0.3"/>
    <n v="200"/>
    <x v="0"/>
    <x v="0"/>
    <x v="1"/>
    <x v="2"/>
    <x v="7"/>
    <x v="1"/>
    <n v="0"/>
    <n v="0"/>
  </r>
  <r>
    <n v="23"/>
    <n v="8"/>
    <n v="4.5999999999999996"/>
    <x v="0"/>
    <n v="7000"/>
    <n v="4.5"/>
    <x v="23"/>
    <n v="0.7"/>
    <n v="800"/>
    <x v="0"/>
    <x v="0"/>
    <x v="3"/>
    <x v="1"/>
    <x v="10"/>
    <x v="0"/>
    <n v="6400"/>
    <n v="0.34782608695652173"/>
  </r>
  <r>
    <n v="9"/>
    <n v="2"/>
    <n v="3.2"/>
    <x v="1"/>
    <n v="350"/>
    <n v="3.1"/>
    <x v="46"/>
    <n v="-0.2"/>
    <n v="200"/>
    <x v="0"/>
    <x v="0"/>
    <x v="2"/>
    <x v="2"/>
    <x v="7"/>
    <x v="1"/>
    <n v="400"/>
    <n v="0.22222222222222221"/>
  </r>
  <r>
    <n v="32"/>
    <n v="14"/>
    <n v="4.8"/>
    <x v="0"/>
    <n v="8500"/>
    <n v="4.9000000000000004"/>
    <x v="34"/>
    <n v="0.9"/>
    <n v="800"/>
    <x v="0"/>
    <x v="0"/>
    <x v="3"/>
    <x v="1"/>
    <x v="9"/>
    <x v="0"/>
    <n v="11200"/>
    <n v="0.4375"/>
  </r>
  <r>
    <n v="10"/>
    <n v="1"/>
    <n v="3.5"/>
    <x v="0"/>
    <n v="400"/>
    <n v="3.4"/>
    <x v="18"/>
    <n v="-0.1"/>
    <n v="300"/>
    <x v="0"/>
    <x v="0"/>
    <x v="2"/>
    <x v="0"/>
    <x v="6"/>
    <x v="1"/>
    <n v="300"/>
    <n v="0.1"/>
  </r>
  <r>
    <n v="21"/>
    <n v="7"/>
    <n v="4.2"/>
    <x v="1"/>
    <n v="5000"/>
    <n v="4.3"/>
    <x v="12"/>
    <n v="0.4"/>
    <n v="600"/>
    <x v="0"/>
    <x v="0"/>
    <x v="1"/>
    <x v="0"/>
    <x v="8"/>
    <x v="2"/>
    <n v="4200"/>
    <n v="0.33333333333333331"/>
  </r>
  <r>
    <n v="35"/>
    <n v="12"/>
    <n v="4.5999999999999996"/>
    <x v="0"/>
    <n v="9000"/>
    <n v="4.7"/>
    <x v="36"/>
    <n v="0.8"/>
    <n v="900"/>
    <x v="0"/>
    <x v="0"/>
    <x v="0"/>
    <x v="0"/>
    <x v="0"/>
    <x v="0"/>
    <n v="10800"/>
    <n v="0.34285714285714286"/>
  </r>
  <r>
    <n v="42"/>
    <n v="18"/>
    <n v="4.9000000000000004"/>
    <x v="1"/>
    <n v="5500"/>
    <n v="4.8"/>
    <x v="0"/>
    <n v="0.9"/>
    <n v="700"/>
    <x v="0"/>
    <x v="1"/>
    <x v="3"/>
    <x v="0"/>
    <x v="9"/>
    <x v="0"/>
    <n v="12600"/>
    <n v="0.42857142857142855"/>
  </r>
  <r>
    <n v="11"/>
    <n v="2"/>
    <n v="3.1"/>
    <x v="0"/>
    <n v="400"/>
    <n v="3"/>
    <x v="46"/>
    <n v="-0.3"/>
    <n v="200"/>
    <x v="0"/>
    <x v="0"/>
    <x v="2"/>
    <x v="2"/>
    <x v="7"/>
    <x v="1"/>
    <n v="400"/>
    <n v="0.18181818181818182"/>
  </r>
  <r>
    <n v="18"/>
    <n v="6"/>
    <n v="4"/>
    <x v="1"/>
    <n v="5500"/>
    <n v="4.0999999999999996"/>
    <x v="12"/>
    <n v="0.5"/>
    <n v="600"/>
    <x v="0"/>
    <x v="0"/>
    <x v="1"/>
    <x v="0"/>
    <x v="2"/>
    <x v="2"/>
    <n v="3600"/>
    <n v="0.33333333333333331"/>
  </r>
  <r>
    <n v="24"/>
    <n v="9"/>
    <n v="4.5"/>
    <x v="0"/>
    <n v="7500"/>
    <n v="4.4000000000000004"/>
    <x v="26"/>
    <n v="0.6"/>
    <n v="700"/>
    <x v="0"/>
    <x v="0"/>
    <x v="3"/>
    <x v="0"/>
    <x v="4"/>
    <x v="0"/>
    <n v="6300"/>
    <n v="0.375"/>
  </r>
  <r>
    <n v="37"/>
    <n v="15"/>
    <n v="4.9000000000000004"/>
    <x v="0"/>
    <n v="6500"/>
    <n v="4.8"/>
    <x v="1"/>
    <n v="0.9"/>
    <n v="800"/>
    <x v="0"/>
    <x v="0"/>
    <x v="0"/>
    <x v="0"/>
    <x v="9"/>
    <x v="0"/>
    <n v="12000"/>
    <n v="0.40540540540540543"/>
  </r>
  <r>
    <n v="12"/>
    <n v="1"/>
    <n v="3"/>
    <x v="1"/>
    <n v="350"/>
    <n v="2.9"/>
    <x v="46"/>
    <n v="-0.4"/>
    <n v="200"/>
    <x v="0"/>
    <x v="0"/>
    <x v="2"/>
    <x v="2"/>
    <x v="7"/>
    <x v="1"/>
    <n v="200"/>
    <n v="8.3333333333333329E-2"/>
  </r>
  <r>
    <n v="22"/>
    <n v="8"/>
    <n v="4.3"/>
    <x v="1"/>
    <n v="6000"/>
    <n v="4.4000000000000004"/>
    <x v="12"/>
    <n v="0.7"/>
    <n v="600"/>
    <x v="0"/>
    <x v="0"/>
    <x v="1"/>
    <x v="0"/>
    <x v="4"/>
    <x v="0"/>
    <n v="4800"/>
    <n v="0.36363636363636365"/>
  </r>
  <r>
    <n v="36"/>
    <n v="13"/>
    <n v="4.7"/>
    <x v="0"/>
    <n v="8500"/>
    <n v="4.5999999999999996"/>
    <x v="34"/>
    <n v="0.8"/>
    <n v="800"/>
    <x v="0"/>
    <x v="0"/>
    <x v="3"/>
    <x v="1"/>
    <x v="0"/>
    <x v="0"/>
    <n v="10400"/>
    <n v="0.3611111111111111"/>
  </r>
  <r>
    <n v="8"/>
    <n v="2"/>
    <n v="3"/>
    <x v="0"/>
    <n v="300"/>
    <n v="2.8"/>
    <x v="2"/>
    <n v="-0.5"/>
    <n v="100"/>
    <x v="0"/>
    <x v="0"/>
    <x v="2"/>
    <x v="2"/>
    <x v="7"/>
    <x v="1"/>
    <n v="200"/>
    <n v="0.25"/>
  </r>
  <r>
    <n v="15"/>
    <n v="5"/>
    <n v="3.8"/>
    <x v="1"/>
    <n v="5000"/>
    <n v="3.9"/>
    <x v="12"/>
    <n v="0.3"/>
    <n v="500"/>
    <x v="0"/>
    <x v="0"/>
    <x v="0"/>
    <x v="0"/>
    <x v="2"/>
    <x v="2"/>
    <n v="2500"/>
    <n v="0.33333333333333331"/>
  </r>
  <r>
    <n v="29"/>
    <n v="11"/>
    <n v="4.5"/>
    <x v="0"/>
    <n v="8000"/>
    <n v="4.5999999999999996"/>
    <x v="36"/>
    <n v="0.8"/>
    <n v="900"/>
    <x v="0"/>
    <x v="0"/>
    <x v="3"/>
    <x v="0"/>
    <x v="0"/>
    <x v="0"/>
    <n v="9900"/>
    <n v="0.37931034482758619"/>
  </r>
  <r>
    <n v="41"/>
    <n v="17"/>
    <n v="4.9000000000000004"/>
    <x v="1"/>
    <n v="5500"/>
    <n v="4.8"/>
    <x v="0"/>
    <n v="0.9"/>
    <n v="700"/>
    <x v="0"/>
    <x v="1"/>
    <x v="3"/>
    <x v="0"/>
    <x v="9"/>
    <x v="0"/>
    <n v="11900"/>
    <n v="0.41463414634146339"/>
  </r>
  <r>
    <n v="10"/>
    <n v="2"/>
    <n v="3.3"/>
    <x v="0"/>
    <n v="400"/>
    <n v="3.2"/>
    <x v="18"/>
    <n v="-0.2"/>
    <n v="300"/>
    <x v="0"/>
    <x v="0"/>
    <x v="2"/>
    <x v="0"/>
    <x v="6"/>
    <x v="1"/>
    <n v="600"/>
    <n v="0.2"/>
  </r>
  <r>
    <n v="19"/>
    <n v="7"/>
    <n v="4.0999999999999996"/>
    <x v="1"/>
    <n v="5500"/>
    <n v="4.2"/>
    <x v="12"/>
    <n v="0.5"/>
    <n v="600"/>
    <x v="0"/>
    <x v="0"/>
    <x v="1"/>
    <x v="0"/>
    <x v="8"/>
    <x v="2"/>
    <n v="4200"/>
    <n v="0.36842105263157893"/>
  </r>
  <r>
    <n v="33"/>
    <n v="14"/>
    <n v="4.7"/>
    <x v="0"/>
    <n v="8500"/>
    <n v="4.5999999999999996"/>
    <x v="34"/>
    <n v="0.8"/>
    <n v="800"/>
    <x v="0"/>
    <x v="0"/>
    <x v="3"/>
    <x v="1"/>
    <x v="0"/>
    <x v="0"/>
    <n v="11200"/>
    <n v="0.42424242424242425"/>
  </r>
  <r>
    <n v="7"/>
    <n v="1"/>
    <n v="3.2"/>
    <x v="1"/>
    <n v="300"/>
    <n v="3.1"/>
    <x v="3"/>
    <n v="-0.4"/>
    <n v="200"/>
    <x v="0"/>
    <x v="0"/>
    <x v="3"/>
    <x v="2"/>
    <x v="7"/>
    <x v="1"/>
    <n v="200"/>
    <n v="0.14285714285714285"/>
  </r>
  <r>
    <n v="16"/>
    <n v="6"/>
    <n v="3.9"/>
    <x v="1"/>
    <n v="4500"/>
    <n v="4"/>
    <x v="12"/>
    <n v="0.2"/>
    <n v="500"/>
    <x v="0"/>
    <x v="0"/>
    <x v="0"/>
    <x v="0"/>
    <x v="2"/>
    <x v="2"/>
    <n v="3000"/>
    <n v="0.375"/>
  </r>
  <r>
    <n v="30"/>
    <n v="12"/>
    <n v="4.5999999999999996"/>
    <x v="0"/>
    <n v="9000"/>
    <n v="4.7"/>
    <x v="36"/>
    <n v="0.8"/>
    <n v="900"/>
    <x v="0"/>
    <x v="0"/>
    <x v="3"/>
    <x v="0"/>
    <x v="0"/>
    <x v="0"/>
    <n v="10800"/>
    <n v="0.4"/>
  </r>
  <r>
    <n v="43"/>
    <n v="19"/>
    <n v="5"/>
    <x v="1"/>
    <n v="6000"/>
    <n v="4.9000000000000004"/>
    <x v="1"/>
    <n v="0.9"/>
    <n v="800"/>
    <x v="0"/>
    <x v="1"/>
    <x v="3"/>
    <x v="0"/>
    <x v="9"/>
    <x v="0"/>
    <n v="15200"/>
    <n v="0.44186046511627908"/>
  </r>
  <r>
    <n v="11"/>
    <n v="3"/>
    <n v="3.4"/>
    <x v="0"/>
    <n v="450"/>
    <n v="3.3"/>
    <x v="18"/>
    <n v="-0.1"/>
    <n v="400"/>
    <x v="0"/>
    <x v="0"/>
    <x v="2"/>
    <x v="0"/>
    <x v="11"/>
    <x v="2"/>
    <n v="1200"/>
    <n v="0.27272727272727271"/>
  </r>
  <r>
    <n v="20"/>
    <n v="8"/>
    <n v="4.2"/>
    <x v="1"/>
    <n v="5500"/>
    <n v="4.3"/>
    <x v="12"/>
    <n v="0.6"/>
    <n v="600"/>
    <x v="0"/>
    <x v="0"/>
    <x v="1"/>
    <x v="0"/>
    <x v="4"/>
    <x v="0"/>
    <n v="4800"/>
    <n v="0.4"/>
  </r>
  <r>
    <n v="34"/>
    <n v="15"/>
    <n v="4.8"/>
    <x v="0"/>
    <n v="8500"/>
    <n v="4.7"/>
    <x v="34"/>
    <n v="0.8"/>
    <n v="800"/>
    <x v="0"/>
    <x v="0"/>
    <x v="3"/>
    <x v="1"/>
    <x v="0"/>
    <x v="0"/>
    <n v="12000"/>
    <n v="0.44117647058823528"/>
  </r>
  <r>
    <n v="9"/>
    <n v="1"/>
    <n v="3"/>
    <x v="1"/>
    <n v="300"/>
    <n v="2.9"/>
    <x v="46"/>
    <n v="-0.3"/>
    <n v="200"/>
    <x v="0"/>
    <x v="0"/>
    <x v="2"/>
    <x v="2"/>
    <x v="7"/>
    <x v="1"/>
    <n v="200"/>
    <n v="0.1111111111111111"/>
  </r>
  <r>
    <n v="17"/>
    <n v="7"/>
    <n v="4"/>
    <x v="1"/>
    <n v="5000"/>
    <n v="4.0999999999999996"/>
    <x v="12"/>
    <n v="0.4"/>
    <n v="500"/>
    <x v="0"/>
    <x v="0"/>
    <x v="0"/>
    <x v="0"/>
    <x v="2"/>
    <x v="2"/>
    <n v="3500"/>
    <n v="0.41176470588235292"/>
  </r>
  <r>
    <n v="31"/>
    <n v="13"/>
    <n v="4.7"/>
    <x v="0"/>
    <n v="8000"/>
    <n v="4.8"/>
    <x v="36"/>
    <n v="0.8"/>
    <n v="900"/>
    <x v="0"/>
    <x v="0"/>
    <x v="3"/>
    <x v="0"/>
    <x v="0"/>
    <x v="0"/>
    <n v="11700"/>
    <n v="0.41935483870967744"/>
  </r>
  <r>
    <n v="44"/>
    <n v="20"/>
    <n v="5"/>
    <x v="1"/>
    <n v="5500"/>
    <n v="4.9000000000000004"/>
    <x v="0"/>
    <n v="0.9"/>
    <n v="700"/>
    <x v="0"/>
    <x v="1"/>
    <x v="3"/>
    <x v="0"/>
    <x v="9"/>
    <x v="0"/>
    <n v="14000"/>
    <n v="0.45454545454545453"/>
  </r>
  <r>
    <n v="12"/>
    <n v="2"/>
    <n v="3.1"/>
    <x v="0"/>
    <n v="450"/>
    <n v="3"/>
    <x v="18"/>
    <n v="-0.2"/>
    <n v="300"/>
    <x v="0"/>
    <x v="0"/>
    <x v="2"/>
    <x v="0"/>
    <x v="6"/>
    <x v="1"/>
    <n v="600"/>
    <n v="0.16666666666666666"/>
  </r>
  <r>
    <n v="21"/>
    <n v="8"/>
    <n v="4.3"/>
    <x v="1"/>
    <n v="5500"/>
    <n v="4.4000000000000004"/>
    <x v="12"/>
    <n v="0.7"/>
    <n v="600"/>
    <x v="0"/>
    <x v="0"/>
    <x v="1"/>
    <x v="0"/>
    <x v="4"/>
    <x v="0"/>
    <n v="4800"/>
    <n v="0.38095238095238093"/>
  </r>
  <r>
    <n v="35"/>
    <n v="14"/>
    <n v="4.7"/>
    <x v="0"/>
    <n v="8500"/>
    <n v="4.5999999999999996"/>
    <x v="34"/>
    <n v="0.8"/>
    <n v="800"/>
    <x v="0"/>
    <x v="0"/>
    <x v="3"/>
    <x v="1"/>
    <x v="0"/>
    <x v="0"/>
    <n v="11200"/>
    <n v="0.4"/>
  </r>
  <r>
    <n v="10"/>
    <n v="3"/>
    <n v="3.2"/>
    <x v="1"/>
    <n v="400"/>
    <n v="3.1"/>
    <x v="46"/>
    <n v="-0.1"/>
    <n v="200"/>
    <x v="0"/>
    <x v="0"/>
    <x v="2"/>
    <x v="2"/>
    <x v="7"/>
    <x v="1"/>
    <n v="600"/>
    <n v="0.3"/>
  </r>
  <r>
    <n v="18"/>
    <n v="7"/>
    <n v="3.9"/>
    <x v="1"/>
    <n v="5000"/>
    <n v="4"/>
    <x v="12"/>
    <n v="0.3"/>
    <n v="500"/>
    <x v="0"/>
    <x v="0"/>
    <x v="0"/>
    <x v="0"/>
    <x v="2"/>
    <x v="2"/>
    <n v="3500"/>
    <n v="0.3888888888888889"/>
  </r>
  <r>
    <n v="32"/>
    <n v="12"/>
    <n v="4.5999999999999996"/>
    <x v="0"/>
    <n v="8000"/>
    <n v="4.7"/>
    <x v="36"/>
    <n v="0.8"/>
    <n v="900"/>
    <x v="0"/>
    <x v="0"/>
    <x v="3"/>
    <x v="0"/>
    <x v="0"/>
    <x v="0"/>
    <n v="10800"/>
    <n v="0.375"/>
  </r>
  <r>
    <n v="45"/>
    <n v="21"/>
    <n v="5"/>
    <x v="1"/>
    <n v="6000"/>
    <n v="4.9000000000000004"/>
    <x v="1"/>
    <n v="0.9"/>
    <n v="800"/>
    <x v="0"/>
    <x v="1"/>
    <x v="3"/>
    <x v="0"/>
    <x v="9"/>
    <x v="0"/>
    <n v="16800"/>
    <n v="0.46666666666666667"/>
  </r>
  <r>
    <n v="11"/>
    <n v="4"/>
    <n v="3.3"/>
    <x v="0"/>
    <n v="500"/>
    <n v="3.2"/>
    <x v="18"/>
    <n v="0"/>
    <n v="400"/>
    <x v="0"/>
    <x v="0"/>
    <x v="2"/>
    <x v="0"/>
    <x v="11"/>
    <x v="2"/>
    <n v="1600"/>
    <n v="0.36363636363636365"/>
  </r>
  <r>
    <n v="22"/>
    <n v="9"/>
    <n v="4.4000000000000004"/>
    <x v="1"/>
    <n v="5500"/>
    <n v="4.5"/>
    <x v="12"/>
    <n v="0.6"/>
    <n v="600"/>
    <x v="0"/>
    <x v="0"/>
    <x v="1"/>
    <x v="0"/>
    <x v="4"/>
    <x v="0"/>
    <n v="5400"/>
    <n v="0.40909090909090912"/>
  </r>
  <r>
    <n v="36"/>
    <n v="15"/>
    <n v="4.8"/>
    <x v="0"/>
    <n v="8500"/>
    <n v="4.7"/>
    <x v="34"/>
    <n v="0.8"/>
    <n v="800"/>
    <x v="0"/>
    <x v="0"/>
    <x v="3"/>
    <x v="1"/>
    <x v="0"/>
    <x v="0"/>
    <n v="12000"/>
    <n v="0.41666666666666669"/>
  </r>
  <r>
    <n v="13"/>
    <n v="1"/>
    <n v="3.1"/>
    <x v="1"/>
    <n v="450"/>
    <n v="3"/>
    <x v="46"/>
    <n v="-0.2"/>
    <n v="300"/>
    <x v="0"/>
    <x v="0"/>
    <x v="2"/>
    <x v="2"/>
    <x v="7"/>
    <x v="1"/>
    <n v="300"/>
    <n v="7.6923076923076927E-2"/>
  </r>
  <r>
    <n v="19"/>
    <n v="8"/>
    <n v="4.2"/>
    <x v="1"/>
    <n v="5500"/>
    <n v="4.3"/>
    <x v="12"/>
    <n v="0.5"/>
    <n v="600"/>
    <x v="0"/>
    <x v="0"/>
    <x v="1"/>
    <x v="0"/>
    <x v="2"/>
    <x v="2"/>
    <n v="4800"/>
    <n v="0.42105263157894735"/>
  </r>
  <r>
    <n v="33"/>
    <n v="15"/>
    <n v="4.7"/>
    <x v="0"/>
    <n v="8500"/>
    <n v="4.5999999999999996"/>
    <x v="34"/>
    <n v="0.8"/>
    <n v="800"/>
    <x v="0"/>
    <x v="0"/>
    <x v="3"/>
    <x v="1"/>
    <x v="0"/>
    <x v="0"/>
    <n v="12000"/>
    <n v="0.45454545454545453"/>
  </r>
  <r>
    <n v="14"/>
    <n v="0"/>
    <n v="3"/>
    <x v="1"/>
    <n v="500"/>
    <n v="2.8"/>
    <x v="46"/>
    <n v="-0.3"/>
    <n v="200"/>
    <x v="0"/>
    <x v="0"/>
    <x v="1"/>
    <x v="2"/>
    <x v="7"/>
    <x v="1"/>
    <n v="0"/>
    <n v="0"/>
  </r>
  <r>
    <n v="23"/>
    <n v="9"/>
    <n v="4.5"/>
    <x v="0"/>
    <n v="7000"/>
    <n v="4.5999999999999996"/>
    <x v="23"/>
    <n v="0.7"/>
    <n v="800"/>
    <x v="0"/>
    <x v="0"/>
    <x v="3"/>
    <x v="1"/>
    <x v="0"/>
    <x v="0"/>
    <n v="7200"/>
    <n v="0.39130434782608697"/>
  </r>
  <r>
    <n v="11"/>
    <n v="5"/>
    <n v="3.4"/>
    <x v="0"/>
    <n v="550"/>
    <n v="3.3"/>
    <x v="18"/>
    <n v="-0.1"/>
    <n v="400"/>
    <x v="0"/>
    <x v="0"/>
    <x v="2"/>
    <x v="0"/>
    <x v="11"/>
    <x v="2"/>
    <n v="2000"/>
    <n v="0.45454545454545453"/>
  </r>
  <r>
    <n v="34"/>
    <n v="16"/>
    <n v="4.8"/>
    <x v="0"/>
    <n v="8500"/>
    <n v="4.7"/>
    <x v="34"/>
    <n v="0.8"/>
    <n v="800"/>
    <x v="0"/>
    <x v="0"/>
    <x v="3"/>
    <x v="1"/>
    <x v="0"/>
    <x v="0"/>
    <n v="12800"/>
    <n v="0.47058823529411764"/>
  </r>
  <r>
    <n v="12"/>
    <n v="3"/>
    <n v="3.2"/>
    <x v="1"/>
    <n v="400"/>
    <n v="3.1"/>
    <x v="46"/>
    <n v="-0.2"/>
    <n v="300"/>
    <x v="0"/>
    <x v="0"/>
    <x v="2"/>
    <x v="2"/>
    <x v="7"/>
    <x v="1"/>
    <n v="900"/>
    <n v="0.25"/>
  </r>
  <r>
    <n v="20"/>
    <n v="9"/>
    <n v="4.3"/>
    <x v="1"/>
    <n v="5500"/>
    <n v="4.4000000000000004"/>
    <x v="12"/>
    <n v="0.6"/>
    <n v="600"/>
    <x v="0"/>
    <x v="0"/>
    <x v="1"/>
    <x v="0"/>
    <x v="4"/>
    <x v="0"/>
    <n v="5400"/>
    <n v="0.45"/>
  </r>
  <r>
    <n v="37"/>
    <n v="16"/>
    <n v="4.9000000000000004"/>
    <x v="0"/>
    <n v="6500"/>
    <n v="4.8"/>
    <x v="1"/>
    <n v="0.9"/>
    <n v="800"/>
    <x v="0"/>
    <x v="0"/>
    <x v="0"/>
    <x v="0"/>
    <x v="9"/>
    <x v="0"/>
    <n v="12800"/>
    <n v="0.43243243243243246"/>
  </r>
  <r>
    <n v="13"/>
    <n v="2"/>
    <n v="3.1"/>
    <x v="1"/>
    <n v="450"/>
    <n v="3"/>
    <x v="46"/>
    <n v="-0.2"/>
    <n v="300"/>
    <x v="0"/>
    <x v="0"/>
    <x v="2"/>
    <x v="2"/>
    <x v="7"/>
    <x v="1"/>
    <n v="600"/>
    <n v="0.15384615384615385"/>
  </r>
  <r>
    <n v="24"/>
    <n v="10"/>
    <n v="4.4000000000000004"/>
    <x v="1"/>
    <n v="6000"/>
    <n v="4.5"/>
    <x v="12"/>
    <n v="0.6"/>
    <n v="600"/>
    <x v="0"/>
    <x v="0"/>
    <x v="1"/>
    <x v="0"/>
    <x v="4"/>
    <x v="0"/>
    <n v="6000"/>
    <n v="0.41666666666666669"/>
  </r>
  <r>
    <n v="38"/>
    <n v="17"/>
    <n v="4.9000000000000004"/>
    <x v="0"/>
    <n v="5500"/>
    <n v="4.8"/>
    <x v="0"/>
    <n v="0.9"/>
    <n v="700"/>
    <x v="0"/>
    <x v="1"/>
    <x v="3"/>
    <x v="0"/>
    <x v="9"/>
    <x v="0"/>
    <n v="11900"/>
    <n v="0.44736842105263158"/>
  </r>
  <r>
    <n v="14"/>
    <n v="1"/>
    <n v="3"/>
    <x v="1"/>
    <n v="500"/>
    <n v="2.9"/>
    <x v="46"/>
    <n v="-0.3"/>
    <n v="200"/>
    <x v="0"/>
    <x v="0"/>
    <x v="1"/>
    <x v="2"/>
    <x v="7"/>
    <x v="1"/>
    <n v="200"/>
    <n v="7.1428571428571425E-2"/>
  </r>
  <r>
    <n v="25"/>
    <n v="11"/>
    <n v="4.5"/>
    <x v="1"/>
    <n v="8000"/>
    <n v="4.5999999999999996"/>
    <x v="36"/>
    <n v="0.8"/>
    <n v="900"/>
    <x v="0"/>
    <x v="0"/>
    <x v="3"/>
    <x v="0"/>
    <x v="0"/>
    <x v="0"/>
    <n v="9900"/>
    <n v="0.44"/>
  </r>
  <r>
    <n v="39"/>
    <n v="18"/>
    <n v="4.9000000000000004"/>
    <x v="0"/>
    <n v="5500"/>
    <n v="4.8"/>
    <x v="1"/>
    <n v="0.9"/>
    <n v="800"/>
    <x v="0"/>
    <x v="0"/>
    <x v="0"/>
    <x v="0"/>
    <x v="9"/>
    <x v="0"/>
    <n v="14400"/>
    <n v="0.46153846153846156"/>
  </r>
  <r>
    <n v="15"/>
    <n v="0"/>
    <n v="3"/>
    <x v="1"/>
    <n v="500"/>
    <n v="2.8"/>
    <x v="46"/>
    <n v="-0.4"/>
    <n v="200"/>
    <x v="0"/>
    <x v="0"/>
    <x v="1"/>
    <x v="2"/>
    <x v="7"/>
    <x v="1"/>
    <n v="0"/>
    <n v="0"/>
  </r>
  <r>
    <n v="26"/>
    <n v="12"/>
    <n v="4.5999999999999996"/>
    <x v="1"/>
    <n v="8500"/>
    <n v="4.7"/>
    <x v="34"/>
    <n v="0.8"/>
    <n v="800"/>
    <x v="0"/>
    <x v="0"/>
    <x v="3"/>
    <x v="1"/>
    <x v="0"/>
    <x v="0"/>
    <n v="9600"/>
    <n v="0.46153846153846156"/>
  </r>
  <r>
    <n v="40"/>
    <n v="19"/>
    <n v="5"/>
    <x v="1"/>
    <n v="5500"/>
    <n v="4.9000000000000004"/>
    <x v="0"/>
    <n v="0.9"/>
    <n v="700"/>
    <x v="0"/>
    <x v="1"/>
    <x v="3"/>
    <x v="0"/>
    <x v="9"/>
    <x v="0"/>
    <n v="13300"/>
    <n v="0.47499999999999998"/>
  </r>
  <r>
    <n v="16"/>
    <n v="1"/>
    <n v="3.1"/>
    <x v="0"/>
    <n v="450"/>
    <n v="3"/>
    <x v="18"/>
    <n v="-0.2"/>
    <n v="300"/>
    <x v="0"/>
    <x v="0"/>
    <x v="2"/>
    <x v="0"/>
    <x v="11"/>
    <x v="2"/>
    <n v="300"/>
    <n v="6.25E-2"/>
  </r>
  <r>
    <n v="27"/>
    <n v="13"/>
    <n v="4.7"/>
    <x v="0"/>
    <n v="8000"/>
    <n v="4.8"/>
    <x v="36"/>
    <n v="0.8"/>
    <n v="900"/>
    <x v="0"/>
    <x v="0"/>
    <x v="3"/>
    <x v="0"/>
    <x v="0"/>
    <x v="0"/>
    <n v="11700"/>
    <n v="0.48148148148148145"/>
  </r>
  <r>
    <n v="41"/>
    <n v="20"/>
    <n v="5"/>
    <x v="1"/>
    <n v="6000"/>
    <n v="4.9000000000000004"/>
    <x v="1"/>
    <n v="0.9"/>
    <n v="800"/>
    <x v="0"/>
    <x v="1"/>
    <x v="3"/>
    <x v="0"/>
    <x v="9"/>
    <x v="0"/>
    <n v="16000"/>
    <n v="0.48780487804878048"/>
  </r>
  <r>
    <n v="17"/>
    <n v="2"/>
    <n v="3.2"/>
    <x v="0"/>
    <n v="500"/>
    <n v="3.1"/>
    <x v="18"/>
    <n v="-0.1"/>
    <n v="400"/>
    <x v="0"/>
    <x v="0"/>
    <x v="2"/>
    <x v="0"/>
    <x v="11"/>
    <x v="2"/>
    <n v="800"/>
    <n v="0.11764705882352941"/>
  </r>
  <r>
    <n v="28"/>
    <n v="14"/>
    <n v="4.8"/>
    <x v="0"/>
    <n v="8500"/>
    <n v="4.7"/>
    <x v="34"/>
    <n v="0.8"/>
    <n v="800"/>
    <x v="0"/>
    <x v="0"/>
    <x v="3"/>
    <x v="1"/>
    <x v="0"/>
    <x v="0"/>
    <n v="11200"/>
    <n v="0.5"/>
  </r>
  <r>
    <n v="42"/>
    <n v="21"/>
    <n v="5"/>
    <x v="1"/>
    <n v="5500"/>
    <n v="4.9000000000000004"/>
    <x v="0"/>
    <n v="0.9"/>
    <n v="700"/>
    <x v="0"/>
    <x v="1"/>
    <x v="3"/>
    <x v="0"/>
    <x v="9"/>
    <x v="0"/>
    <n v="14700"/>
    <n v="0.5"/>
  </r>
  <r>
    <n v="18"/>
    <n v="3"/>
    <n v="3.3"/>
    <x v="0"/>
    <n v="550"/>
    <n v="3.2"/>
    <x v="18"/>
    <n v="0"/>
    <n v="400"/>
    <x v="0"/>
    <x v="0"/>
    <x v="2"/>
    <x v="0"/>
    <x v="11"/>
    <x v="2"/>
    <n v="1200"/>
    <n v="0.16666666666666666"/>
  </r>
  <r>
    <n v="29"/>
    <n v="15"/>
    <n v="4.9000000000000004"/>
    <x v="0"/>
    <n v="6500"/>
    <n v="4.8"/>
    <x v="1"/>
    <n v="0.9"/>
    <n v="800"/>
    <x v="0"/>
    <x v="0"/>
    <x v="0"/>
    <x v="0"/>
    <x v="9"/>
    <x v="0"/>
    <n v="12000"/>
    <n v="0.51724137931034486"/>
  </r>
  <r>
    <n v="43"/>
    <n v="22"/>
    <n v="5"/>
    <x v="1"/>
    <n v="6000"/>
    <n v="4.9000000000000004"/>
    <x v="1"/>
    <n v="0.9"/>
    <n v="800"/>
    <x v="0"/>
    <x v="1"/>
    <x v="3"/>
    <x v="0"/>
    <x v="9"/>
    <x v="0"/>
    <n v="17600"/>
    <n v="0.51162790697674421"/>
  </r>
  <r>
    <n v="19"/>
    <n v="4"/>
    <n v="3.4"/>
    <x v="0"/>
    <n v="600"/>
    <n v="3.3"/>
    <x v="18"/>
    <n v="0.1"/>
    <n v="400"/>
    <x v="0"/>
    <x v="0"/>
    <x v="2"/>
    <x v="0"/>
    <x v="11"/>
    <x v="2"/>
    <n v="1600"/>
    <n v="0.21052631578947367"/>
  </r>
  <r>
    <n v="30"/>
    <n v="16"/>
    <n v="4.9000000000000004"/>
    <x v="0"/>
    <n v="7000"/>
    <n v="4.8"/>
    <x v="1"/>
    <n v="0.9"/>
    <n v="800"/>
    <x v="0"/>
    <x v="0"/>
    <x v="3"/>
    <x v="0"/>
    <x v="9"/>
    <x v="0"/>
    <n v="12800"/>
    <n v="0.53333333333333333"/>
  </r>
  <r>
    <n v="44"/>
    <n v="23"/>
    <n v="5"/>
    <x v="1"/>
    <n v="5500"/>
    <n v="4.9000000000000004"/>
    <x v="0"/>
    <n v="0.9"/>
    <n v="700"/>
    <x v="0"/>
    <x v="1"/>
    <x v="3"/>
    <x v="0"/>
    <x v="9"/>
    <x v="0"/>
    <n v="16100"/>
    <n v="0.52272727272727271"/>
  </r>
  <r>
    <n v="20"/>
    <n v="5"/>
    <n v="3.5"/>
    <x v="0"/>
    <n v="650"/>
    <n v="3.4"/>
    <x v="18"/>
    <n v="0.2"/>
    <n v="400"/>
    <x v="0"/>
    <x v="0"/>
    <x v="2"/>
    <x v="0"/>
    <x v="11"/>
    <x v="2"/>
    <n v="2000"/>
    <n v="0.25"/>
  </r>
  <r>
    <n v="31"/>
    <n v="17"/>
    <n v="5"/>
    <x v="0"/>
    <n v="7500"/>
    <n v="4.9000000000000004"/>
    <x v="1"/>
    <n v="0.9"/>
    <n v="800"/>
    <x v="0"/>
    <x v="0"/>
    <x v="3"/>
    <x v="0"/>
    <x v="9"/>
    <x v="0"/>
    <n v="13600"/>
    <n v="0.54838709677419351"/>
  </r>
  <r>
    <n v="32"/>
    <n v="8"/>
    <n v="4.3"/>
    <x v="0"/>
    <n v="300"/>
    <n v="4.5999999999999996"/>
    <x v="2"/>
    <n v="0.78"/>
    <n v="430"/>
    <x v="0"/>
    <x v="0"/>
    <x v="3"/>
    <x v="0"/>
    <x v="10"/>
    <x v="0"/>
    <n v="3440"/>
    <n v="0.25"/>
  </r>
  <r>
    <n v="17"/>
    <n v="5"/>
    <n v="3.8"/>
    <x v="1"/>
    <n v="2000"/>
    <n v="3.9"/>
    <x v="5"/>
    <n v="0.32"/>
    <n v="600"/>
    <x v="0"/>
    <x v="1"/>
    <x v="0"/>
    <x v="1"/>
    <x v="20"/>
    <x v="2"/>
    <n v="3000"/>
    <n v="0.29411764705882354"/>
  </r>
  <r>
    <n v="6"/>
    <n v="2"/>
    <n v="4.5"/>
    <x v="1"/>
    <n v="500"/>
    <n v="4.2"/>
    <x v="18"/>
    <n v="-0.1"/>
    <n v="700"/>
    <x v="0"/>
    <x v="0"/>
    <x v="1"/>
    <x v="2"/>
    <x v="23"/>
    <x v="2"/>
    <n v="1400"/>
    <n v="0.33333333333333331"/>
  </r>
  <r>
    <n v="41"/>
    <n v="12"/>
    <n v="4.9000000000000004"/>
    <x v="0"/>
    <n v="800"/>
    <n v="4.8"/>
    <x v="6"/>
    <n v="0.92"/>
    <n v="900"/>
    <x v="0"/>
    <x v="0"/>
    <x v="0"/>
    <x v="0"/>
    <x v="32"/>
    <x v="0"/>
    <n v="10800"/>
    <n v="0.29268292682926828"/>
  </r>
  <r>
    <n v="23"/>
    <n v="6"/>
    <n v="4.0999999999999996"/>
    <x v="1"/>
    <n v="3000"/>
    <n v="3.7"/>
    <x v="33"/>
    <n v="0.6"/>
    <n v="700"/>
    <x v="0"/>
    <x v="1"/>
    <x v="3"/>
    <x v="1"/>
    <x v="16"/>
    <x v="2"/>
    <n v="4200"/>
    <n v="0.2608695652173913"/>
  </r>
  <r>
    <n v="8"/>
    <n v="3"/>
    <n v="4"/>
    <x v="1"/>
    <n v="200"/>
    <n v="4"/>
    <x v="8"/>
    <n v="-0.05"/>
    <n v="800"/>
    <x v="0"/>
    <x v="0"/>
    <x v="1"/>
    <x v="0"/>
    <x v="33"/>
    <x v="1"/>
    <n v="2400"/>
    <n v="0.375"/>
  </r>
  <r>
    <n v="47"/>
    <n v="15"/>
    <n v="4.7"/>
    <x v="0"/>
    <n v="1000"/>
    <n v="4.9000000000000004"/>
    <x v="34"/>
    <n v="0.85"/>
    <n v="500"/>
    <x v="0"/>
    <x v="1"/>
    <x v="0"/>
    <x v="2"/>
    <x v="18"/>
    <x v="2"/>
    <n v="7500"/>
    <n v="0.31914893617021278"/>
  </r>
  <r>
    <n v="12"/>
    <n v="4"/>
    <n v="3.5"/>
    <x v="1"/>
    <n v="1000"/>
    <n v="3.2"/>
    <x v="3"/>
    <n v="-0.8"/>
    <n v="400"/>
    <x v="0"/>
    <x v="0"/>
    <x v="2"/>
    <x v="0"/>
    <x v="25"/>
    <x v="1"/>
    <n v="1600"/>
    <n v="0.33333333333333331"/>
  </r>
  <r>
    <n v="38"/>
    <n v="11"/>
    <n v="4.5999999999999996"/>
    <x v="0"/>
    <n v="4000"/>
    <n v="4.7"/>
    <x v="31"/>
    <n v="0.75"/>
    <n v="1000"/>
    <x v="1"/>
    <x v="0"/>
    <x v="0"/>
    <x v="1"/>
    <x v="21"/>
    <x v="0"/>
    <n v="11000"/>
    <n v="0.28947368421052633"/>
  </r>
  <r>
    <n v="5"/>
    <n v="1"/>
    <n v="2.9"/>
    <x v="1"/>
    <n v="100"/>
    <n v="3.5"/>
    <x v="25"/>
    <n v="-0.6"/>
    <n v="300"/>
    <x v="0"/>
    <x v="0"/>
    <x v="3"/>
    <x v="2"/>
    <x v="34"/>
    <x v="1"/>
    <n v="300"/>
    <n v="0.2"/>
  </r>
  <r>
    <n v="29"/>
    <n v="9"/>
    <n v="4.4000000000000004"/>
    <x v="0"/>
    <n v="700"/>
    <n v="4.5"/>
    <x v="1"/>
    <n v="0.5"/>
    <n v="600"/>
    <x v="0"/>
    <x v="0"/>
    <x v="0"/>
    <x v="1"/>
    <x v="19"/>
    <x v="2"/>
    <n v="5400"/>
    <n v="0.31034482758620691"/>
  </r>
  <r>
    <n v="11"/>
    <n v="3"/>
    <n v="3.7"/>
    <x v="0"/>
    <n v="300"/>
    <n v="3.8"/>
    <x v="12"/>
    <n v="0.1"/>
    <n v="200"/>
    <x v="0"/>
    <x v="1"/>
    <x v="2"/>
    <x v="0"/>
    <x v="35"/>
    <x v="2"/>
    <n v="600"/>
    <n v="0.27272727272727271"/>
  </r>
  <r>
    <n v="44"/>
    <n v="18"/>
    <n v="4.8"/>
    <x v="0"/>
    <n v="6000"/>
    <n v="4.9000000000000004"/>
    <x v="7"/>
    <n v="0.88"/>
    <n v="700"/>
    <x v="0"/>
    <x v="1"/>
    <x v="0"/>
    <x v="2"/>
    <x v="36"/>
    <x v="0"/>
    <n v="12600"/>
    <n v="0.40909090909090912"/>
  </r>
  <r>
    <n v="9"/>
    <n v="2"/>
    <n v="3"/>
    <x v="1"/>
    <n v="1000"/>
    <n v="3.1"/>
    <x v="47"/>
    <n v="-0.3"/>
    <n v="900"/>
    <x v="0"/>
    <x v="1"/>
    <x v="2"/>
    <x v="0"/>
    <x v="29"/>
    <x v="1"/>
    <n v="1800"/>
    <n v="0.22222222222222221"/>
  </r>
  <r>
    <n v="36"/>
    <n v="10"/>
    <n v="4.2"/>
    <x v="0"/>
    <n v="2000"/>
    <n v="4.3"/>
    <x v="0"/>
    <n v="0.65"/>
    <n v="2000"/>
    <x v="1"/>
    <x v="1"/>
    <x v="3"/>
    <x v="0"/>
    <x v="17"/>
    <x v="2"/>
    <n v="20000"/>
    <n v="0.27777777777777779"/>
  </r>
  <r>
    <n v="20"/>
    <n v="7"/>
    <n v="4"/>
    <x v="1"/>
    <n v="7000"/>
    <n v="4.4000000000000004"/>
    <x v="15"/>
    <n v="0.55000000000000004"/>
    <n v="10000"/>
    <x v="2"/>
    <x v="0"/>
    <x v="0"/>
    <x v="0"/>
    <x v="9"/>
    <x v="0"/>
    <n v="70000"/>
    <n v="0.35"/>
  </r>
  <r>
    <n v="3"/>
    <n v="0"/>
    <n v="2.5"/>
    <x v="0"/>
    <n v="100"/>
    <n v="2"/>
    <x v="21"/>
    <n v="-0.9"/>
    <n v="100"/>
    <x v="0"/>
    <x v="1"/>
    <x v="3"/>
    <x v="1"/>
    <x v="37"/>
    <x v="1"/>
    <n v="0"/>
    <n v="0"/>
  </r>
  <r>
    <n v="27"/>
    <n v="8"/>
    <n v="4.7"/>
    <x v="1"/>
    <n v="900"/>
    <n v="4.5999999999999996"/>
    <x v="5"/>
    <n v="0.72"/>
    <n v="900"/>
    <x v="0"/>
    <x v="0"/>
    <x v="0"/>
    <x v="1"/>
    <x v="15"/>
    <x v="0"/>
    <n v="7200"/>
    <n v="0.29629629629629628"/>
  </r>
  <r>
    <n v="14"/>
    <n v="5"/>
    <n v="3.6"/>
    <x v="1"/>
    <n v="400"/>
    <n v="3.6"/>
    <x v="9"/>
    <n v="0.2"/>
    <n v="700"/>
    <x v="0"/>
    <x v="0"/>
    <x v="3"/>
    <x v="0"/>
    <x v="38"/>
    <x v="2"/>
    <n v="3500"/>
    <n v="0.35714285714285715"/>
  </r>
  <r>
    <n v="49"/>
    <n v="19"/>
    <n v="4.9000000000000004"/>
    <x v="0"/>
    <n v="5000"/>
    <n v="4.8"/>
    <x v="20"/>
    <n v="0.82"/>
    <n v="1000"/>
    <x v="1"/>
    <x v="1"/>
    <x v="0"/>
    <x v="0"/>
    <x v="10"/>
    <x v="0"/>
    <n v="19000"/>
    <n v="0.38775510204081631"/>
  </r>
  <r>
    <n v="21"/>
    <n v="6"/>
    <n v="4.3"/>
    <x v="0"/>
    <n v="600"/>
    <n v="4"/>
    <x v="18"/>
    <n v="0.3"/>
    <n v="300"/>
    <x v="0"/>
    <x v="0"/>
    <x v="2"/>
    <x v="0"/>
    <x v="39"/>
    <x v="2"/>
    <n v="1800"/>
    <n v="0.2857142857142857"/>
  </r>
  <r>
    <n v="33"/>
    <n v="10"/>
    <n v="4.5"/>
    <x v="1"/>
    <n v="2500"/>
    <n v="4.7"/>
    <x v="23"/>
    <n v="0.68"/>
    <n v="3000"/>
    <x v="1"/>
    <x v="1"/>
    <x v="3"/>
    <x v="0"/>
    <x v="40"/>
    <x v="0"/>
    <n v="30000"/>
    <n v="0.30303030303030304"/>
  </r>
  <r>
    <n v="7"/>
    <n v="2"/>
    <n v="3.2"/>
    <x v="0"/>
    <n v="100"/>
    <n v="3"/>
    <x v="11"/>
    <n v="-0.5"/>
    <n v="100"/>
    <x v="0"/>
    <x v="1"/>
    <x v="3"/>
    <x v="2"/>
    <x v="41"/>
    <x v="1"/>
    <n v="200"/>
    <n v="0.2857142857142857"/>
  </r>
  <r>
    <n v="40"/>
    <n v="13"/>
    <n v="4.8"/>
    <x v="1"/>
    <n v="1500"/>
    <n v="4.7"/>
    <x v="10"/>
    <n v="0.8"/>
    <n v="800"/>
    <x v="0"/>
    <x v="1"/>
    <x v="0"/>
    <x v="2"/>
    <x v="42"/>
    <x v="2"/>
    <n v="10400"/>
    <n v="0.32500000000000001"/>
  </r>
  <r>
    <n v="16"/>
    <n v="4"/>
    <n v="3.9"/>
    <x v="0"/>
    <n v="800"/>
    <n v="3.5"/>
    <x v="16"/>
    <n v="0.15"/>
    <n v="800"/>
    <x v="0"/>
    <x v="1"/>
    <x v="2"/>
    <x v="1"/>
    <x v="43"/>
    <x v="1"/>
    <n v="3200"/>
    <n v="0.25"/>
  </r>
  <r>
    <n v="25"/>
    <n v="7"/>
    <n v="3.5"/>
    <x v="1"/>
    <n v="100"/>
    <n v="3.6"/>
    <x v="7"/>
    <n v="-0.4"/>
    <n v="600"/>
    <x v="0"/>
    <x v="0"/>
    <x v="3"/>
    <x v="2"/>
    <x v="44"/>
    <x v="1"/>
    <n v="4200"/>
    <n v="0.28000000000000003"/>
  </r>
  <r>
    <n v="48"/>
    <n v="16"/>
    <n v="4.5999999999999996"/>
    <x v="0"/>
    <n v="3000"/>
    <n v="4.7"/>
    <x v="0"/>
    <n v="0.78"/>
    <n v="500"/>
    <x v="0"/>
    <x v="1"/>
    <x v="3"/>
    <x v="0"/>
    <x v="45"/>
    <x v="0"/>
    <n v="8000"/>
    <n v="0.33333333333333331"/>
  </r>
  <r>
    <n v="8"/>
    <n v="3"/>
    <n v="3"/>
    <x v="1"/>
    <n v="300"/>
    <n v="3.2"/>
    <x v="5"/>
    <n v="-0.2"/>
    <n v="500"/>
    <x v="0"/>
    <x v="0"/>
    <x v="2"/>
    <x v="0"/>
    <x v="46"/>
    <x v="1"/>
    <n v="1500"/>
    <n v="0.375"/>
  </r>
  <r>
    <n v="36"/>
    <n v="12"/>
    <n v="4.9000000000000004"/>
    <x v="0"/>
    <n v="7000"/>
    <n v="4.8"/>
    <x v="9"/>
    <n v="0.86"/>
    <n v="800"/>
    <x v="0"/>
    <x v="1"/>
    <x v="0"/>
    <x v="0"/>
    <x v="47"/>
    <x v="0"/>
    <n v="9600"/>
    <n v="0.33333333333333331"/>
  </r>
  <r>
    <n v="19"/>
    <n v="5"/>
    <n v="3.3"/>
    <x v="1"/>
    <n v="200"/>
    <n v="3.4"/>
    <x v="3"/>
    <n v="-0.6"/>
    <n v="100"/>
    <x v="0"/>
    <x v="0"/>
    <x v="3"/>
    <x v="1"/>
    <x v="48"/>
    <x v="1"/>
    <n v="500"/>
    <n v="0.26315789473684209"/>
  </r>
  <r>
    <n v="29"/>
    <n v="9"/>
    <n v="4.7"/>
    <x v="1"/>
    <n v="900"/>
    <n v="4.5"/>
    <x v="15"/>
    <n v="0.62"/>
    <n v="700"/>
    <x v="0"/>
    <x v="1"/>
    <x v="0"/>
    <x v="0"/>
    <x v="22"/>
    <x v="2"/>
    <n v="6300"/>
    <n v="0.31034482758620691"/>
  </r>
  <r>
    <n v="12"/>
    <n v="4"/>
    <n v="2.8"/>
    <x v="1"/>
    <n v="1000"/>
    <n v="3"/>
    <x v="33"/>
    <n v="-0.3"/>
    <n v="200"/>
    <x v="0"/>
    <x v="1"/>
    <x v="1"/>
    <x v="2"/>
    <x v="49"/>
    <x v="1"/>
    <n v="800"/>
    <n v="0.33333333333333331"/>
  </r>
  <r>
    <n v="45"/>
    <n v="14"/>
    <n v="4.7"/>
    <x v="0"/>
    <n v="2500"/>
    <n v="4.9000000000000004"/>
    <x v="29"/>
    <n v="0.92"/>
    <n v="600"/>
    <x v="0"/>
    <x v="0"/>
    <x v="3"/>
    <x v="0"/>
    <x v="36"/>
    <x v="0"/>
    <n v="8400"/>
    <n v="0.31111111111111112"/>
  </r>
  <r>
    <n v="6"/>
    <n v="2"/>
    <n v="2.5"/>
    <x v="1"/>
    <n v="500"/>
    <n v="2.6"/>
    <x v="14"/>
    <n v="-0.7"/>
    <n v="400"/>
    <x v="0"/>
    <x v="1"/>
    <x v="1"/>
    <x v="1"/>
    <x v="7"/>
    <x v="1"/>
    <n v="800"/>
    <n v="0.33333333333333331"/>
  </r>
  <r>
    <n v="31"/>
    <n v="11"/>
    <n v="4.4000000000000004"/>
    <x v="0"/>
    <n v="600"/>
    <n v="4.3"/>
    <x v="6"/>
    <n v="0.7"/>
    <n v="400"/>
    <x v="0"/>
    <x v="0"/>
    <x v="3"/>
    <x v="2"/>
    <x v="50"/>
    <x v="2"/>
    <n v="4400"/>
    <n v="0.35483870967741937"/>
  </r>
  <r>
    <n v="14"/>
    <n v="3"/>
    <n v="3.2"/>
    <x v="1"/>
    <n v="150"/>
    <n v="3"/>
    <x v="21"/>
    <n v="-0.5"/>
    <n v="100"/>
    <x v="0"/>
    <x v="1"/>
    <x v="3"/>
    <x v="0"/>
    <x v="51"/>
    <x v="1"/>
    <n v="300"/>
    <n v="0.21428571428571427"/>
  </r>
  <r>
    <n v="39"/>
    <n v="10"/>
    <n v="4.3"/>
    <x v="0"/>
    <n v="4000"/>
    <n v="4.5"/>
    <x v="8"/>
    <n v="0.57999999999999996"/>
    <n v="2000"/>
    <x v="1"/>
    <x v="0"/>
    <x v="3"/>
    <x v="1"/>
    <x v="13"/>
    <x v="2"/>
    <n v="20000"/>
    <n v="0.25641025641025639"/>
  </r>
  <r>
    <n v="22"/>
    <n v="8"/>
    <n v="4.0999999999999996"/>
    <x v="0"/>
    <n v="800"/>
    <n v="4.2"/>
    <x v="18"/>
    <n v="0.45"/>
    <n v="800"/>
    <x v="0"/>
    <x v="0"/>
    <x v="3"/>
    <x v="1"/>
    <x v="52"/>
    <x v="2"/>
    <n v="6400"/>
    <n v="0.36363636363636365"/>
  </r>
  <r>
    <n v="4"/>
    <n v="1"/>
    <n v="2"/>
    <x v="1"/>
    <n v="1000"/>
    <n v="2.1"/>
    <x v="11"/>
    <n v="-0.8"/>
    <n v="200"/>
    <x v="0"/>
    <x v="1"/>
    <x v="0"/>
    <x v="1"/>
    <x v="31"/>
    <x v="1"/>
    <n v="200"/>
    <n v="0.25"/>
  </r>
  <r>
    <n v="47"/>
    <n v="15"/>
    <n v="4.8"/>
    <x v="1"/>
    <n v="2000"/>
    <n v="4.7"/>
    <x v="2"/>
    <n v="0.8"/>
    <n v="1000"/>
    <x v="1"/>
    <x v="1"/>
    <x v="0"/>
    <x v="1"/>
    <x v="53"/>
    <x v="0"/>
    <n v="15000"/>
    <n v="0.31914893617021278"/>
  </r>
  <r>
    <n v="11"/>
    <n v="3"/>
    <n v="3"/>
    <x v="0"/>
    <n v="100"/>
    <n v="3.1"/>
    <x v="10"/>
    <n v="-0.1"/>
    <n v="900"/>
    <x v="0"/>
    <x v="0"/>
    <x v="1"/>
    <x v="0"/>
    <x v="54"/>
    <x v="1"/>
    <n v="2700"/>
    <n v="0.27272727272727271"/>
  </r>
  <r>
    <n v="37"/>
    <n v="13"/>
    <n v="4.5"/>
    <x v="0"/>
    <n v="700"/>
    <n v="4.4000000000000004"/>
    <x v="23"/>
    <n v="0.75"/>
    <n v="500"/>
    <x v="0"/>
    <x v="0"/>
    <x v="3"/>
    <x v="0"/>
    <x v="21"/>
    <x v="0"/>
    <n v="6500"/>
    <n v="0.35135135135135137"/>
  </r>
  <r>
    <n v="17"/>
    <n v="6"/>
    <n v="3.8"/>
    <x v="1"/>
    <n v="3000"/>
    <n v="3.7"/>
    <x v="7"/>
    <n v="0.35"/>
    <n v="10000"/>
    <x v="2"/>
    <x v="0"/>
    <x v="2"/>
    <x v="1"/>
    <x v="55"/>
    <x v="2"/>
    <n v="60000"/>
    <n v="0.35294117647058826"/>
  </r>
  <r>
    <n v="42"/>
    <n v="17"/>
    <n v="4.9000000000000004"/>
    <x v="0"/>
    <n v="100"/>
    <n v="4.8"/>
    <x v="5"/>
    <n v="0.9"/>
    <n v="300"/>
    <x v="0"/>
    <x v="0"/>
    <x v="3"/>
    <x v="0"/>
    <x v="14"/>
    <x v="0"/>
    <n v="5100"/>
    <n v="0.40476190476190477"/>
  </r>
  <r>
    <n v="9"/>
    <n v="2"/>
    <n v="2.8"/>
    <x v="0"/>
    <n v="400"/>
    <n v="3"/>
    <x v="20"/>
    <n v="-0.4"/>
    <n v="600"/>
    <x v="0"/>
    <x v="1"/>
    <x v="2"/>
    <x v="0"/>
    <x v="56"/>
    <x v="1"/>
    <n v="1200"/>
    <n v="0.22222222222222221"/>
  </r>
  <r>
    <n v="35"/>
    <n v="12"/>
    <n v="4.5999999999999996"/>
    <x v="1"/>
    <n v="6000"/>
    <n v="4.8"/>
    <x v="15"/>
    <n v="0.82"/>
    <n v="900"/>
    <x v="0"/>
    <x v="1"/>
    <x v="3"/>
    <x v="2"/>
    <x v="57"/>
    <x v="0"/>
    <n v="10800"/>
    <n v="0.34285714285714286"/>
  </r>
  <r>
    <n v="24"/>
    <n v="8"/>
    <n v="3.9"/>
    <x v="1"/>
    <n v="1500"/>
    <n v="3.5"/>
    <x v="18"/>
    <n v="0.25"/>
    <n v="300"/>
    <x v="0"/>
    <x v="0"/>
    <x v="0"/>
    <x v="2"/>
    <x v="58"/>
    <x v="2"/>
    <n v="2400"/>
    <n v="0.33333333333333331"/>
  </r>
  <r>
    <n v="3"/>
    <n v="0"/>
    <n v="1.5"/>
    <x v="0"/>
    <n v="1000"/>
    <n v="1.8"/>
    <x v="29"/>
    <n v="-0.9"/>
    <n v="200"/>
    <x v="0"/>
    <x v="1"/>
    <x v="1"/>
    <x v="2"/>
    <x v="28"/>
    <x v="1"/>
    <n v="0"/>
    <n v="0"/>
  </r>
  <r>
    <n v="46"/>
    <n v="18"/>
    <n v="4.7"/>
    <x v="1"/>
    <n v="700"/>
    <n v="4.9000000000000004"/>
    <x v="34"/>
    <n v="0.88"/>
    <n v="400"/>
    <x v="0"/>
    <x v="0"/>
    <x v="0"/>
    <x v="0"/>
    <x v="59"/>
    <x v="2"/>
    <n v="7200"/>
    <n v="0.39130434782608697"/>
  </r>
  <r>
    <n v="16"/>
    <n v="5"/>
    <n v="3.7"/>
    <x v="0"/>
    <n v="200"/>
    <n v="3.6"/>
    <x v="9"/>
    <n v="0.15"/>
    <n v="800"/>
    <x v="0"/>
    <x v="0"/>
    <x v="3"/>
    <x v="1"/>
    <x v="60"/>
    <x v="1"/>
    <n v="4000"/>
    <n v="0.3125"/>
  </r>
  <r>
    <n v="28"/>
    <n v="10"/>
    <n v="4.3"/>
    <x v="0"/>
    <n v="900"/>
    <n v="4.4000000000000004"/>
    <x v="20"/>
    <n v="0.72"/>
    <n v="400"/>
    <x v="0"/>
    <x v="1"/>
    <x v="3"/>
    <x v="1"/>
    <x v="50"/>
    <x v="2"/>
    <n v="4000"/>
    <n v="0.35714285714285715"/>
  </r>
  <r>
    <n v="13"/>
    <n v="4"/>
    <n v="2.7"/>
    <x v="1"/>
    <n v="2000"/>
    <n v="3"/>
    <x v="5"/>
    <n v="-0.3"/>
    <n v="600"/>
    <x v="0"/>
    <x v="0"/>
    <x v="2"/>
    <x v="0"/>
    <x v="61"/>
    <x v="1"/>
    <n v="2400"/>
    <n v="0.30769230769230771"/>
  </r>
  <r>
    <n v="47"/>
    <n v="14"/>
    <n v="4.8"/>
    <x v="0"/>
    <n v="700"/>
    <n v="4.9000000000000004"/>
    <x v="18"/>
    <n v="0.85"/>
    <n v="500"/>
    <x v="0"/>
    <x v="1"/>
    <x v="0"/>
    <x v="0"/>
    <x v="62"/>
    <x v="0"/>
    <n v="7000"/>
    <n v="0.2978723404255319"/>
  </r>
  <r>
    <n v="6"/>
    <n v="2"/>
    <n v="2.2999999999999998"/>
    <x v="0"/>
    <n v="100"/>
    <n v="2.4"/>
    <x v="2"/>
    <n v="-0.7"/>
    <n v="300"/>
    <x v="0"/>
    <x v="1"/>
    <x v="3"/>
    <x v="2"/>
    <x v="63"/>
    <x v="1"/>
    <n v="600"/>
    <n v="0.33333333333333331"/>
  </r>
  <r>
    <n v="30"/>
    <n v="11"/>
    <n v="4.5"/>
    <x v="1"/>
    <n v="600"/>
    <n v="4.5999999999999996"/>
    <x v="23"/>
    <n v="0.7"/>
    <n v="300"/>
    <x v="0"/>
    <x v="0"/>
    <x v="0"/>
    <x v="1"/>
    <x v="42"/>
    <x v="2"/>
    <n v="3300"/>
    <n v="0.36666666666666664"/>
  </r>
  <r>
    <n v="14"/>
    <n v="5"/>
    <n v="3"/>
    <x v="0"/>
    <n v="5000"/>
    <n v="3.5"/>
    <x v="32"/>
    <n v="0.1"/>
    <n v="10000"/>
    <x v="2"/>
    <x v="0"/>
    <x v="2"/>
    <x v="1"/>
    <x v="64"/>
    <x v="1"/>
    <n v="50000"/>
    <n v="0.35714285714285715"/>
  </r>
  <r>
    <n v="41"/>
    <n v="13"/>
    <n v="4.7"/>
    <x v="1"/>
    <n v="300"/>
    <n v="4.5999999999999996"/>
    <x v="9"/>
    <n v="0.8"/>
    <n v="500"/>
    <x v="0"/>
    <x v="1"/>
    <x v="0"/>
    <x v="2"/>
    <x v="40"/>
    <x v="0"/>
    <n v="6500"/>
    <n v="0.31707317073170732"/>
  </r>
  <r>
    <n v="9"/>
    <n v="3"/>
    <n v="2.5"/>
    <x v="0"/>
    <n v="700"/>
    <n v="2.6"/>
    <x v="9"/>
    <n v="-0.5"/>
    <n v="400"/>
    <x v="0"/>
    <x v="1"/>
    <x v="1"/>
    <x v="0"/>
    <x v="65"/>
    <x v="1"/>
    <n v="1200"/>
    <n v="0.33333333333333331"/>
  </r>
  <r>
    <n v="34"/>
    <n v="12"/>
    <n v="4.5999999999999996"/>
    <x v="0"/>
    <n v="2000"/>
    <n v="4.7"/>
    <x v="15"/>
    <n v="0.68"/>
    <n v="800"/>
    <x v="0"/>
    <x v="1"/>
    <x v="3"/>
    <x v="0"/>
    <x v="66"/>
    <x v="2"/>
    <n v="9600"/>
    <n v="0.35294117647058826"/>
  </r>
  <r>
    <n v="18"/>
    <n v="7"/>
    <n v="3.6"/>
    <x v="1"/>
    <n v="800"/>
    <n v="3.8"/>
    <x v="5"/>
    <n v="0.3"/>
    <n v="1000"/>
    <x v="1"/>
    <x v="1"/>
    <x v="0"/>
    <x v="0"/>
    <x v="67"/>
    <x v="2"/>
    <n v="7000"/>
    <n v="0.3888888888888889"/>
  </r>
  <r>
    <n v="50"/>
    <n v="20"/>
    <n v="5"/>
    <x v="0"/>
    <n v="100"/>
    <n v="5"/>
    <x v="31"/>
    <n v="0.95"/>
    <n v="900"/>
    <x v="0"/>
    <x v="0"/>
    <x v="3"/>
    <x v="0"/>
    <x v="68"/>
    <x v="0"/>
    <n v="18000"/>
    <n v="0.4"/>
  </r>
  <r>
    <n v="11"/>
    <n v="4"/>
    <n v="3.1"/>
    <x v="1"/>
    <n v="400"/>
    <n v="3.2"/>
    <x v="34"/>
    <n v="-0.1"/>
    <n v="600"/>
    <x v="0"/>
    <x v="1"/>
    <x v="1"/>
    <x v="1"/>
    <x v="24"/>
    <x v="1"/>
    <n v="2400"/>
    <n v="0.36363636363636365"/>
  </r>
  <r>
    <n v="38"/>
    <n v="14"/>
    <n v="4.9000000000000004"/>
    <x v="1"/>
    <n v="7000"/>
    <n v="4.8"/>
    <x v="6"/>
    <n v="0.9"/>
    <n v="900"/>
    <x v="0"/>
    <x v="1"/>
    <x v="3"/>
    <x v="2"/>
    <x v="15"/>
    <x v="0"/>
    <n v="12600"/>
    <n v="0.36842105263157893"/>
  </r>
  <r>
    <n v="23"/>
    <n v="9"/>
    <n v="4.4000000000000004"/>
    <x v="0"/>
    <n v="3000"/>
    <n v="4.5"/>
    <x v="9"/>
    <n v="0.55000000000000004"/>
    <n v="800"/>
    <x v="0"/>
    <x v="0"/>
    <x v="0"/>
    <x v="1"/>
    <x v="69"/>
    <x v="2"/>
    <n v="7200"/>
    <n v="0.39130434782608697"/>
  </r>
  <r>
    <n v="8"/>
    <n v="2"/>
    <n v="2.2000000000000002"/>
    <x v="1"/>
    <n v="1000"/>
    <n v="2.2999999999999998"/>
    <x v="5"/>
    <n v="-0.6"/>
    <n v="400"/>
    <x v="0"/>
    <x v="0"/>
    <x v="3"/>
    <x v="2"/>
    <x v="70"/>
    <x v="1"/>
    <n v="800"/>
    <n v="0.25"/>
  </r>
  <r>
    <n v="35"/>
    <n v="11"/>
    <n v="4.7"/>
    <x v="0"/>
    <n v="600"/>
    <n v="4.8"/>
    <x v="3"/>
    <n v="0.78"/>
    <n v="600"/>
    <x v="0"/>
    <x v="1"/>
    <x v="3"/>
    <x v="0"/>
    <x v="71"/>
    <x v="2"/>
    <n v="6600"/>
    <n v="0.31428571428571428"/>
  </r>
  <r>
    <n v="15"/>
    <n v="6"/>
    <n v="3.5"/>
    <x v="1"/>
    <n v="200"/>
    <n v="3.7"/>
    <x v="15"/>
    <n v="0.2"/>
    <n v="700"/>
    <x v="0"/>
    <x v="0"/>
    <x v="0"/>
    <x v="1"/>
    <x v="35"/>
    <x v="2"/>
    <n v="4200"/>
    <n v="0.4"/>
  </r>
  <r>
    <n v="42"/>
    <n v="15"/>
    <n v="4.8"/>
    <x v="1"/>
    <n v="500"/>
    <n v="4.9000000000000004"/>
    <x v="18"/>
    <n v="0.88"/>
    <n v="700"/>
    <x v="0"/>
    <x v="0"/>
    <x v="3"/>
    <x v="1"/>
    <x v="57"/>
    <x v="0"/>
    <n v="10500"/>
    <n v="0.35714285714285715"/>
  </r>
  <r>
    <n v="7"/>
    <n v="1"/>
    <n v="2"/>
    <x v="0"/>
    <n v="200"/>
    <n v="2.1"/>
    <x v="23"/>
    <n v="-0.8"/>
    <n v="200"/>
    <x v="0"/>
    <x v="1"/>
    <x v="3"/>
    <x v="0"/>
    <x v="7"/>
    <x v="1"/>
    <n v="200"/>
    <n v="0.14285714285714285"/>
  </r>
  <r>
    <n v="31"/>
    <n v="13"/>
    <n v="4.5"/>
    <x v="1"/>
    <n v="4000"/>
    <n v="4.5999999999999996"/>
    <x v="8"/>
    <n v="0.75"/>
    <n v="800"/>
    <x v="0"/>
    <x v="1"/>
    <x v="3"/>
    <x v="2"/>
    <x v="17"/>
    <x v="2"/>
    <n v="10400"/>
    <n v="0.41935483870967744"/>
  </r>
  <r>
    <n v="20"/>
    <n v="8"/>
    <n v="3.7"/>
    <x v="0"/>
    <n v="1500"/>
    <n v="3.8"/>
    <x v="10"/>
    <n v="0.4"/>
    <n v="1000"/>
    <x v="1"/>
    <x v="1"/>
    <x v="2"/>
    <x v="0"/>
    <x v="72"/>
    <x v="2"/>
    <n v="8000"/>
    <n v="0.4"/>
  </r>
  <r>
    <n v="49"/>
    <n v="19"/>
    <n v="4.9000000000000004"/>
    <x v="0"/>
    <n v="800"/>
    <n v="4.7"/>
    <x v="20"/>
    <n v="0.9"/>
    <n v="500"/>
    <x v="0"/>
    <x v="0"/>
    <x v="0"/>
    <x v="0"/>
    <x v="4"/>
    <x v="0"/>
    <n v="9500"/>
    <n v="0.38775510204081631"/>
  </r>
  <r>
    <n v="10"/>
    <n v="3"/>
    <n v="2.9"/>
    <x v="1"/>
    <n v="100"/>
    <n v="3"/>
    <x v="5"/>
    <n v="-0.2"/>
    <n v="400"/>
    <x v="0"/>
    <x v="0"/>
    <x v="1"/>
    <x v="1"/>
    <x v="73"/>
    <x v="1"/>
    <n v="1200"/>
    <n v="0.3"/>
  </r>
  <r>
    <n v="36"/>
    <n v="12"/>
    <n v="4.5999999999999996"/>
    <x v="1"/>
    <n v="1500"/>
    <n v="4.5"/>
    <x v="29"/>
    <n v="0.8"/>
    <n v="600"/>
    <x v="0"/>
    <x v="0"/>
    <x v="0"/>
    <x v="1"/>
    <x v="59"/>
    <x v="2"/>
    <n v="7200"/>
    <n v="0.33333333333333331"/>
  </r>
  <r>
    <n v="24"/>
    <n v="7"/>
    <n v="3.8"/>
    <x v="0"/>
    <n v="5000"/>
    <n v="4"/>
    <x v="7"/>
    <n v="0.5"/>
    <n v="700"/>
    <x v="0"/>
    <x v="1"/>
    <x v="3"/>
    <x v="2"/>
    <x v="19"/>
    <x v="2"/>
    <n v="4900"/>
    <n v="0.29166666666666669"/>
  </r>
  <r>
    <n v="45"/>
    <n v="16"/>
    <n v="4.7"/>
    <x v="0"/>
    <n v="700"/>
    <n v="4.9000000000000004"/>
    <x v="9"/>
    <n v="0.86"/>
    <n v="300"/>
    <x v="0"/>
    <x v="1"/>
    <x v="3"/>
    <x v="1"/>
    <x v="0"/>
    <x v="0"/>
    <n v="4800"/>
    <n v="0.35555555555555557"/>
  </r>
  <r>
    <n v="16"/>
    <n v="5"/>
    <n v="3.2"/>
    <x v="1"/>
    <n v="200"/>
    <n v="3.5"/>
    <x v="21"/>
    <n v="0.15"/>
    <n v="100"/>
    <x v="0"/>
    <x v="1"/>
    <x v="2"/>
    <x v="0"/>
    <x v="74"/>
    <x v="1"/>
    <n v="500"/>
    <n v="0.3125"/>
  </r>
  <r>
    <n v="29"/>
    <n v="10"/>
    <n v="4.4000000000000004"/>
    <x v="0"/>
    <n v="300"/>
    <n v="4.3"/>
    <x v="5"/>
    <n v="0.72"/>
    <n v="500"/>
    <x v="0"/>
    <x v="1"/>
    <x v="3"/>
    <x v="0"/>
    <x v="18"/>
    <x v="2"/>
    <n v="5000"/>
    <n v="0.34482758620689657"/>
  </r>
  <r>
    <n v="43"/>
    <n v="14"/>
    <n v="4.8"/>
    <x v="1"/>
    <n v="6000"/>
    <n v="4.9000000000000004"/>
    <x v="6"/>
    <n v="0.92"/>
    <n v="800"/>
    <x v="0"/>
    <x v="0"/>
    <x v="0"/>
    <x v="2"/>
    <x v="10"/>
    <x v="0"/>
    <n v="11200"/>
    <n v="0.32558139534883723"/>
  </r>
  <r>
    <n v="21"/>
    <n v="9"/>
    <n v="4.0999999999999996"/>
    <x v="1"/>
    <n v="800"/>
    <n v="4.3"/>
    <x v="20"/>
    <n v="0.45"/>
    <n v="1000"/>
    <x v="1"/>
    <x v="1"/>
    <x v="3"/>
    <x v="1"/>
    <x v="18"/>
    <x v="2"/>
    <n v="9000"/>
    <n v="0.42857142857142855"/>
  </r>
  <r>
    <n v="5"/>
    <n v="1"/>
    <n v="1.8"/>
    <x v="0"/>
    <n v="200"/>
    <n v="2"/>
    <x v="23"/>
    <n v="-0.9"/>
    <n v="300"/>
    <x v="0"/>
    <x v="1"/>
    <x v="2"/>
    <x v="2"/>
    <x v="37"/>
    <x v="1"/>
    <n v="300"/>
    <n v="0.2"/>
  </r>
  <r>
    <n v="37"/>
    <n v="13"/>
    <n v="4.7"/>
    <x v="1"/>
    <n v="900"/>
    <n v="4.5999999999999996"/>
    <x v="3"/>
    <n v="0.75"/>
    <n v="600"/>
    <x v="0"/>
    <x v="0"/>
    <x v="3"/>
    <x v="0"/>
    <x v="50"/>
    <x v="2"/>
    <n v="7800"/>
    <n v="0.35135135135135137"/>
  </r>
  <r>
    <n v="22"/>
    <n v="8"/>
    <n v="3.9"/>
    <x v="0"/>
    <n v="4000"/>
    <n v="4.0999999999999996"/>
    <x v="10"/>
    <n v="0.6"/>
    <n v="900"/>
    <x v="0"/>
    <x v="1"/>
    <x v="0"/>
    <x v="1"/>
    <x v="71"/>
    <x v="2"/>
    <n v="7200"/>
    <n v="0.36363636363636365"/>
  </r>
  <r>
    <n v="40"/>
    <n v="15"/>
    <n v="4.8"/>
    <x v="1"/>
    <n v="700"/>
    <n v="4.9000000000000004"/>
    <x v="9"/>
    <n v="0.9"/>
    <n v="500"/>
    <x v="0"/>
    <x v="0"/>
    <x v="3"/>
    <x v="1"/>
    <x v="21"/>
    <x v="0"/>
    <n v="7500"/>
    <n v="0.375"/>
  </r>
  <r>
    <n v="12"/>
    <n v="4"/>
    <n v="3"/>
    <x v="0"/>
    <n v="5000"/>
    <n v="3.2"/>
    <x v="2"/>
    <n v="0.1"/>
    <n v="600"/>
    <x v="0"/>
    <x v="0"/>
    <x v="3"/>
    <x v="0"/>
    <x v="75"/>
    <x v="2"/>
    <n v="2400"/>
    <n v="0.333333333333333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3324A-865C-4B9D-9687-4B7E8F8858C2}" name="Зведена таблиця3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10">
  <location ref="A38:B42" firstHeaderRow="1" firstDataRow="1" firstDataCol="1"/>
  <pivotFields count="17">
    <pivotField numFmtId="1" showAll="0"/>
    <pivotField numFmtId="1" showAll="0"/>
    <pivotField showAll="0"/>
    <pivotField showAll="0">
      <items count="3">
        <item x="1"/>
        <item x="0"/>
        <item t="default"/>
      </items>
    </pivotField>
    <pivotField numFmtId="1" showAll="0"/>
    <pivotField dataField="1" numFmtId="164" showAll="0"/>
    <pivotField showAll="0"/>
    <pivotField showAll="0"/>
    <pivotField numFmtId="1" showAll="0"/>
    <pivotField axis="axisRow"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2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ереднє з Product Rating" fld="5" subtotal="average" baseField="9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B76A2-723D-4EF8-BDD4-A13F36B6A1CA}" name="Зведена таблиця7" cacheId="0" applyNumberFormats="0" applyBorderFormats="0" applyFontFormats="0" applyPatternFormats="0" applyAlignmentFormats="0" applyWidthHeightFormats="1" dataCaption="Значення" updatedVersion="8" minRefreshableVersion="3" itemPrintTitles="1" createdVersion="8" indent="0" outline="1" outlineData="1" multipleFieldFilters="0" chartFormat="21">
  <location ref="A2:E8" firstHeaderRow="1" firstDataRow="2" firstDataCol="1"/>
  <pivotFields count="17">
    <pivotField numFmtId="1" showAll="0"/>
    <pivotField dataField="1" numFmtId="1" showAll="0"/>
    <pivotField showAll="0"/>
    <pivotField showAll="0">
      <items count="3">
        <item x="1"/>
        <item x="0"/>
        <item t="default"/>
      </items>
    </pivotField>
    <pivotField numFmtId="1" showAll="0"/>
    <pivotField numFmtId="164" showAll="0"/>
    <pivotField showAll="0"/>
    <pivotField showAll="0"/>
    <pivotField numFmtId="1" showAll="0"/>
    <pivotField showAll="0"/>
    <pivotField showAll="0">
      <items count="3">
        <item x="1"/>
        <item x="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2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Сума з Similar products purchased" fld="1" baseField="0" baseItem="0" numFmtId="1"/>
  </dataFields>
  <chartFormats count="3">
    <chartFormat chart="20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0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0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3267C-4B39-4DA7-B61A-EA16DE0ECA5D}" name="Зведена таблиця11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22">
  <location ref="A71:B75" firstHeaderRow="1" firstDataRow="1" firstDataCol="1"/>
  <pivotFields count="17">
    <pivotField numFmtId="1" showAll="0"/>
    <pivotField numFmtId="1" showAll="0"/>
    <pivotField showAll="0"/>
    <pivotField showAll="0">
      <items count="3">
        <item x="1"/>
        <item x="0"/>
        <item t="default"/>
      </items>
    </pivotField>
    <pivotField numFmtId="1" showAll="0"/>
    <pivotField numFmtId="164" showAll="0"/>
    <pivotField showAll="0"/>
    <pivotField showAll="0"/>
    <pivotField numFmtId="1" showAll="0"/>
    <pivotField axis="axisRow"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numFmtId="2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ума з Conversion Rate" fld="16" baseField="9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D7F1E-01F3-4FC5-B1C8-09E07AAF8B29}" name="Зведена таблиця10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19">
  <location ref="A65:B68" firstHeaderRow="1" firstDataRow="1" firstDataCol="1"/>
  <pivotFields count="17">
    <pivotField numFmtId="1" showAll="0"/>
    <pivotField numFmtId="1" showAll="0"/>
    <pivotField showAll="0"/>
    <pivotField axis="axisRow" showAll="0">
      <items count="3">
        <item x="1"/>
        <item x="0"/>
        <item t="default"/>
      </items>
    </pivotField>
    <pivotField dataField="1" numFmtId="1" showAll="0"/>
    <pivotField numFmtId="164" showAll="0"/>
    <pivotField showAll="0"/>
    <pivotField showAll="0"/>
    <pivotField numFmtId="1" showAll="0"/>
    <pivotField showAll="0"/>
    <pivotField showAll="0">
      <items count="3">
        <item x="1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2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Середнє з Median purchasing price" fld="4" subtotal="average" baseField="0" baseItem="0" numFmtId="1"/>
  </dataField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6924A-7460-43CF-A8D9-8FF30A02918B}" name="Зведена таблиця9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28">
  <location ref="A51:B62" firstHeaderRow="1" firstDataRow="1" firstDataCol="1"/>
  <pivotFields count="17">
    <pivotField numFmtId="1" showAll="0"/>
    <pivotField numFmtId="1" showAll="0"/>
    <pivotField showAll="0"/>
    <pivotField showAll="0">
      <items count="3">
        <item x="1"/>
        <item x="0"/>
        <item t="default"/>
      </items>
    </pivotField>
    <pivotField numFmtId="1" showAll="0"/>
    <pivotField numFmtId="164" showAll="0"/>
    <pivotField axis="axisRow" showAll="0" measureFilter="1" sortType="ascending">
      <items count="49">
        <item x="25"/>
        <item x="32"/>
        <item x="47"/>
        <item x="38"/>
        <item x="44"/>
        <item x="31"/>
        <item x="14"/>
        <item x="43"/>
        <item x="28"/>
        <item x="9"/>
        <item x="13"/>
        <item x="19"/>
        <item x="27"/>
        <item x="2"/>
        <item x="17"/>
        <item x="41"/>
        <item x="3"/>
        <item x="23"/>
        <item x="34"/>
        <item x="12"/>
        <item x="1"/>
        <item x="7"/>
        <item x="36"/>
        <item x="8"/>
        <item x="21"/>
        <item x="5"/>
        <item x="26"/>
        <item x="22"/>
        <item x="42"/>
        <item x="30"/>
        <item x="20"/>
        <item x="15"/>
        <item x="6"/>
        <item x="0"/>
        <item x="10"/>
        <item x="45"/>
        <item x="46"/>
        <item x="11"/>
        <item x="29"/>
        <item x="16"/>
        <item x="33"/>
        <item x="24"/>
        <item x="39"/>
        <item x="4"/>
        <item x="35"/>
        <item x="37"/>
        <item x="18"/>
        <item x="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showAll="0"/>
    <pivotField showAll="0">
      <items count="3">
        <item x="1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numFmtId="2" showAll="0"/>
  </pivotFields>
  <rowFields count="1">
    <field x="6"/>
  </rowFields>
  <rowItems count="11">
    <i>
      <x v="37"/>
    </i>
    <i>
      <x v="25"/>
    </i>
    <i>
      <x v="32"/>
    </i>
    <i>
      <x v="46"/>
    </i>
    <i>
      <x v="41"/>
    </i>
    <i>
      <x v="5"/>
    </i>
    <i>
      <x v="8"/>
    </i>
    <i>
      <x/>
    </i>
    <i>
      <x v="30"/>
    </i>
    <i>
      <x v="14"/>
    </i>
    <i t="grand">
      <x/>
    </i>
  </rowItems>
  <colItems count="1">
    <i/>
  </colItems>
  <dataFields count="1">
    <dataField name="Сума з Revenue" fld="15" baseField="6" baseItem="9" numFmtId="165"/>
  </dataFields>
  <formats count="1">
    <format dxfId="0">
      <pivotArea outline="0" collapsedLevelsAreSubtotals="1" fieldPosition="0"/>
    </format>
  </formats>
  <chartFormats count="1"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86A63-D71E-4F04-A16F-65D6629F2F63}" name="Зведена таблиця16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30">
  <location ref="A78:B91" firstHeaderRow="1" firstDataRow="1" firstDataCol="1"/>
  <pivotFields count="17">
    <pivotField numFmtId="1" showAll="0"/>
    <pivotField numFmtId="1" showAll="0"/>
    <pivotField showAll="0"/>
    <pivotField showAll="0">
      <items count="3">
        <item x="1"/>
        <item x="0"/>
        <item t="default"/>
      </items>
    </pivotField>
    <pivotField numFmtId="1" showAll="0"/>
    <pivotField numFmtId="164" showAll="0"/>
    <pivotField showAll="0"/>
    <pivotField showAll="0"/>
    <pivotField numFmtId="1" showAll="0"/>
    <pivotField axis="axisRow"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numFmtId="2" showAll="0"/>
  </pivotFields>
  <rowFields count="2">
    <field x="9"/>
    <field x="14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Середнє з Revenue" fld="15" subtotal="average" baseField="9" baseItem="0" numFmtId="1"/>
  </dataFields>
  <formats count="1">
    <format dxfId="1">
      <pivotArea outline="0" collapsedLevelsAreSubtotals="1" fieldPosition="0"/>
    </format>
  </formats>
  <chartFormats count="1"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F9F75-5DE5-45D7-A525-0694ED77C86E}" name="Зведена таблиця2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14">
  <location ref="A31:B35" firstHeaderRow="1" firstDataRow="1" firstDataCol="1"/>
  <pivotFields count="17">
    <pivotField numFmtId="1" showAll="0"/>
    <pivotField numFmtId="1" showAll="0"/>
    <pivotField showAll="0"/>
    <pivotField showAll="0">
      <items count="3">
        <item x="1"/>
        <item x="0"/>
        <item t="default"/>
      </items>
    </pivotField>
    <pivotField numFmtId="1" showAll="0"/>
    <pivotField numFmtId="164" showAll="0"/>
    <pivotField showAll="0"/>
    <pivotField showAll="0"/>
    <pivotField numFmtId="1" showAll="0"/>
    <pivotField axis="axisRow"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numFmtId="2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ума з Conversion Rate" fld="16" baseField="9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946D3-6D70-4B55-886A-A1285D3CCF24}" name="Зведена таблиця6" cacheId="0" applyNumberFormats="0" applyBorderFormats="0" applyFontFormats="0" applyPatternFormats="0" applyAlignmentFormats="0" applyWidthHeightFormats="1" dataCaption="Значення" updatedVersion="8" minRefreshableVersion="3" itemPrintTitles="1" createdVersion="8" indent="0" outline="1" outlineData="1" multipleFieldFilters="0" chartFormat="22">
  <location ref="A11:B28" firstHeaderRow="1" firstDataRow="1" firstDataCol="1"/>
  <pivotFields count="17">
    <pivotField numFmtId="1" showAll="0"/>
    <pivotField numFmtId="1" showAll="0"/>
    <pivotField showAll="0"/>
    <pivotField showAll="0">
      <items count="3">
        <item x="1"/>
        <item x="0"/>
        <item t="default"/>
      </items>
    </pivotField>
    <pivotField numFmtId="1" showAll="0"/>
    <pivotField numFmtId="164" showAll="0"/>
    <pivotField showAll="0"/>
    <pivotField showAll="0"/>
    <pivotField numFmtId="1" showAll="0"/>
    <pivotField showAll="0"/>
    <pivotField showAll="0">
      <items count="3">
        <item x="1"/>
        <item x="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numFmtId="2" showAll="0"/>
  </pivotFields>
  <rowFields count="2">
    <field x="11"/>
    <field x="1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Сума з Revenue" fld="15" baseField="0" baseItem="0"/>
  </dataFields>
  <chartFormats count="1"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C3AE45-C83D-4908-A312-FD949F9B80EB}" name="Зведена таблиця8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23">
  <location ref="A45:B48" firstHeaderRow="1" firstDataRow="1" firstDataCol="1"/>
  <pivotFields count="17">
    <pivotField numFmtId="1" showAll="0"/>
    <pivotField numFmtId="1" showAll="0"/>
    <pivotField showAll="0"/>
    <pivotField axis="axisRow" showAll="0">
      <items count="3">
        <item x="1"/>
        <item x="0"/>
        <item t="default"/>
      </items>
    </pivotField>
    <pivotField dataField="1" numFmtId="1" showAll="0"/>
    <pivotField numFmtId="164" showAll="0"/>
    <pivotField showAll="0"/>
    <pivotField showAll="0"/>
    <pivotField numFmtId="1" showAll="0"/>
    <pivotField showAll="0"/>
    <pivotField showAll="0">
      <items count="3">
        <item x="1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2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Середнє з Median purchasing price" fld="4" subtotal="average" baseField="0" baseItem="0" numFmtId="1"/>
  </dataFields>
  <chartFormats count="3"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Gender" xr10:uid="{95DA7459-33D6-40BF-939D-FEC37FD9F606}" sourceName="Gender">
  <pivotTables>
    <pivotTable tabId="4" name="Зведена таблиця2"/>
    <pivotTable tabId="4" name="Зведена таблиця3"/>
    <pivotTable tabId="4" name="Зведена таблиця6"/>
    <pivotTable tabId="4" name="Зведена таблиця7"/>
    <pivotTable tabId="4" name="Зведена таблиця8"/>
    <pivotTable tabId="4" name="Зведена таблиця9"/>
    <pivotTable tabId="4" name="Зведена таблиця10"/>
    <pivotTable tabId="4" name="Зведена таблиця11"/>
    <pivotTable tabId="4" name="Зведена таблиця16"/>
  </pivotTables>
  <data>
    <tabular pivotCacheId="511738233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Holiday" xr10:uid="{5A07EA6F-2E22-45B2-A78D-EF7B4EF7C086}" sourceName="Holiday">
  <pivotTables>
    <pivotTable tabId="4" name="Зведена таблиця2"/>
    <pivotTable tabId="4" name="Зведена таблиця3"/>
    <pivotTable tabId="4" name="Зведена таблиця6"/>
    <pivotTable tabId="4" name="Зведена таблиця7"/>
    <pivotTable tabId="4" name="Зведена таблиця8"/>
    <pivotTable tabId="4" name="Зведена таблиця9"/>
    <pivotTable tabId="4" name="Зведена таблиця10"/>
    <pivotTable tabId="4" name="Зведена таблиця11"/>
    <pivotTable tabId="4" name="Зведена таблиця16"/>
  </pivotTables>
  <data>
    <tabular pivotCacheId="511738233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Season" xr10:uid="{39A091C4-33B4-4CD3-8737-42775EA06A3B}" sourceName="Season">
  <pivotTables>
    <pivotTable tabId="4" name="Зведена таблиця2"/>
    <pivotTable tabId="4" name="Зведена таблиця3"/>
    <pivotTable tabId="4" name="Зведена таблиця6"/>
    <pivotTable tabId="4" name="Зведена таблиця7"/>
    <pivotTable tabId="4" name="Зведена таблиця8"/>
    <pivotTable tabId="4" name="Зведена таблиця9"/>
    <pivotTable tabId="4" name="Зведена таблиця10"/>
    <pivotTable tabId="4" name="Зведена таблиця11"/>
    <pivotTable tabId="4" name="Зведена таблиця16"/>
  </pivotTables>
  <data>
    <tabular pivotCacheId="511738233">
      <items count="4">
        <i x="1" s="1"/>
        <i x="2" s="1"/>
        <i x="3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Terrain" xr10:uid="{558B73D9-B39F-4272-8CCD-17172CBA4F3A}" sourceName="Terrain">
  <pivotTables>
    <pivotTable tabId="4" name="Зведена таблиця2"/>
    <pivotTable tabId="4" name="Зведена таблиця3"/>
    <pivotTable tabId="4" name="Зведена таблиця6"/>
    <pivotTable tabId="4" name="Зведена таблиця7"/>
    <pivotTable tabId="4" name="Зведена таблиця8"/>
    <pivotTable tabId="4" name="Зведена таблиця9"/>
    <pivotTable tabId="4" name="Зведена таблиця10"/>
    <pivotTable tabId="4" name="Зведена таблиця11"/>
    <pivotTable tabId="4" name="Зведена таблиця16"/>
  </pivotTables>
  <data>
    <tabular pivotCacheId="511738233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82A6B935-4229-48E1-BDCB-7BEAEFB55CFB}" cache="Роздільник_Gender" caption="Gender" style="SlicerStyleLight6" rowHeight="247650"/>
  <slicer name="Holiday" xr10:uid="{6381474A-E97B-4001-9D04-D529ECC797B8}" cache="Роздільник_Holiday" caption="Holiday" style="SlicerStyleLight6" rowHeight="247650"/>
  <slicer name="Season" xr10:uid="{998C96F1-5BAF-47EF-B1BF-A5C929BA7B41}" cache="Роздільник_Season" caption="Season" style="SlicerStyleLight6" rowHeight="247650"/>
  <slicer name="Terrain" xr10:uid="{C865F3D4-A74D-44FC-94F2-A5D988FAC9BE}" cache="Роздільник_Terrain" caption="Terrain" style="SlicerStyleLight6" rowHeight="247650"/>
</slicer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B6FA-E5EF-4F05-83AE-B087F468DEA0}">
  <dimension ref="A1:Q1475"/>
  <sheetViews>
    <sheetView zoomScale="55" zoomScaleNormal="55" workbookViewId="0">
      <selection activeCell="Y23" sqref="Y23"/>
    </sheetView>
  </sheetViews>
  <sheetFormatPr defaultRowHeight="14.4" x14ac:dyDescent="0.3"/>
  <cols>
    <col min="1" max="1" width="14.33203125" customWidth="1"/>
    <col min="2" max="2" width="15.109375" customWidth="1"/>
    <col min="3" max="3" width="32.6640625" customWidth="1"/>
    <col min="5" max="5" width="17.5546875" customWidth="1"/>
    <col min="6" max="6" width="17.44140625" customWidth="1"/>
    <col min="7" max="7" width="17.5546875" customWidth="1"/>
    <col min="9" max="9" width="16.88671875" customWidth="1"/>
    <col min="12" max="12" width="20.109375" customWidth="1"/>
    <col min="13" max="13" width="11.44140625" customWidth="1"/>
    <col min="17" max="17" width="24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7" x14ac:dyDescent="0.3">
      <c r="A2">
        <v>12</v>
      </c>
      <c r="B2">
        <v>4</v>
      </c>
      <c r="C2" s="11">
        <v>46057</v>
      </c>
      <c r="D2" t="s">
        <v>13</v>
      </c>
      <c r="E2">
        <v>500</v>
      </c>
      <c r="F2" s="11">
        <v>46146</v>
      </c>
      <c r="G2" t="s">
        <v>14</v>
      </c>
      <c r="H2" t="s">
        <v>15</v>
      </c>
      <c r="I2">
        <v>200</v>
      </c>
      <c r="J2" t="s">
        <v>16</v>
      </c>
      <c r="K2" t="s">
        <v>17</v>
      </c>
      <c r="L2" t="s">
        <v>18</v>
      </c>
      <c r="M2" t="s">
        <v>19</v>
      </c>
      <c r="Q2" s="1"/>
    </row>
    <row r="3" spans="1:17" x14ac:dyDescent="0.3">
      <c r="A3">
        <v>8</v>
      </c>
      <c r="B3">
        <v>2</v>
      </c>
      <c r="C3" s="11">
        <v>46237</v>
      </c>
      <c r="D3" t="s">
        <v>20</v>
      </c>
      <c r="E3">
        <v>3000</v>
      </c>
      <c r="F3" s="11">
        <v>46056</v>
      </c>
      <c r="G3" t="s">
        <v>21</v>
      </c>
      <c r="H3" t="s">
        <v>22</v>
      </c>
      <c r="I3">
        <v>300</v>
      </c>
      <c r="J3" t="s">
        <v>23</v>
      </c>
      <c r="K3" t="s">
        <v>24</v>
      </c>
      <c r="L3" t="s">
        <v>25</v>
      </c>
      <c r="M3" t="s">
        <v>26</v>
      </c>
      <c r="Q3" s="1"/>
    </row>
    <row r="4" spans="1:17" x14ac:dyDescent="0.3">
      <c r="A4">
        <v>25</v>
      </c>
      <c r="B4">
        <v>10</v>
      </c>
      <c r="C4" s="11">
        <v>46146</v>
      </c>
      <c r="D4" t="s">
        <v>20</v>
      </c>
      <c r="E4">
        <v>600</v>
      </c>
      <c r="F4" s="11">
        <v>46238</v>
      </c>
      <c r="G4" t="s">
        <v>27</v>
      </c>
      <c r="H4" t="s">
        <v>28</v>
      </c>
      <c r="I4">
        <v>1000</v>
      </c>
      <c r="J4" t="s">
        <v>16</v>
      </c>
      <c r="K4" t="s">
        <v>29</v>
      </c>
      <c r="L4" t="s">
        <v>18</v>
      </c>
      <c r="M4" t="s">
        <v>30</v>
      </c>
      <c r="Q4" s="1"/>
    </row>
    <row r="5" spans="1:17" x14ac:dyDescent="0.3">
      <c r="A5">
        <v>6</v>
      </c>
      <c r="B5">
        <v>1</v>
      </c>
      <c r="C5" s="11">
        <v>46024</v>
      </c>
      <c r="D5" t="s">
        <v>20</v>
      </c>
      <c r="E5">
        <v>100</v>
      </c>
      <c r="F5" s="11">
        <v>46144</v>
      </c>
      <c r="G5" t="s">
        <v>31</v>
      </c>
      <c r="H5" t="s">
        <v>32</v>
      </c>
      <c r="I5">
        <v>300</v>
      </c>
      <c r="J5" t="s">
        <v>16</v>
      </c>
      <c r="K5" t="s">
        <v>33</v>
      </c>
      <c r="L5" t="s">
        <v>34</v>
      </c>
      <c r="M5" t="s">
        <v>32</v>
      </c>
      <c r="Q5" s="1"/>
    </row>
    <row r="6" spans="1:17" x14ac:dyDescent="0.3">
      <c r="A6">
        <v>18</v>
      </c>
      <c r="B6">
        <v>5</v>
      </c>
      <c r="C6" s="11">
        <v>46207</v>
      </c>
      <c r="D6" t="s">
        <v>13</v>
      </c>
      <c r="E6">
        <v>2000</v>
      </c>
      <c r="F6" s="11">
        <v>46085</v>
      </c>
      <c r="G6" t="s">
        <v>35</v>
      </c>
      <c r="H6" t="s">
        <v>19</v>
      </c>
      <c r="I6">
        <v>700</v>
      </c>
      <c r="J6" t="s">
        <v>23</v>
      </c>
      <c r="K6" t="s">
        <v>17</v>
      </c>
      <c r="L6" t="s">
        <v>18</v>
      </c>
      <c r="M6" t="s">
        <v>15</v>
      </c>
      <c r="Q6" s="1"/>
    </row>
    <row r="7" spans="1:17" x14ac:dyDescent="0.3">
      <c r="A7">
        <v>0</v>
      </c>
      <c r="B7">
        <v>0</v>
      </c>
      <c r="C7" s="11">
        <v>0</v>
      </c>
      <c r="D7" t="s">
        <v>13</v>
      </c>
      <c r="E7">
        <v>1000</v>
      </c>
      <c r="F7" s="11" t="s">
        <v>36</v>
      </c>
      <c r="G7" t="s">
        <v>37</v>
      </c>
      <c r="H7" t="s">
        <v>38</v>
      </c>
      <c r="I7">
        <v>1000</v>
      </c>
      <c r="J7" t="s">
        <v>16</v>
      </c>
      <c r="K7" t="s">
        <v>17</v>
      </c>
      <c r="L7" t="s">
        <v>25</v>
      </c>
      <c r="M7" t="s">
        <v>36</v>
      </c>
      <c r="Q7" s="1"/>
    </row>
    <row r="8" spans="1:17" x14ac:dyDescent="0.3">
      <c r="A8">
        <v>38</v>
      </c>
      <c r="B8">
        <v>15</v>
      </c>
      <c r="C8" s="11">
        <v>46269</v>
      </c>
      <c r="D8" t="s">
        <v>20</v>
      </c>
      <c r="E8">
        <v>700</v>
      </c>
      <c r="F8" s="11">
        <v>46269</v>
      </c>
      <c r="G8" t="s">
        <v>39</v>
      </c>
      <c r="H8" t="s">
        <v>40</v>
      </c>
      <c r="I8">
        <v>700</v>
      </c>
      <c r="J8" t="s">
        <v>16</v>
      </c>
      <c r="K8" t="s">
        <v>33</v>
      </c>
      <c r="L8" t="s">
        <v>18</v>
      </c>
      <c r="M8" t="s">
        <v>41</v>
      </c>
      <c r="Q8" s="1"/>
    </row>
    <row r="9" spans="1:17" x14ac:dyDescent="0.3">
      <c r="A9">
        <v>7</v>
      </c>
      <c r="B9">
        <v>3</v>
      </c>
      <c r="C9" s="11">
        <v>46115</v>
      </c>
      <c r="D9" t="s">
        <v>13</v>
      </c>
      <c r="E9">
        <v>5000</v>
      </c>
      <c r="F9" s="11">
        <v>46206</v>
      </c>
      <c r="G9" t="s">
        <v>42</v>
      </c>
      <c r="H9" t="s">
        <v>26</v>
      </c>
      <c r="I9">
        <v>900</v>
      </c>
      <c r="J9" t="s">
        <v>16</v>
      </c>
      <c r="K9" t="s">
        <v>17</v>
      </c>
      <c r="L9" t="s">
        <v>34</v>
      </c>
      <c r="M9" t="s">
        <v>43</v>
      </c>
      <c r="Q9" s="1"/>
    </row>
    <row r="10" spans="1:17" x14ac:dyDescent="0.3">
      <c r="A10">
        <v>4</v>
      </c>
      <c r="B10">
        <v>0</v>
      </c>
      <c r="C10" s="11">
        <v>46143</v>
      </c>
      <c r="D10" t="s">
        <v>13</v>
      </c>
      <c r="E10">
        <v>900</v>
      </c>
      <c r="F10" s="11">
        <v>46235</v>
      </c>
      <c r="G10" t="s">
        <v>44</v>
      </c>
      <c r="H10" t="s">
        <v>45</v>
      </c>
      <c r="I10">
        <v>400</v>
      </c>
      <c r="J10" t="s">
        <v>16</v>
      </c>
      <c r="K10" t="s">
        <v>24</v>
      </c>
      <c r="L10" t="s">
        <v>25</v>
      </c>
      <c r="M10" t="s">
        <v>46</v>
      </c>
      <c r="Q10" s="1"/>
    </row>
    <row r="11" spans="1:17" x14ac:dyDescent="0.3">
      <c r="A11">
        <v>10</v>
      </c>
      <c r="B11">
        <v>4</v>
      </c>
      <c r="C11" s="11">
        <v>46268</v>
      </c>
      <c r="D11" t="s">
        <v>20</v>
      </c>
      <c r="E11">
        <v>300</v>
      </c>
      <c r="F11" s="11">
        <v>46026</v>
      </c>
      <c r="G11" t="s">
        <v>47</v>
      </c>
      <c r="H11" t="s">
        <v>30</v>
      </c>
      <c r="I11">
        <v>200</v>
      </c>
      <c r="J11" t="s">
        <v>23</v>
      </c>
      <c r="K11" t="s">
        <v>29</v>
      </c>
      <c r="L11" t="s">
        <v>18</v>
      </c>
      <c r="M11" t="s">
        <v>28</v>
      </c>
      <c r="Q11" s="1"/>
    </row>
    <row r="12" spans="1:17" x14ac:dyDescent="0.3">
      <c r="A12">
        <v>42</v>
      </c>
      <c r="B12">
        <v>18</v>
      </c>
      <c r="C12" s="11">
        <v>46177</v>
      </c>
      <c r="D12" t="s">
        <v>13</v>
      </c>
      <c r="E12">
        <v>300</v>
      </c>
      <c r="F12" s="11">
        <v>46207</v>
      </c>
      <c r="G12" t="s">
        <v>48</v>
      </c>
      <c r="H12" t="s">
        <v>49</v>
      </c>
      <c r="I12">
        <v>600</v>
      </c>
      <c r="J12" t="s">
        <v>16</v>
      </c>
      <c r="K12" t="s">
        <v>33</v>
      </c>
      <c r="L12" t="s">
        <v>18</v>
      </c>
      <c r="M12" t="s">
        <v>40</v>
      </c>
      <c r="Q12" s="1"/>
    </row>
    <row r="13" spans="1:17" x14ac:dyDescent="0.3">
      <c r="A13">
        <v>20</v>
      </c>
      <c r="B13">
        <v>8</v>
      </c>
      <c r="C13" s="11">
        <v>46085</v>
      </c>
      <c r="D13" t="s">
        <v>20</v>
      </c>
      <c r="E13">
        <v>1000</v>
      </c>
      <c r="F13" s="11">
        <v>46116</v>
      </c>
      <c r="G13" t="s">
        <v>50</v>
      </c>
      <c r="H13" t="s">
        <v>51</v>
      </c>
      <c r="I13">
        <v>1000</v>
      </c>
      <c r="J13" t="s">
        <v>23</v>
      </c>
      <c r="K13" t="s">
        <v>33</v>
      </c>
      <c r="L13" t="s">
        <v>34</v>
      </c>
      <c r="M13" t="s">
        <v>49</v>
      </c>
      <c r="Q13" s="1"/>
    </row>
    <row r="14" spans="1:17" x14ac:dyDescent="0.3">
      <c r="A14">
        <v>5</v>
      </c>
      <c r="B14">
        <v>2</v>
      </c>
      <c r="C14" s="11">
        <v>46236</v>
      </c>
      <c r="D14" t="s">
        <v>13</v>
      </c>
      <c r="E14">
        <v>8000</v>
      </c>
      <c r="F14" s="11" t="s">
        <v>52</v>
      </c>
      <c r="G14" t="s">
        <v>53</v>
      </c>
      <c r="H14" t="s">
        <v>54</v>
      </c>
      <c r="I14">
        <v>500</v>
      </c>
      <c r="J14" t="s">
        <v>23</v>
      </c>
      <c r="K14" t="s">
        <v>33</v>
      </c>
      <c r="L14" t="s">
        <v>18</v>
      </c>
      <c r="M14" t="s">
        <v>32</v>
      </c>
      <c r="Q14" s="1"/>
    </row>
    <row r="15" spans="1:17" x14ac:dyDescent="0.3">
      <c r="A15">
        <v>31</v>
      </c>
      <c r="B15">
        <v>12</v>
      </c>
      <c r="C15" s="11">
        <v>46238</v>
      </c>
      <c r="D15" t="s">
        <v>20</v>
      </c>
      <c r="E15">
        <v>400</v>
      </c>
      <c r="F15" s="11">
        <v>46177</v>
      </c>
      <c r="G15" t="s">
        <v>55</v>
      </c>
      <c r="H15" t="s">
        <v>49</v>
      </c>
      <c r="I15">
        <v>600</v>
      </c>
      <c r="J15" t="s">
        <v>16</v>
      </c>
      <c r="K15" t="s">
        <v>17</v>
      </c>
      <c r="L15" t="s">
        <v>18</v>
      </c>
      <c r="M15" t="s">
        <v>19</v>
      </c>
      <c r="Q15" s="1"/>
    </row>
    <row r="16" spans="1:17" x14ac:dyDescent="0.3">
      <c r="A16">
        <v>2</v>
      </c>
      <c r="B16">
        <v>1</v>
      </c>
      <c r="C16" s="11" t="s">
        <v>56</v>
      </c>
      <c r="D16" t="s">
        <v>13</v>
      </c>
      <c r="E16">
        <v>4000</v>
      </c>
      <c r="F16" s="11">
        <v>46055</v>
      </c>
      <c r="G16" t="s">
        <v>57</v>
      </c>
      <c r="H16" t="s">
        <v>58</v>
      </c>
      <c r="I16">
        <v>200</v>
      </c>
      <c r="J16" t="s">
        <v>23</v>
      </c>
      <c r="K16" t="s">
        <v>33</v>
      </c>
      <c r="L16" t="s">
        <v>25</v>
      </c>
      <c r="M16" t="s">
        <v>46</v>
      </c>
      <c r="Q16" s="1"/>
    </row>
    <row r="17" spans="1:17" x14ac:dyDescent="0.3">
      <c r="A17">
        <v>17</v>
      </c>
      <c r="B17">
        <v>7</v>
      </c>
      <c r="C17" s="11">
        <v>46026</v>
      </c>
      <c r="D17" t="s">
        <v>20</v>
      </c>
      <c r="E17">
        <v>900</v>
      </c>
      <c r="F17" s="11">
        <v>46057</v>
      </c>
      <c r="G17" t="s">
        <v>59</v>
      </c>
      <c r="H17" t="s">
        <v>15</v>
      </c>
      <c r="I17">
        <v>100</v>
      </c>
      <c r="J17" t="s">
        <v>23</v>
      </c>
      <c r="K17" t="s">
        <v>17</v>
      </c>
      <c r="L17" t="s">
        <v>18</v>
      </c>
      <c r="M17" t="s">
        <v>30</v>
      </c>
      <c r="Q17" s="1"/>
    </row>
    <row r="18" spans="1:17" x14ac:dyDescent="0.3">
      <c r="A18">
        <v>14</v>
      </c>
      <c r="B18">
        <v>6</v>
      </c>
      <c r="C18" s="11">
        <v>46176</v>
      </c>
      <c r="D18" t="s">
        <v>13</v>
      </c>
      <c r="E18">
        <v>200</v>
      </c>
      <c r="F18" s="11">
        <v>46115</v>
      </c>
      <c r="G18" t="s">
        <v>60</v>
      </c>
      <c r="H18" t="s">
        <v>43</v>
      </c>
      <c r="I18">
        <v>900</v>
      </c>
      <c r="J18" t="s">
        <v>16</v>
      </c>
      <c r="K18" t="s">
        <v>33</v>
      </c>
      <c r="L18" t="s">
        <v>18</v>
      </c>
      <c r="M18" t="s">
        <v>61</v>
      </c>
      <c r="Q18" s="1"/>
    </row>
    <row r="19" spans="1:17" x14ac:dyDescent="0.3">
      <c r="A19">
        <v>9</v>
      </c>
      <c r="B19">
        <v>3</v>
      </c>
      <c r="C19" s="11">
        <v>46084</v>
      </c>
      <c r="D19" t="s">
        <v>20</v>
      </c>
      <c r="E19">
        <v>2000</v>
      </c>
      <c r="F19" s="11">
        <v>46145</v>
      </c>
      <c r="G19" t="s">
        <v>62</v>
      </c>
      <c r="H19" t="s">
        <v>61</v>
      </c>
      <c r="I19">
        <v>800</v>
      </c>
      <c r="J19" t="s">
        <v>16</v>
      </c>
      <c r="K19" t="s">
        <v>17</v>
      </c>
      <c r="L19" t="s">
        <v>18</v>
      </c>
      <c r="M19" t="s">
        <v>63</v>
      </c>
      <c r="Q19" s="1"/>
    </row>
    <row r="20" spans="1:17" x14ac:dyDescent="0.3">
      <c r="A20">
        <v>23</v>
      </c>
      <c r="B20">
        <v>9</v>
      </c>
      <c r="C20" s="11" t="s">
        <v>64</v>
      </c>
      <c r="D20" t="s">
        <v>13</v>
      </c>
      <c r="E20">
        <v>6000</v>
      </c>
      <c r="F20" s="11">
        <v>46057</v>
      </c>
      <c r="G20" t="s">
        <v>65</v>
      </c>
      <c r="H20" t="s">
        <v>19</v>
      </c>
      <c r="I20">
        <v>600</v>
      </c>
      <c r="J20" t="s">
        <v>23</v>
      </c>
      <c r="K20" t="s">
        <v>17</v>
      </c>
      <c r="L20" t="s">
        <v>25</v>
      </c>
      <c r="M20" t="s">
        <v>19</v>
      </c>
      <c r="Q20" s="1"/>
    </row>
    <row r="21" spans="1:17" x14ac:dyDescent="0.3">
      <c r="A21">
        <v>3</v>
      </c>
      <c r="B21">
        <v>1</v>
      </c>
      <c r="C21" s="11">
        <v>46204</v>
      </c>
      <c r="D21" t="s">
        <v>13</v>
      </c>
      <c r="E21">
        <v>500</v>
      </c>
      <c r="F21" s="11" t="s">
        <v>56</v>
      </c>
      <c r="G21" t="s">
        <v>66</v>
      </c>
      <c r="H21" t="s">
        <v>67</v>
      </c>
      <c r="I21">
        <v>700</v>
      </c>
      <c r="J21" t="s">
        <v>16</v>
      </c>
      <c r="K21" t="s">
        <v>24</v>
      </c>
      <c r="L21" t="s">
        <v>25</v>
      </c>
      <c r="M21" t="s">
        <v>46</v>
      </c>
      <c r="Q21" s="1"/>
    </row>
    <row r="22" spans="1:17" x14ac:dyDescent="0.3">
      <c r="A22">
        <v>28</v>
      </c>
      <c r="B22">
        <v>11</v>
      </c>
      <c r="C22" s="11">
        <v>46146</v>
      </c>
      <c r="D22" t="s">
        <v>20</v>
      </c>
      <c r="E22">
        <v>7000</v>
      </c>
      <c r="F22" s="11">
        <v>46146</v>
      </c>
      <c r="G22" t="s">
        <v>68</v>
      </c>
      <c r="H22" t="s">
        <v>19</v>
      </c>
      <c r="I22">
        <v>10000</v>
      </c>
      <c r="J22" t="s">
        <v>23</v>
      </c>
      <c r="K22" t="s">
        <v>17</v>
      </c>
      <c r="L22" t="s">
        <v>25</v>
      </c>
      <c r="M22" t="s">
        <v>41</v>
      </c>
      <c r="Q22" s="1"/>
    </row>
    <row r="23" spans="1:17" x14ac:dyDescent="0.3">
      <c r="A23">
        <v>16</v>
      </c>
      <c r="B23">
        <v>6</v>
      </c>
      <c r="C23" s="11">
        <v>46206</v>
      </c>
      <c r="D23" t="s">
        <v>13</v>
      </c>
      <c r="E23">
        <v>700</v>
      </c>
      <c r="F23" s="11">
        <v>46237</v>
      </c>
      <c r="G23" t="s">
        <v>69</v>
      </c>
      <c r="H23" t="s">
        <v>28</v>
      </c>
      <c r="I23">
        <v>300</v>
      </c>
      <c r="J23" t="s">
        <v>16</v>
      </c>
      <c r="K23" t="s">
        <v>24</v>
      </c>
      <c r="L23" t="s">
        <v>25</v>
      </c>
      <c r="M23" t="s">
        <v>28</v>
      </c>
      <c r="Q23" s="1"/>
    </row>
    <row r="24" spans="1:17" x14ac:dyDescent="0.3">
      <c r="A24">
        <v>11</v>
      </c>
      <c r="B24">
        <v>5</v>
      </c>
      <c r="C24" s="11">
        <v>46057</v>
      </c>
      <c r="D24" t="s">
        <v>20</v>
      </c>
      <c r="E24">
        <v>100</v>
      </c>
      <c r="F24" s="11">
        <v>46085</v>
      </c>
      <c r="G24" t="s">
        <v>70</v>
      </c>
      <c r="H24" t="s">
        <v>49</v>
      </c>
      <c r="I24">
        <v>200</v>
      </c>
      <c r="J24" t="s">
        <v>23</v>
      </c>
      <c r="K24" t="s">
        <v>29</v>
      </c>
      <c r="L24" t="s">
        <v>18</v>
      </c>
      <c r="M24" t="s">
        <v>15</v>
      </c>
      <c r="Q24" s="1"/>
    </row>
    <row r="25" spans="1:17" x14ac:dyDescent="0.3">
      <c r="A25">
        <v>36</v>
      </c>
      <c r="B25">
        <v>14</v>
      </c>
      <c r="C25" s="11">
        <v>46207</v>
      </c>
      <c r="D25" t="s">
        <v>13</v>
      </c>
      <c r="E25">
        <v>100</v>
      </c>
      <c r="F25" s="11">
        <v>46177</v>
      </c>
      <c r="G25" t="s">
        <v>71</v>
      </c>
      <c r="H25" t="s">
        <v>30</v>
      </c>
      <c r="I25">
        <v>900</v>
      </c>
      <c r="J25" t="s">
        <v>16</v>
      </c>
      <c r="K25" t="s">
        <v>33</v>
      </c>
      <c r="L25" t="s">
        <v>18</v>
      </c>
      <c r="M25" t="s">
        <v>49</v>
      </c>
      <c r="Q25" s="1"/>
    </row>
    <row r="26" spans="1:17" x14ac:dyDescent="0.3">
      <c r="A26">
        <v>19</v>
      </c>
      <c r="B26">
        <v>8</v>
      </c>
      <c r="C26" s="11">
        <v>46116</v>
      </c>
      <c r="D26" t="s">
        <v>20</v>
      </c>
      <c r="E26">
        <v>4000</v>
      </c>
      <c r="F26" s="11">
        <v>46146</v>
      </c>
      <c r="G26" t="s">
        <v>72</v>
      </c>
      <c r="H26" t="s">
        <v>15</v>
      </c>
      <c r="I26">
        <v>800</v>
      </c>
      <c r="J26" t="s">
        <v>16</v>
      </c>
      <c r="K26" t="s">
        <v>33</v>
      </c>
      <c r="L26" t="s">
        <v>34</v>
      </c>
      <c r="M26" t="s">
        <v>19</v>
      </c>
      <c r="Q26" s="1"/>
    </row>
    <row r="27" spans="1:17" x14ac:dyDescent="0.3">
      <c r="A27">
        <v>22</v>
      </c>
      <c r="B27">
        <v>9</v>
      </c>
      <c r="C27" s="11">
        <v>46177</v>
      </c>
      <c r="D27" t="s">
        <v>20</v>
      </c>
      <c r="E27">
        <v>3000</v>
      </c>
      <c r="F27" s="11">
        <v>46207</v>
      </c>
      <c r="G27" t="s">
        <v>73</v>
      </c>
      <c r="H27" t="s">
        <v>49</v>
      </c>
      <c r="I27">
        <v>800</v>
      </c>
      <c r="J27" t="s">
        <v>16</v>
      </c>
      <c r="K27" t="s">
        <v>17</v>
      </c>
      <c r="L27" t="s">
        <v>18</v>
      </c>
      <c r="M27" t="s">
        <v>19</v>
      </c>
      <c r="Q27" s="1"/>
    </row>
    <row r="28" spans="1:17" x14ac:dyDescent="0.3">
      <c r="A28">
        <v>13</v>
      </c>
      <c r="B28">
        <v>5</v>
      </c>
      <c r="C28" s="11">
        <v>46145</v>
      </c>
      <c r="D28" t="s">
        <v>13</v>
      </c>
      <c r="E28">
        <v>800</v>
      </c>
      <c r="F28" s="11">
        <v>46176</v>
      </c>
      <c r="G28" t="s">
        <v>74</v>
      </c>
      <c r="H28" t="s">
        <v>28</v>
      </c>
      <c r="I28">
        <v>400</v>
      </c>
      <c r="J28" t="s">
        <v>23</v>
      </c>
      <c r="K28" t="s">
        <v>17</v>
      </c>
      <c r="L28" t="s">
        <v>18</v>
      </c>
      <c r="M28" t="s">
        <v>30</v>
      </c>
      <c r="Q28" s="1"/>
    </row>
    <row r="29" spans="1:17" x14ac:dyDescent="0.3">
      <c r="A29">
        <v>8</v>
      </c>
      <c r="B29">
        <v>3</v>
      </c>
      <c r="C29" s="11">
        <v>46267</v>
      </c>
      <c r="D29" t="s">
        <v>20</v>
      </c>
      <c r="E29">
        <v>200</v>
      </c>
      <c r="F29" s="11" t="s">
        <v>52</v>
      </c>
      <c r="G29" t="s">
        <v>44</v>
      </c>
      <c r="H29" t="s">
        <v>32</v>
      </c>
      <c r="I29">
        <v>300</v>
      </c>
      <c r="J29" t="s">
        <v>16</v>
      </c>
      <c r="K29" t="s">
        <v>33</v>
      </c>
      <c r="L29" t="s">
        <v>25</v>
      </c>
      <c r="M29" t="s">
        <v>46</v>
      </c>
      <c r="Q29" s="1"/>
    </row>
    <row r="30" spans="1:17" x14ac:dyDescent="0.3">
      <c r="A30">
        <v>27</v>
      </c>
      <c r="B30">
        <v>11</v>
      </c>
      <c r="C30" s="11">
        <v>46116</v>
      </c>
      <c r="D30" t="s">
        <v>13</v>
      </c>
      <c r="E30">
        <v>1000</v>
      </c>
      <c r="F30" s="11">
        <v>46146</v>
      </c>
      <c r="G30" t="s">
        <v>50</v>
      </c>
      <c r="H30" t="s">
        <v>15</v>
      </c>
      <c r="I30">
        <v>1000</v>
      </c>
      <c r="J30" t="s">
        <v>23</v>
      </c>
      <c r="K30" t="s">
        <v>17</v>
      </c>
      <c r="L30" t="s">
        <v>34</v>
      </c>
      <c r="M30" t="s">
        <v>49</v>
      </c>
      <c r="Q30" s="1"/>
    </row>
    <row r="31" spans="1:17" x14ac:dyDescent="0.3">
      <c r="A31">
        <v>6</v>
      </c>
      <c r="B31">
        <v>2</v>
      </c>
      <c r="C31" s="11">
        <v>46144</v>
      </c>
      <c r="D31" t="s">
        <v>13</v>
      </c>
      <c r="E31">
        <v>5000</v>
      </c>
      <c r="F31" s="11">
        <v>46205</v>
      </c>
      <c r="G31" t="s">
        <v>71</v>
      </c>
      <c r="H31" t="s">
        <v>45</v>
      </c>
      <c r="I31">
        <v>500</v>
      </c>
      <c r="J31" t="s">
        <v>16</v>
      </c>
      <c r="K31" t="s">
        <v>33</v>
      </c>
      <c r="L31" t="s">
        <v>25</v>
      </c>
      <c r="M31" t="s">
        <v>32</v>
      </c>
      <c r="Q31" s="1"/>
    </row>
    <row r="32" spans="1:17" x14ac:dyDescent="0.3">
      <c r="A32">
        <v>39</v>
      </c>
      <c r="B32">
        <v>16</v>
      </c>
      <c r="C32" s="11">
        <v>46238</v>
      </c>
      <c r="D32" t="s">
        <v>20</v>
      </c>
      <c r="E32">
        <v>2000</v>
      </c>
      <c r="F32" s="11">
        <v>46238</v>
      </c>
      <c r="G32" t="s">
        <v>66</v>
      </c>
      <c r="H32" t="s">
        <v>19</v>
      </c>
      <c r="I32">
        <v>800</v>
      </c>
      <c r="J32" t="s">
        <v>16</v>
      </c>
      <c r="K32" t="s">
        <v>33</v>
      </c>
      <c r="L32" t="s">
        <v>18</v>
      </c>
      <c r="M32" t="s">
        <v>40</v>
      </c>
      <c r="Q32" s="1"/>
    </row>
    <row r="33" spans="1:17" x14ac:dyDescent="0.3">
      <c r="A33">
        <v>4</v>
      </c>
      <c r="B33">
        <v>1</v>
      </c>
      <c r="C33" s="11">
        <v>46235</v>
      </c>
      <c r="D33" t="s">
        <v>20</v>
      </c>
      <c r="E33">
        <v>900</v>
      </c>
      <c r="F33" s="11" t="s">
        <v>56</v>
      </c>
      <c r="G33" t="s">
        <v>31</v>
      </c>
      <c r="H33" t="s">
        <v>58</v>
      </c>
      <c r="I33">
        <v>400</v>
      </c>
      <c r="J33" t="s">
        <v>16</v>
      </c>
      <c r="K33" t="s">
        <v>24</v>
      </c>
      <c r="L33" t="s">
        <v>34</v>
      </c>
      <c r="M33" t="s">
        <v>46</v>
      </c>
      <c r="Q33" s="1"/>
    </row>
    <row r="34" spans="1:17" x14ac:dyDescent="0.3">
      <c r="A34">
        <v>19</v>
      </c>
      <c r="B34">
        <v>7</v>
      </c>
      <c r="C34" s="11">
        <v>46057</v>
      </c>
      <c r="D34" t="s">
        <v>13</v>
      </c>
      <c r="E34">
        <v>700</v>
      </c>
      <c r="F34" s="11">
        <v>46085</v>
      </c>
      <c r="G34" t="s">
        <v>14</v>
      </c>
      <c r="H34" t="s">
        <v>30</v>
      </c>
      <c r="I34">
        <v>200</v>
      </c>
      <c r="J34" t="s">
        <v>16</v>
      </c>
      <c r="K34" t="s">
        <v>17</v>
      </c>
      <c r="L34" t="s">
        <v>18</v>
      </c>
      <c r="M34" t="s">
        <v>15</v>
      </c>
      <c r="Q34" s="1"/>
    </row>
    <row r="35" spans="1:17" x14ac:dyDescent="0.3">
      <c r="A35">
        <v>9</v>
      </c>
      <c r="B35">
        <v>4</v>
      </c>
      <c r="C35" s="11">
        <v>46025</v>
      </c>
      <c r="D35" t="s">
        <v>20</v>
      </c>
      <c r="E35">
        <v>6000</v>
      </c>
      <c r="F35" s="11">
        <v>46084</v>
      </c>
      <c r="G35" t="s">
        <v>42</v>
      </c>
      <c r="H35" t="s">
        <v>43</v>
      </c>
      <c r="I35">
        <v>900</v>
      </c>
      <c r="J35" t="s">
        <v>23</v>
      </c>
      <c r="K35" t="s">
        <v>17</v>
      </c>
      <c r="L35" t="s">
        <v>34</v>
      </c>
      <c r="M35" t="s">
        <v>61</v>
      </c>
      <c r="Q35" s="1"/>
    </row>
    <row r="36" spans="1:17" x14ac:dyDescent="0.3">
      <c r="A36">
        <v>32</v>
      </c>
      <c r="B36">
        <v>13</v>
      </c>
      <c r="C36" s="11">
        <v>46207</v>
      </c>
      <c r="D36" t="s">
        <v>13</v>
      </c>
      <c r="E36">
        <v>100</v>
      </c>
      <c r="F36" s="11">
        <v>46238</v>
      </c>
      <c r="G36" t="s">
        <v>39</v>
      </c>
      <c r="H36" t="s">
        <v>19</v>
      </c>
      <c r="I36">
        <v>700</v>
      </c>
      <c r="J36" t="s">
        <v>16</v>
      </c>
      <c r="K36" t="s">
        <v>33</v>
      </c>
      <c r="L36" t="s">
        <v>18</v>
      </c>
      <c r="M36" t="s">
        <v>19</v>
      </c>
      <c r="Q36" s="1"/>
    </row>
    <row r="37" spans="1:17" x14ac:dyDescent="0.3">
      <c r="A37">
        <v>14</v>
      </c>
      <c r="B37">
        <v>6</v>
      </c>
      <c r="C37" s="11">
        <v>46176</v>
      </c>
      <c r="D37" t="s">
        <v>20</v>
      </c>
      <c r="E37">
        <v>500</v>
      </c>
      <c r="F37" s="11">
        <v>46237</v>
      </c>
      <c r="G37" t="s">
        <v>75</v>
      </c>
      <c r="H37" t="s">
        <v>63</v>
      </c>
      <c r="I37">
        <v>300</v>
      </c>
      <c r="J37" t="s">
        <v>16</v>
      </c>
      <c r="K37" t="s">
        <v>17</v>
      </c>
      <c r="L37" t="s">
        <v>18</v>
      </c>
      <c r="M37" t="s">
        <v>28</v>
      </c>
      <c r="Q37" s="1"/>
    </row>
    <row r="38" spans="1:17" x14ac:dyDescent="0.3">
      <c r="A38">
        <v>7</v>
      </c>
      <c r="B38">
        <v>2</v>
      </c>
      <c r="C38" s="11">
        <v>46083</v>
      </c>
      <c r="D38" t="s">
        <v>13</v>
      </c>
      <c r="E38">
        <v>2000</v>
      </c>
      <c r="F38" s="11">
        <v>46144</v>
      </c>
      <c r="G38" t="s">
        <v>35</v>
      </c>
      <c r="H38" t="s">
        <v>67</v>
      </c>
      <c r="I38">
        <v>700</v>
      </c>
      <c r="J38" t="s">
        <v>23</v>
      </c>
      <c r="K38" t="s">
        <v>33</v>
      </c>
      <c r="L38" t="s">
        <v>25</v>
      </c>
      <c r="M38" t="s">
        <v>46</v>
      </c>
      <c r="Q38" s="1"/>
    </row>
    <row r="39" spans="1:17" x14ac:dyDescent="0.3">
      <c r="A39">
        <v>18</v>
      </c>
      <c r="B39">
        <v>8</v>
      </c>
      <c r="C39" s="11" t="s">
        <v>64</v>
      </c>
      <c r="D39" t="s">
        <v>13</v>
      </c>
      <c r="E39">
        <v>300</v>
      </c>
      <c r="F39" s="11">
        <v>46057</v>
      </c>
      <c r="G39" t="s">
        <v>55</v>
      </c>
      <c r="H39" t="s">
        <v>15</v>
      </c>
      <c r="I39">
        <v>100</v>
      </c>
      <c r="J39" t="s">
        <v>16</v>
      </c>
      <c r="K39" t="s">
        <v>17</v>
      </c>
      <c r="L39" t="s">
        <v>18</v>
      </c>
      <c r="M39" t="s">
        <v>19</v>
      </c>
      <c r="Q39" s="1"/>
    </row>
    <row r="40" spans="1:17" x14ac:dyDescent="0.3">
      <c r="A40">
        <v>23</v>
      </c>
      <c r="B40">
        <v>10</v>
      </c>
      <c r="C40" s="11">
        <v>46146</v>
      </c>
      <c r="D40" t="s">
        <v>20</v>
      </c>
      <c r="E40">
        <v>4000</v>
      </c>
      <c r="F40" s="11">
        <v>46177</v>
      </c>
      <c r="G40" t="s">
        <v>53</v>
      </c>
      <c r="H40" t="s">
        <v>19</v>
      </c>
      <c r="I40">
        <v>100</v>
      </c>
      <c r="J40" t="s">
        <v>23</v>
      </c>
      <c r="K40" t="s">
        <v>33</v>
      </c>
      <c r="L40" t="s">
        <v>34</v>
      </c>
      <c r="M40" t="s">
        <v>41</v>
      </c>
      <c r="Q40" s="1"/>
    </row>
    <row r="41" spans="1:17" x14ac:dyDescent="0.3">
      <c r="A41">
        <v>11</v>
      </c>
      <c r="B41">
        <v>3</v>
      </c>
      <c r="C41" s="11">
        <v>46236</v>
      </c>
      <c r="D41" t="s">
        <v>13</v>
      </c>
      <c r="E41">
        <v>600</v>
      </c>
      <c r="F41" s="11" t="s">
        <v>52</v>
      </c>
      <c r="G41" t="s">
        <v>48</v>
      </c>
      <c r="H41" t="s">
        <v>26</v>
      </c>
      <c r="I41">
        <v>400</v>
      </c>
      <c r="J41" t="s">
        <v>16</v>
      </c>
      <c r="K41" t="s">
        <v>24</v>
      </c>
      <c r="L41" t="s">
        <v>25</v>
      </c>
      <c r="M41" t="s">
        <v>32</v>
      </c>
      <c r="Q41" s="1"/>
    </row>
    <row r="42" spans="1:17" x14ac:dyDescent="0.3">
      <c r="A42">
        <v>26</v>
      </c>
      <c r="B42">
        <v>11</v>
      </c>
      <c r="C42" s="11">
        <v>46057</v>
      </c>
      <c r="D42" t="s">
        <v>20</v>
      </c>
      <c r="E42">
        <v>100</v>
      </c>
      <c r="F42" s="11">
        <v>46116</v>
      </c>
      <c r="G42" t="s">
        <v>21</v>
      </c>
      <c r="H42" t="s">
        <v>15</v>
      </c>
      <c r="I42">
        <v>300</v>
      </c>
      <c r="J42" t="s">
        <v>16</v>
      </c>
      <c r="K42" t="s">
        <v>17</v>
      </c>
      <c r="L42" t="s">
        <v>18</v>
      </c>
      <c r="M42" t="s">
        <v>19</v>
      </c>
      <c r="Q42" s="1"/>
    </row>
    <row r="43" spans="1:17" x14ac:dyDescent="0.3">
      <c r="A43">
        <v>17</v>
      </c>
      <c r="B43">
        <v>7</v>
      </c>
      <c r="C43" s="11">
        <v>46268</v>
      </c>
      <c r="D43" t="s">
        <v>13</v>
      </c>
      <c r="E43">
        <v>5000</v>
      </c>
      <c r="F43" s="11" t="s">
        <v>64</v>
      </c>
      <c r="G43" t="s">
        <v>76</v>
      </c>
      <c r="H43" t="s">
        <v>30</v>
      </c>
      <c r="I43">
        <v>900</v>
      </c>
      <c r="J43" t="s">
        <v>23</v>
      </c>
      <c r="K43" t="s">
        <v>17</v>
      </c>
      <c r="L43" t="s">
        <v>18</v>
      </c>
      <c r="M43" t="s">
        <v>15</v>
      </c>
      <c r="Q43" s="1"/>
    </row>
    <row r="44" spans="1:17" x14ac:dyDescent="0.3">
      <c r="A44">
        <v>12</v>
      </c>
      <c r="B44">
        <v>5</v>
      </c>
      <c r="C44" s="11">
        <v>46056</v>
      </c>
      <c r="D44" t="s">
        <v>20</v>
      </c>
      <c r="E44">
        <v>2000</v>
      </c>
      <c r="F44" s="11">
        <v>46084</v>
      </c>
      <c r="G44" t="s">
        <v>77</v>
      </c>
      <c r="H44" t="s">
        <v>61</v>
      </c>
      <c r="I44">
        <v>600</v>
      </c>
      <c r="J44" t="s">
        <v>23</v>
      </c>
      <c r="K44" t="s">
        <v>17</v>
      </c>
      <c r="L44" t="s">
        <v>18</v>
      </c>
      <c r="M44" t="s">
        <v>63</v>
      </c>
      <c r="Q44" s="1"/>
    </row>
    <row r="45" spans="1:17" x14ac:dyDescent="0.3">
      <c r="A45">
        <v>5</v>
      </c>
      <c r="B45">
        <v>1</v>
      </c>
      <c r="C45" s="11">
        <v>46266</v>
      </c>
      <c r="D45" t="s">
        <v>13</v>
      </c>
      <c r="E45">
        <v>900</v>
      </c>
      <c r="F45" s="11" t="s">
        <v>56</v>
      </c>
      <c r="G45" t="s">
        <v>78</v>
      </c>
      <c r="H45" t="s">
        <v>45</v>
      </c>
      <c r="I45">
        <v>400</v>
      </c>
      <c r="J45" t="s">
        <v>16</v>
      </c>
      <c r="K45" t="s">
        <v>24</v>
      </c>
      <c r="L45" t="s">
        <v>25</v>
      </c>
      <c r="M45" t="s">
        <v>46</v>
      </c>
      <c r="Q45" s="1"/>
    </row>
    <row r="46" spans="1:17" x14ac:dyDescent="0.3">
      <c r="A46">
        <v>31</v>
      </c>
      <c r="B46">
        <v>12</v>
      </c>
      <c r="C46" s="11">
        <v>46085</v>
      </c>
      <c r="D46" t="s">
        <v>20</v>
      </c>
      <c r="E46">
        <v>7000</v>
      </c>
      <c r="F46" s="11">
        <v>46146</v>
      </c>
      <c r="G46" t="s">
        <v>39</v>
      </c>
      <c r="H46" t="s">
        <v>19</v>
      </c>
      <c r="I46">
        <v>10000</v>
      </c>
      <c r="J46" t="s">
        <v>23</v>
      </c>
      <c r="K46" t="s">
        <v>17</v>
      </c>
      <c r="L46" t="s">
        <v>25</v>
      </c>
      <c r="M46" t="s">
        <v>41</v>
      </c>
      <c r="Q46" s="1"/>
    </row>
    <row r="47" spans="1:17" x14ac:dyDescent="0.3">
      <c r="A47">
        <v>10</v>
      </c>
      <c r="B47">
        <v>4</v>
      </c>
      <c r="C47" s="11" t="s">
        <v>52</v>
      </c>
      <c r="D47" t="s">
        <v>13</v>
      </c>
      <c r="E47">
        <v>300</v>
      </c>
      <c r="F47" s="11">
        <v>46056</v>
      </c>
      <c r="G47" t="s">
        <v>72</v>
      </c>
      <c r="H47" t="s">
        <v>32</v>
      </c>
      <c r="I47">
        <v>100</v>
      </c>
      <c r="J47" t="s">
        <v>16</v>
      </c>
      <c r="K47" t="s">
        <v>33</v>
      </c>
      <c r="L47" t="s">
        <v>34</v>
      </c>
      <c r="M47" t="s">
        <v>32</v>
      </c>
      <c r="Q47" s="1"/>
    </row>
    <row r="48" spans="1:17" x14ac:dyDescent="0.3">
      <c r="A48">
        <v>20</v>
      </c>
      <c r="B48">
        <v>9</v>
      </c>
      <c r="C48" s="11">
        <v>46085</v>
      </c>
      <c r="D48" t="s">
        <v>20</v>
      </c>
      <c r="E48">
        <v>600</v>
      </c>
      <c r="F48" s="11">
        <v>46146</v>
      </c>
      <c r="G48" t="s">
        <v>31</v>
      </c>
      <c r="H48" t="s">
        <v>30</v>
      </c>
      <c r="I48">
        <v>200</v>
      </c>
      <c r="J48" t="s">
        <v>16</v>
      </c>
      <c r="K48" t="s">
        <v>17</v>
      </c>
      <c r="L48" t="s">
        <v>18</v>
      </c>
      <c r="M48" t="s">
        <v>15</v>
      </c>
      <c r="Q48" s="1"/>
    </row>
    <row r="49" spans="1:17" x14ac:dyDescent="0.3">
      <c r="A49">
        <v>16</v>
      </c>
      <c r="B49">
        <v>6</v>
      </c>
      <c r="C49" s="11">
        <v>46206</v>
      </c>
      <c r="D49" t="s">
        <v>13</v>
      </c>
      <c r="E49">
        <v>4000</v>
      </c>
      <c r="F49" s="11">
        <v>46237</v>
      </c>
      <c r="G49" t="s">
        <v>42</v>
      </c>
      <c r="H49" t="s">
        <v>28</v>
      </c>
      <c r="I49">
        <v>800</v>
      </c>
      <c r="J49" t="s">
        <v>23</v>
      </c>
      <c r="K49" t="s">
        <v>33</v>
      </c>
      <c r="L49" t="s">
        <v>25</v>
      </c>
      <c r="M49" t="s">
        <v>15</v>
      </c>
      <c r="Q49" s="1"/>
    </row>
    <row r="50" spans="1:17" x14ac:dyDescent="0.3">
      <c r="A50">
        <v>29</v>
      </c>
      <c r="B50">
        <v>12</v>
      </c>
      <c r="C50" s="11">
        <v>46177</v>
      </c>
      <c r="D50" t="s">
        <v>20</v>
      </c>
      <c r="E50">
        <v>500</v>
      </c>
      <c r="F50" s="11">
        <v>46207</v>
      </c>
      <c r="G50" t="s">
        <v>79</v>
      </c>
      <c r="H50" t="s">
        <v>19</v>
      </c>
      <c r="I50">
        <v>700</v>
      </c>
      <c r="J50" t="s">
        <v>16</v>
      </c>
      <c r="K50" t="s">
        <v>17</v>
      </c>
      <c r="L50" t="s">
        <v>18</v>
      </c>
      <c r="M50" t="s">
        <v>40</v>
      </c>
      <c r="Q50" s="1"/>
    </row>
    <row r="51" spans="1:17" x14ac:dyDescent="0.3">
      <c r="A51">
        <v>24</v>
      </c>
      <c r="B51">
        <v>10</v>
      </c>
      <c r="C51" s="11">
        <v>46116</v>
      </c>
      <c r="D51" t="s">
        <v>13</v>
      </c>
      <c r="E51">
        <v>200</v>
      </c>
      <c r="F51" s="11">
        <v>46146</v>
      </c>
      <c r="G51" t="s">
        <v>44</v>
      </c>
      <c r="H51" t="s">
        <v>15</v>
      </c>
      <c r="I51">
        <v>300</v>
      </c>
      <c r="J51" t="s">
        <v>16</v>
      </c>
      <c r="K51" t="s">
        <v>33</v>
      </c>
      <c r="L51" t="s">
        <v>25</v>
      </c>
      <c r="M51" t="s">
        <v>19</v>
      </c>
      <c r="Q51" s="1"/>
    </row>
    <row r="52" spans="1:17" x14ac:dyDescent="0.3">
      <c r="A52">
        <v>8</v>
      </c>
      <c r="B52">
        <v>3</v>
      </c>
      <c r="C52" s="11">
        <v>46056</v>
      </c>
      <c r="D52" t="s">
        <v>20</v>
      </c>
      <c r="E52">
        <v>4000</v>
      </c>
      <c r="F52" s="11">
        <v>46115</v>
      </c>
      <c r="G52" t="s">
        <v>66</v>
      </c>
      <c r="H52" t="s">
        <v>61</v>
      </c>
      <c r="I52">
        <v>900</v>
      </c>
      <c r="J52" t="s">
        <v>23</v>
      </c>
      <c r="K52" t="s">
        <v>17</v>
      </c>
      <c r="L52" t="s">
        <v>18</v>
      </c>
      <c r="M52" t="s">
        <v>63</v>
      </c>
      <c r="Q52" s="1"/>
    </row>
    <row r="53" spans="1:17" x14ac:dyDescent="0.3">
      <c r="A53">
        <v>21</v>
      </c>
      <c r="B53">
        <v>9</v>
      </c>
      <c r="C53" s="11">
        <v>46026</v>
      </c>
      <c r="D53" t="s">
        <v>13</v>
      </c>
      <c r="E53">
        <v>500</v>
      </c>
      <c r="F53" s="11">
        <v>46085</v>
      </c>
      <c r="G53" t="s">
        <v>78</v>
      </c>
      <c r="H53" t="s">
        <v>15</v>
      </c>
      <c r="I53">
        <v>200</v>
      </c>
      <c r="J53" t="s">
        <v>16</v>
      </c>
      <c r="K53" t="s">
        <v>33</v>
      </c>
      <c r="L53" t="s">
        <v>34</v>
      </c>
      <c r="M53" t="s">
        <v>19</v>
      </c>
      <c r="Q53" s="1"/>
    </row>
    <row r="54" spans="1:17" x14ac:dyDescent="0.3">
      <c r="A54">
        <v>5</v>
      </c>
      <c r="B54">
        <v>2</v>
      </c>
      <c r="C54" s="11">
        <v>46175</v>
      </c>
      <c r="D54" t="s">
        <v>13</v>
      </c>
      <c r="E54">
        <v>700</v>
      </c>
      <c r="F54" s="11">
        <v>46236</v>
      </c>
      <c r="G54" t="s">
        <v>55</v>
      </c>
      <c r="H54" t="s">
        <v>58</v>
      </c>
      <c r="I54">
        <v>500</v>
      </c>
      <c r="J54" t="s">
        <v>16</v>
      </c>
      <c r="K54" t="s">
        <v>17</v>
      </c>
      <c r="L54" t="s">
        <v>18</v>
      </c>
      <c r="M54" t="s">
        <v>46</v>
      </c>
      <c r="Q54" s="1"/>
    </row>
    <row r="55" spans="1:17" x14ac:dyDescent="0.3">
      <c r="A55">
        <v>17</v>
      </c>
      <c r="B55">
        <v>7</v>
      </c>
      <c r="C55" s="11">
        <v>46268</v>
      </c>
      <c r="D55" t="s">
        <v>20</v>
      </c>
      <c r="E55">
        <v>3000</v>
      </c>
      <c r="F55" s="11" t="s">
        <v>64</v>
      </c>
      <c r="G55" t="s">
        <v>75</v>
      </c>
      <c r="H55" t="s">
        <v>30</v>
      </c>
      <c r="I55">
        <v>600</v>
      </c>
      <c r="J55" t="s">
        <v>23</v>
      </c>
      <c r="K55" t="s">
        <v>33</v>
      </c>
      <c r="L55" t="s">
        <v>18</v>
      </c>
      <c r="M55" t="s">
        <v>15</v>
      </c>
      <c r="Q55" s="1"/>
    </row>
    <row r="56" spans="1:17" x14ac:dyDescent="0.3">
      <c r="A56">
        <v>11</v>
      </c>
      <c r="B56">
        <v>4</v>
      </c>
      <c r="C56" s="11">
        <v>46025</v>
      </c>
      <c r="D56" t="s">
        <v>13</v>
      </c>
      <c r="E56">
        <v>200</v>
      </c>
      <c r="F56" s="11">
        <v>46056</v>
      </c>
      <c r="G56" t="s">
        <v>70</v>
      </c>
      <c r="H56" t="s">
        <v>32</v>
      </c>
      <c r="I56">
        <v>100</v>
      </c>
      <c r="J56" t="s">
        <v>16</v>
      </c>
      <c r="K56" t="s">
        <v>24</v>
      </c>
      <c r="L56" t="s">
        <v>18</v>
      </c>
      <c r="M56" t="s">
        <v>32</v>
      </c>
      <c r="Q56" s="1"/>
    </row>
    <row r="57" spans="1:17" x14ac:dyDescent="0.3">
      <c r="A57">
        <v>28</v>
      </c>
      <c r="B57">
        <v>13</v>
      </c>
      <c r="C57" s="11">
        <v>46146</v>
      </c>
      <c r="D57" t="s">
        <v>20</v>
      </c>
      <c r="E57">
        <v>2000</v>
      </c>
      <c r="F57" s="11">
        <v>46177</v>
      </c>
      <c r="G57" t="s">
        <v>68</v>
      </c>
      <c r="H57" t="s">
        <v>49</v>
      </c>
      <c r="I57">
        <v>1000</v>
      </c>
      <c r="J57" t="s">
        <v>16</v>
      </c>
      <c r="K57" t="s">
        <v>17</v>
      </c>
      <c r="L57" t="s">
        <v>18</v>
      </c>
      <c r="M57" t="s">
        <v>19</v>
      </c>
      <c r="Q57" s="1"/>
    </row>
    <row r="58" spans="1:17" x14ac:dyDescent="0.3">
      <c r="A58">
        <v>13</v>
      </c>
      <c r="B58">
        <v>5</v>
      </c>
      <c r="C58" s="11">
        <v>46115</v>
      </c>
      <c r="D58" t="s">
        <v>13</v>
      </c>
      <c r="E58">
        <v>8000</v>
      </c>
      <c r="F58" s="11">
        <v>46145</v>
      </c>
      <c r="G58" t="s">
        <v>50</v>
      </c>
      <c r="H58" t="s">
        <v>30</v>
      </c>
      <c r="I58">
        <v>900</v>
      </c>
      <c r="J58" t="s">
        <v>16</v>
      </c>
      <c r="K58" t="s">
        <v>33</v>
      </c>
      <c r="L58" t="s">
        <v>34</v>
      </c>
      <c r="M58" t="s">
        <v>15</v>
      </c>
      <c r="Q58" s="1"/>
    </row>
    <row r="59" spans="1:17" x14ac:dyDescent="0.3">
      <c r="A59">
        <v>9</v>
      </c>
      <c r="B59">
        <v>4</v>
      </c>
      <c r="C59" s="11">
        <v>46267</v>
      </c>
      <c r="D59" t="s">
        <v>20</v>
      </c>
      <c r="E59">
        <v>4000</v>
      </c>
      <c r="F59" s="11" t="s">
        <v>52</v>
      </c>
      <c r="G59" t="s">
        <v>80</v>
      </c>
      <c r="H59" t="s">
        <v>58</v>
      </c>
      <c r="I59">
        <v>500</v>
      </c>
      <c r="J59" t="s">
        <v>23</v>
      </c>
      <c r="K59" t="s">
        <v>17</v>
      </c>
      <c r="L59" t="s">
        <v>18</v>
      </c>
      <c r="M59" t="s">
        <v>46</v>
      </c>
      <c r="Q59" s="1"/>
    </row>
    <row r="60" spans="1:17" x14ac:dyDescent="0.3">
      <c r="A60">
        <v>36</v>
      </c>
      <c r="B60">
        <v>15</v>
      </c>
      <c r="C60" s="11">
        <v>46207</v>
      </c>
      <c r="D60" t="s">
        <v>13</v>
      </c>
      <c r="E60">
        <v>300</v>
      </c>
      <c r="F60" s="11">
        <v>46238</v>
      </c>
      <c r="G60" t="s">
        <v>71</v>
      </c>
      <c r="H60" t="s">
        <v>19</v>
      </c>
      <c r="I60">
        <v>800</v>
      </c>
      <c r="J60" t="s">
        <v>16</v>
      </c>
      <c r="K60" t="s">
        <v>33</v>
      </c>
      <c r="L60" t="s">
        <v>18</v>
      </c>
      <c r="M60" t="s">
        <v>41</v>
      </c>
      <c r="Q60" s="1"/>
    </row>
    <row r="61" spans="1:17" x14ac:dyDescent="0.3">
      <c r="A61">
        <v>7</v>
      </c>
      <c r="B61">
        <v>2</v>
      </c>
      <c r="C61" s="11">
        <v>46144</v>
      </c>
      <c r="D61" t="s">
        <v>20</v>
      </c>
      <c r="E61">
        <v>1000</v>
      </c>
      <c r="F61" s="11">
        <v>46205</v>
      </c>
      <c r="G61" t="s">
        <v>62</v>
      </c>
      <c r="H61" t="s">
        <v>36</v>
      </c>
      <c r="I61">
        <v>200</v>
      </c>
      <c r="J61" t="s">
        <v>23</v>
      </c>
      <c r="K61" t="s">
        <v>33</v>
      </c>
      <c r="L61" t="s">
        <v>34</v>
      </c>
      <c r="M61" t="s">
        <v>32</v>
      </c>
      <c r="Q61" s="1"/>
    </row>
    <row r="62" spans="1:17" x14ac:dyDescent="0.3">
      <c r="A62">
        <v>20</v>
      </c>
      <c r="B62">
        <v>8</v>
      </c>
      <c r="C62" s="11">
        <v>46085</v>
      </c>
      <c r="D62" t="s">
        <v>13</v>
      </c>
      <c r="E62">
        <v>500</v>
      </c>
      <c r="F62" s="11">
        <v>46146</v>
      </c>
      <c r="G62" t="s">
        <v>75</v>
      </c>
      <c r="H62" t="s">
        <v>15</v>
      </c>
      <c r="I62">
        <v>300</v>
      </c>
      <c r="J62" t="s">
        <v>16</v>
      </c>
      <c r="K62" t="s">
        <v>17</v>
      </c>
      <c r="L62" t="s">
        <v>18</v>
      </c>
      <c r="M62" t="s">
        <v>19</v>
      </c>
      <c r="Q62" s="1"/>
    </row>
    <row r="63" spans="1:17" x14ac:dyDescent="0.3">
      <c r="A63">
        <v>14</v>
      </c>
      <c r="B63">
        <v>6</v>
      </c>
      <c r="C63" s="11">
        <v>46145</v>
      </c>
      <c r="D63" t="s">
        <v>20</v>
      </c>
      <c r="E63">
        <v>6000</v>
      </c>
      <c r="F63" s="11">
        <v>46206</v>
      </c>
      <c r="G63" t="s">
        <v>55</v>
      </c>
      <c r="H63" t="s">
        <v>63</v>
      </c>
      <c r="I63">
        <v>800</v>
      </c>
      <c r="J63" t="s">
        <v>23</v>
      </c>
      <c r="K63" t="s">
        <v>17</v>
      </c>
      <c r="L63" t="s">
        <v>18</v>
      </c>
      <c r="M63" t="s">
        <v>28</v>
      </c>
      <c r="Q63" s="1"/>
    </row>
    <row r="64" spans="1:17" x14ac:dyDescent="0.3">
      <c r="A64">
        <v>33</v>
      </c>
      <c r="B64">
        <v>14</v>
      </c>
      <c r="C64" s="11">
        <v>46238</v>
      </c>
      <c r="D64" t="s">
        <v>13</v>
      </c>
      <c r="E64">
        <v>200</v>
      </c>
      <c r="F64" s="11">
        <v>46269</v>
      </c>
      <c r="G64" t="s">
        <v>60</v>
      </c>
      <c r="H64" t="s">
        <v>19</v>
      </c>
      <c r="I64">
        <v>700</v>
      </c>
      <c r="J64" t="s">
        <v>16</v>
      </c>
      <c r="K64" t="s">
        <v>33</v>
      </c>
      <c r="L64" t="s">
        <v>25</v>
      </c>
      <c r="M64" t="s">
        <v>41</v>
      </c>
      <c r="Q64" s="1"/>
    </row>
    <row r="65" spans="1:17" x14ac:dyDescent="0.3">
      <c r="A65">
        <v>6</v>
      </c>
      <c r="B65">
        <v>2</v>
      </c>
      <c r="C65" s="11">
        <v>46205</v>
      </c>
      <c r="D65" t="s">
        <v>20</v>
      </c>
      <c r="E65">
        <v>100</v>
      </c>
      <c r="F65" s="11">
        <v>46236</v>
      </c>
      <c r="G65" t="s">
        <v>35</v>
      </c>
      <c r="H65" t="s">
        <v>67</v>
      </c>
      <c r="I65">
        <v>700</v>
      </c>
      <c r="J65" t="s">
        <v>23</v>
      </c>
      <c r="K65" t="s">
        <v>33</v>
      </c>
      <c r="L65" t="s">
        <v>34</v>
      </c>
      <c r="M65" t="s">
        <v>46</v>
      </c>
      <c r="Q65" s="1"/>
    </row>
    <row r="66" spans="1:17" x14ac:dyDescent="0.3">
      <c r="A66">
        <v>19</v>
      </c>
      <c r="B66">
        <v>8</v>
      </c>
      <c r="C66" s="11">
        <v>46057</v>
      </c>
      <c r="D66" t="s">
        <v>13</v>
      </c>
      <c r="E66">
        <v>3000</v>
      </c>
      <c r="F66" s="11">
        <v>46085</v>
      </c>
      <c r="G66" t="s">
        <v>39</v>
      </c>
      <c r="H66" t="s">
        <v>15</v>
      </c>
      <c r="I66">
        <v>1000</v>
      </c>
      <c r="J66" t="s">
        <v>16</v>
      </c>
      <c r="K66" t="s">
        <v>17</v>
      </c>
      <c r="L66" t="s">
        <v>18</v>
      </c>
      <c r="M66" t="s">
        <v>19</v>
      </c>
      <c r="Q66" s="1"/>
    </row>
    <row r="67" spans="1:17" x14ac:dyDescent="0.3">
      <c r="A67">
        <v>10</v>
      </c>
      <c r="B67">
        <v>3</v>
      </c>
      <c r="C67" s="11">
        <v>46236</v>
      </c>
      <c r="D67" t="s">
        <v>20</v>
      </c>
      <c r="E67">
        <v>900</v>
      </c>
      <c r="F67" s="11" t="s">
        <v>52</v>
      </c>
      <c r="G67" t="s">
        <v>31</v>
      </c>
      <c r="H67" t="s">
        <v>32</v>
      </c>
      <c r="I67">
        <v>400</v>
      </c>
      <c r="J67" t="s">
        <v>16</v>
      </c>
      <c r="K67" t="s">
        <v>33</v>
      </c>
      <c r="L67" t="s">
        <v>18</v>
      </c>
      <c r="M67" t="s">
        <v>32</v>
      </c>
      <c r="Q67" s="1"/>
    </row>
    <row r="68" spans="1:17" x14ac:dyDescent="0.3">
      <c r="A68">
        <v>25</v>
      </c>
      <c r="B68">
        <v>11</v>
      </c>
      <c r="C68" s="11">
        <v>46116</v>
      </c>
      <c r="D68" t="s">
        <v>13</v>
      </c>
      <c r="E68">
        <v>8000</v>
      </c>
      <c r="F68" s="11">
        <v>46146</v>
      </c>
      <c r="G68" t="s">
        <v>66</v>
      </c>
      <c r="H68" t="s">
        <v>49</v>
      </c>
      <c r="I68">
        <v>900</v>
      </c>
      <c r="J68" t="s">
        <v>16</v>
      </c>
      <c r="K68" t="s">
        <v>33</v>
      </c>
      <c r="L68" t="s">
        <v>25</v>
      </c>
      <c r="M68" t="s">
        <v>19</v>
      </c>
      <c r="Q68" s="1"/>
    </row>
    <row r="69" spans="1:17" x14ac:dyDescent="0.3">
      <c r="A69">
        <v>15</v>
      </c>
      <c r="B69">
        <v>6</v>
      </c>
      <c r="C69" s="11">
        <v>46176</v>
      </c>
      <c r="D69" t="s">
        <v>20</v>
      </c>
      <c r="E69">
        <v>200</v>
      </c>
      <c r="F69" s="11">
        <v>46237</v>
      </c>
      <c r="G69" t="s">
        <v>21</v>
      </c>
      <c r="H69" t="s">
        <v>45</v>
      </c>
      <c r="I69">
        <v>500</v>
      </c>
      <c r="J69" t="s">
        <v>23</v>
      </c>
      <c r="K69" t="s">
        <v>24</v>
      </c>
      <c r="L69" t="s">
        <v>18</v>
      </c>
      <c r="M69" t="s">
        <v>46</v>
      </c>
      <c r="Q69" s="1"/>
    </row>
    <row r="70" spans="1:17" x14ac:dyDescent="0.3">
      <c r="A70">
        <v>29</v>
      </c>
      <c r="B70">
        <v>12</v>
      </c>
      <c r="C70" s="11">
        <v>46177</v>
      </c>
      <c r="D70" t="s">
        <v>13</v>
      </c>
      <c r="E70">
        <v>6000</v>
      </c>
      <c r="F70" s="11">
        <v>46207</v>
      </c>
      <c r="G70" t="s">
        <v>42</v>
      </c>
      <c r="H70" t="s">
        <v>19</v>
      </c>
      <c r="I70">
        <v>800</v>
      </c>
      <c r="J70" t="s">
        <v>16</v>
      </c>
      <c r="K70" t="s">
        <v>17</v>
      </c>
      <c r="L70" t="s">
        <v>25</v>
      </c>
      <c r="M70" t="s">
        <v>41</v>
      </c>
      <c r="Q70" s="1"/>
    </row>
    <row r="71" spans="1:17" x14ac:dyDescent="0.3">
      <c r="A71">
        <v>22</v>
      </c>
      <c r="B71">
        <v>9</v>
      </c>
      <c r="C71" s="11">
        <v>46146</v>
      </c>
      <c r="D71" t="s">
        <v>20</v>
      </c>
      <c r="E71">
        <v>400</v>
      </c>
      <c r="F71" s="11">
        <v>46177</v>
      </c>
      <c r="G71" t="s">
        <v>27</v>
      </c>
      <c r="H71" t="s">
        <v>49</v>
      </c>
      <c r="I71">
        <v>300</v>
      </c>
      <c r="J71" t="s">
        <v>16</v>
      </c>
      <c r="K71" t="s">
        <v>33</v>
      </c>
      <c r="L71" t="s">
        <v>18</v>
      </c>
      <c r="M71" t="s">
        <v>19</v>
      </c>
      <c r="Q71" s="1"/>
    </row>
    <row r="72" spans="1:17" x14ac:dyDescent="0.3">
      <c r="A72">
        <v>12</v>
      </c>
      <c r="B72">
        <v>5</v>
      </c>
      <c r="C72" s="11" t="s">
        <v>52</v>
      </c>
      <c r="D72" t="s">
        <v>13</v>
      </c>
      <c r="E72">
        <v>3000</v>
      </c>
      <c r="F72" s="11">
        <v>46025</v>
      </c>
      <c r="G72" t="s">
        <v>73</v>
      </c>
      <c r="H72" t="s">
        <v>26</v>
      </c>
      <c r="I72">
        <v>1000</v>
      </c>
      <c r="J72" t="s">
        <v>23</v>
      </c>
      <c r="K72" t="s">
        <v>17</v>
      </c>
      <c r="L72" t="s">
        <v>18</v>
      </c>
      <c r="M72" t="s">
        <v>26</v>
      </c>
      <c r="Q72" s="1"/>
    </row>
    <row r="73" spans="1:17" x14ac:dyDescent="0.3">
      <c r="A73">
        <v>16</v>
      </c>
      <c r="B73">
        <v>7</v>
      </c>
      <c r="C73" s="11">
        <v>46237</v>
      </c>
      <c r="D73" t="s">
        <v>20</v>
      </c>
      <c r="E73">
        <v>800</v>
      </c>
      <c r="F73" s="11" t="s">
        <v>64</v>
      </c>
      <c r="G73" t="s">
        <v>21</v>
      </c>
      <c r="H73" t="s">
        <v>30</v>
      </c>
      <c r="I73">
        <v>200</v>
      </c>
      <c r="J73" t="s">
        <v>16</v>
      </c>
      <c r="K73" t="s">
        <v>17</v>
      </c>
      <c r="L73" t="s">
        <v>18</v>
      </c>
      <c r="M73" t="s">
        <v>15</v>
      </c>
      <c r="Q73" s="1"/>
    </row>
    <row r="74" spans="1:17" x14ac:dyDescent="0.3">
      <c r="A74">
        <v>31</v>
      </c>
      <c r="B74">
        <v>14</v>
      </c>
      <c r="C74" s="11">
        <v>46269</v>
      </c>
      <c r="D74" t="s">
        <v>13</v>
      </c>
      <c r="E74">
        <v>1000</v>
      </c>
      <c r="F74" s="11" t="s">
        <v>81</v>
      </c>
      <c r="G74" t="s">
        <v>39</v>
      </c>
      <c r="H74" t="s">
        <v>19</v>
      </c>
      <c r="I74">
        <v>700</v>
      </c>
      <c r="J74" t="s">
        <v>16</v>
      </c>
      <c r="K74" t="s">
        <v>33</v>
      </c>
      <c r="L74" t="s">
        <v>18</v>
      </c>
      <c r="M74" t="s">
        <v>41</v>
      </c>
      <c r="Q74" s="1"/>
    </row>
    <row r="75" spans="1:17" x14ac:dyDescent="0.3">
      <c r="A75">
        <v>4</v>
      </c>
      <c r="B75">
        <v>1</v>
      </c>
      <c r="C75" s="11">
        <v>46204</v>
      </c>
      <c r="D75" t="s">
        <v>20</v>
      </c>
      <c r="E75">
        <v>6000</v>
      </c>
      <c r="F75" s="11">
        <v>46235</v>
      </c>
      <c r="G75" t="s">
        <v>80</v>
      </c>
      <c r="H75" t="s">
        <v>45</v>
      </c>
      <c r="I75">
        <v>500</v>
      </c>
      <c r="J75" t="s">
        <v>23</v>
      </c>
      <c r="K75" t="s">
        <v>33</v>
      </c>
      <c r="L75" t="s">
        <v>18</v>
      </c>
      <c r="M75" t="s">
        <v>46</v>
      </c>
      <c r="Q75" s="1"/>
    </row>
    <row r="76" spans="1:17" x14ac:dyDescent="0.3">
      <c r="A76">
        <v>26</v>
      </c>
      <c r="B76">
        <v>11</v>
      </c>
      <c r="C76" s="11">
        <v>46085</v>
      </c>
      <c r="D76" t="s">
        <v>13</v>
      </c>
      <c r="E76">
        <v>200</v>
      </c>
      <c r="F76" s="11">
        <v>46116</v>
      </c>
      <c r="G76" t="s">
        <v>47</v>
      </c>
      <c r="H76" t="s">
        <v>15</v>
      </c>
      <c r="I76">
        <v>300</v>
      </c>
      <c r="J76" t="s">
        <v>16</v>
      </c>
      <c r="K76" t="s">
        <v>17</v>
      </c>
      <c r="L76" t="s">
        <v>18</v>
      </c>
      <c r="M76" t="s">
        <v>19</v>
      </c>
      <c r="Q76" s="1"/>
    </row>
    <row r="77" spans="1:17" x14ac:dyDescent="0.3">
      <c r="A77">
        <v>16</v>
      </c>
      <c r="B77">
        <v>7</v>
      </c>
      <c r="C77" s="11">
        <v>46268</v>
      </c>
      <c r="D77" t="s">
        <v>20</v>
      </c>
      <c r="E77">
        <v>7000</v>
      </c>
      <c r="F77" s="11" t="s">
        <v>64</v>
      </c>
      <c r="G77" t="s">
        <v>48</v>
      </c>
      <c r="H77" t="s">
        <v>30</v>
      </c>
      <c r="I77">
        <v>900</v>
      </c>
      <c r="J77" t="s">
        <v>16</v>
      </c>
      <c r="K77" t="s">
        <v>17</v>
      </c>
      <c r="L77" t="s">
        <v>18</v>
      </c>
      <c r="M77" t="s">
        <v>15</v>
      </c>
      <c r="Q77" s="1"/>
    </row>
    <row r="78" spans="1:17" x14ac:dyDescent="0.3">
      <c r="A78">
        <v>8</v>
      </c>
      <c r="B78">
        <v>3</v>
      </c>
      <c r="C78" s="11">
        <v>46084</v>
      </c>
      <c r="D78" t="s">
        <v>13</v>
      </c>
      <c r="E78">
        <v>1000</v>
      </c>
      <c r="F78" s="11">
        <v>46115</v>
      </c>
      <c r="G78" t="s">
        <v>75</v>
      </c>
      <c r="H78" t="s">
        <v>43</v>
      </c>
      <c r="I78">
        <v>200</v>
      </c>
      <c r="J78" t="s">
        <v>16</v>
      </c>
      <c r="K78" t="s">
        <v>33</v>
      </c>
      <c r="L78" t="s">
        <v>34</v>
      </c>
      <c r="M78" t="s">
        <v>43</v>
      </c>
      <c r="Q78" s="1"/>
    </row>
    <row r="79" spans="1:17" x14ac:dyDescent="0.3">
      <c r="A79">
        <v>27</v>
      </c>
      <c r="B79">
        <v>12</v>
      </c>
      <c r="C79" s="11">
        <v>46207</v>
      </c>
      <c r="D79" t="s">
        <v>20</v>
      </c>
      <c r="E79">
        <v>200</v>
      </c>
      <c r="F79" s="11">
        <v>46238</v>
      </c>
      <c r="G79" t="s">
        <v>69</v>
      </c>
      <c r="H79" t="s">
        <v>19</v>
      </c>
      <c r="I79">
        <v>700</v>
      </c>
      <c r="J79" t="s">
        <v>16</v>
      </c>
      <c r="K79" t="s">
        <v>17</v>
      </c>
      <c r="L79" t="s">
        <v>18</v>
      </c>
      <c r="M79" t="s">
        <v>41</v>
      </c>
      <c r="Q79" s="1"/>
    </row>
    <row r="80" spans="1:17" x14ac:dyDescent="0.3">
      <c r="A80">
        <v>13</v>
      </c>
      <c r="B80">
        <v>6</v>
      </c>
      <c r="C80" s="11">
        <v>46176</v>
      </c>
      <c r="D80" t="s">
        <v>13</v>
      </c>
      <c r="E80">
        <v>900</v>
      </c>
      <c r="F80" s="11">
        <v>46237</v>
      </c>
      <c r="G80" t="s">
        <v>53</v>
      </c>
      <c r="H80" t="s">
        <v>63</v>
      </c>
      <c r="I80">
        <v>400</v>
      </c>
      <c r="J80" t="s">
        <v>23</v>
      </c>
      <c r="K80" t="s">
        <v>17</v>
      </c>
      <c r="L80" t="s">
        <v>18</v>
      </c>
      <c r="M80" t="s">
        <v>28</v>
      </c>
      <c r="Q80" s="1"/>
    </row>
    <row r="81" spans="1:17" x14ac:dyDescent="0.3">
      <c r="A81">
        <v>7</v>
      </c>
      <c r="B81">
        <v>2</v>
      </c>
      <c r="C81" s="11">
        <v>46114</v>
      </c>
      <c r="D81" t="s">
        <v>20</v>
      </c>
      <c r="E81">
        <v>4000</v>
      </c>
      <c r="F81" s="11">
        <v>46175</v>
      </c>
      <c r="G81" t="s">
        <v>66</v>
      </c>
      <c r="H81" t="s">
        <v>67</v>
      </c>
      <c r="I81">
        <v>500</v>
      </c>
      <c r="J81" t="s">
        <v>16</v>
      </c>
      <c r="K81" t="s">
        <v>33</v>
      </c>
      <c r="L81" t="s">
        <v>25</v>
      </c>
      <c r="M81" t="s">
        <v>46</v>
      </c>
      <c r="Q81" s="1"/>
    </row>
    <row r="82" spans="1:17" x14ac:dyDescent="0.3">
      <c r="A82">
        <v>20</v>
      </c>
      <c r="B82">
        <v>9</v>
      </c>
      <c r="C82" s="11">
        <v>46116</v>
      </c>
      <c r="D82" t="s">
        <v>13</v>
      </c>
      <c r="E82">
        <v>100</v>
      </c>
      <c r="F82" s="11">
        <v>46146</v>
      </c>
      <c r="G82" t="s">
        <v>71</v>
      </c>
      <c r="H82" t="s">
        <v>49</v>
      </c>
      <c r="I82">
        <v>800</v>
      </c>
      <c r="J82" t="s">
        <v>23</v>
      </c>
      <c r="K82" t="s">
        <v>17</v>
      </c>
      <c r="L82" t="s">
        <v>18</v>
      </c>
      <c r="M82" t="s">
        <v>19</v>
      </c>
      <c r="Q82" s="1"/>
    </row>
    <row r="83" spans="1:17" x14ac:dyDescent="0.3">
      <c r="A83">
        <v>32</v>
      </c>
      <c r="B83">
        <v>15</v>
      </c>
      <c r="C83" s="11">
        <v>46238</v>
      </c>
      <c r="D83" t="s">
        <v>20</v>
      </c>
      <c r="E83">
        <v>6000</v>
      </c>
      <c r="F83" s="11">
        <v>46269</v>
      </c>
      <c r="G83" t="s">
        <v>57</v>
      </c>
      <c r="H83" t="s">
        <v>19</v>
      </c>
      <c r="I83">
        <v>900</v>
      </c>
      <c r="J83" t="s">
        <v>16</v>
      </c>
      <c r="K83" t="s">
        <v>17</v>
      </c>
      <c r="L83" t="s">
        <v>25</v>
      </c>
      <c r="M83" t="s">
        <v>41</v>
      </c>
      <c r="Q83" s="1"/>
    </row>
    <row r="84" spans="1:17" x14ac:dyDescent="0.3">
      <c r="A84">
        <v>11</v>
      </c>
      <c r="B84">
        <v>4</v>
      </c>
      <c r="C84" s="11">
        <v>46025</v>
      </c>
      <c r="D84" t="s">
        <v>13</v>
      </c>
      <c r="E84">
        <v>300</v>
      </c>
      <c r="F84" s="11">
        <v>46056</v>
      </c>
      <c r="G84" t="s">
        <v>14</v>
      </c>
      <c r="H84" t="s">
        <v>32</v>
      </c>
      <c r="I84">
        <v>400</v>
      </c>
      <c r="J84" t="s">
        <v>16</v>
      </c>
      <c r="K84" t="s">
        <v>33</v>
      </c>
      <c r="L84" t="s">
        <v>18</v>
      </c>
      <c r="M84" t="s">
        <v>32</v>
      </c>
      <c r="Q84" s="1"/>
    </row>
    <row r="85" spans="1:17" x14ac:dyDescent="0.3">
      <c r="A85">
        <v>24</v>
      </c>
      <c r="B85">
        <v>11</v>
      </c>
      <c r="C85" s="11">
        <v>46085</v>
      </c>
      <c r="D85" t="s">
        <v>20</v>
      </c>
      <c r="E85">
        <v>500</v>
      </c>
      <c r="F85" s="11">
        <v>46146</v>
      </c>
      <c r="G85" t="s">
        <v>66</v>
      </c>
      <c r="H85" t="s">
        <v>15</v>
      </c>
      <c r="I85">
        <v>300</v>
      </c>
      <c r="J85" t="s">
        <v>16</v>
      </c>
      <c r="K85" t="s">
        <v>33</v>
      </c>
      <c r="L85" t="s">
        <v>18</v>
      </c>
      <c r="M85" t="s">
        <v>19</v>
      </c>
      <c r="Q85" s="1"/>
    </row>
    <row r="86" spans="1:17" x14ac:dyDescent="0.3">
      <c r="A86">
        <v>10</v>
      </c>
      <c r="B86">
        <v>3</v>
      </c>
      <c r="C86" s="11">
        <v>46205</v>
      </c>
      <c r="D86" t="s">
        <v>13</v>
      </c>
      <c r="E86">
        <v>1000</v>
      </c>
      <c r="F86" s="11">
        <v>46267</v>
      </c>
      <c r="G86" t="s">
        <v>21</v>
      </c>
      <c r="H86" t="s">
        <v>32</v>
      </c>
      <c r="I86">
        <v>100</v>
      </c>
      <c r="J86" t="s">
        <v>16</v>
      </c>
      <c r="K86" t="s">
        <v>24</v>
      </c>
      <c r="L86" t="s">
        <v>18</v>
      </c>
      <c r="M86" t="s">
        <v>32</v>
      </c>
      <c r="Q86" s="1"/>
    </row>
    <row r="87" spans="1:17" x14ac:dyDescent="0.3">
      <c r="A87">
        <v>35</v>
      </c>
      <c r="B87">
        <v>16</v>
      </c>
      <c r="C87" s="11">
        <v>46269</v>
      </c>
      <c r="D87" t="s">
        <v>20</v>
      </c>
      <c r="E87">
        <v>800</v>
      </c>
      <c r="F87" s="11" t="s">
        <v>81</v>
      </c>
      <c r="G87" t="s">
        <v>44</v>
      </c>
      <c r="H87" t="s">
        <v>19</v>
      </c>
      <c r="I87">
        <v>700</v>
      </c>
      <c r="J87" t="s">
        <v>16</v>
      </c>
      <c r="K87" t="s">
        <v>17</v>
      </c>
      <c r="L87" t="s">
        <v>25</v>
      </c>
      <c r="M87" t="s">
        <v>41</v>
      </c>
      <c r="Q87" s="1"/>
    </row>
    <row r="88" spans="1:17" x14ac:dyDescent="0.3">
      <c r="A88">
        <v>6</v>
      </c>
      <c r="B88">
        <v>2</v>
      </c>
      <c r="C88" s="11">
        <v>46236</v>
      </c>
      <c r="D88" t="s">
        <v>20</v>
      </c>
      <c r="E88">
        <v>4000</v>
      </c>
      <c r="F88" s="11" t="s">
        <v>52</v>
      </c>
      <c r="G88" t="s">
        <v>39</v>
      </c>
      <c r="H88" t="s">
        <v>36</v>
      </c>
      <c r="I88">
        <v>500</v>
      </c>
      <c r="J88" t="s">
        <v>23</v>
      </c>
      <c r="K88" t="s">
        <v>33</v>
      </c>
      <c r="L88" t="s">
        <v>18</v>
      </c>
      <c r="M88" t="s">
        <v>32</v>
      </c>
      <c r="Q88" s="1"/>
    </row>
    <row r="89" spans="1:17" x14ac:dyDescent="0.3">
      <c r="A89">
        <v>19</v>
      </c>
      <c r="B89">
        <v>8</v>
      </c>
      <c r="C89" s="11">
        <v>46085</v>
      </c>
      <c r="D89" t="s">
        <v>13</v>
      </c>
      <c r="E89">
        <v>200</v>
      </c>
      <c r="F89" s="11">
        <v>46146</v>
      </c>
      <c r="G89" t="s">
        <v>60</v>
      </c>
      <c r="H89" t="s">
        <v>15</v>
      </c>
      <c r="I89">
        <v>900</v>
      </c>
      <c r="J89" t="s">
        <v>16</v>
      </c>
      <c r="K89" t="s">
        <v>17</v>
      </c>
      <c r="L89" t="s">
        <v>18</v>
      </c>
      <c r="M89" t="s">
        <v>19</v>
      </c>
      <c r="Q89" s="1"/>
    </row>
    <row r="90" spans="1:17" x14ac:dyDescent="0.3">
      <c r="A90">
        <v>9</v>
      </c>
      <c r="B90">
        <v>4</v>
      </c>
      <c r="C90" s="11" t="s">
        <v>52</v>
      </c>
      <c r="D90" t="s">
        <v>20</v>
      </c>
      <c r="E90">
        <v>6000</v>
      </c>
      <c r="F90" s="11">
        <v>46025</v>
      </c>
      <c r="G90" t="s">
        <v>27</v>
      </c>
      <c r="H90" t="s">
        <v>26</v>
      </c>
      <c r="I90">
        <v>1000</v>
      </c>
      <c r="J90" t="s">
        <v>23</v>
      </c>
      <c r="K90" t="s">
        <v>17</v>
      </c>
      <c r="L90" t="s">
        <v>18</v>
      </c>
      <c r="M90" t="s">
        <v>26</v>
      </c>
      <c r="Q90" s="1"/>
    </row>
    <row r="91" spans="1:17" x14ac:dyDescent="0.3">
      <c r="A91">
        <v>28</v>
      </c>
      <c r="B91">
        <v>13</v>
      </c>
      <c r="C91" s="11">
        <v>46177</v>
      </c>
      <c r="D91" t="s">
        <v>13</v>
      </c>
      <c r="E91">
        <v>500</v>
      </c>
      <c r="F91" s="11">
        <v>46207</v>
      </c>
      <c r="G91" t="s">
        <v>50</v>
      </c>
      <c r="H91" t="s">
        <v>19</v>
      </c>
      <c r="I91">
        <v>800</v>
      </c>
      <c r="J91" t="s">
        <v>16</v>
      </c>
      <c r="K91" t="s">
        <v>33</v>
      </c>
      <c r="L91" t="s">
        <v>34</v>
      </c>
      <c r="M91" t="s">
        <v>41</v>
      </c>
      <c r="Q91" s="1"/>
    </row>
    <row r="92" spans="1:17" x14ac:dyDescent="0.3">
      <c r="A92">
        <v>14</v>
      </c>
      <c r="B92">
        <v>7</v>
      </c>
      <c r="C92" s="11">
        <v>46206</v>
      </c>
      <c r="D92" t="s">
        <v>20</v>
      </c>
      <c r="E92">
        <v>2000</v>
      </c>
      <c r="F92" s="11">
        <v>46237</v>
      </c>
      <c r="G92" t="s">
        <v>31</v>
      </c>
      <c r="H92" t="s">
        <v>28</v>
      </c>
      <c r="I92">
        <v>200</v>
      </c>
      <c r="J92" t="s">
        <v>16</v>
      </c>
      <c r="K92" t="s">
        <v>33</v>
      </c>
      <c r="L92" t="s">
        <v>18</v>
      </c>
      <c r="M92" t="s">
        <v>30</v>
      </c>
      <c r="Q92" s="1"/>
    </row>
    <row r="93" spans="1:17" x14ac:dyDescent="0.3">
      <c r="A93">
        <v>23</v>
      </c>
      <c r="B93">
        <v>10</v>
      </c>
      <c r="C93" s="11">
        <v>46146</v>
      </c>
      <c r="D93" t="s">
        <v>13</v>
      </c>
      <c r="E93">
        <v>900</v>
      </c>
      <c r="F93" s="11">
        <v>46177</v>
      </c>
      <c r="G93" t="s">
        <v>35</v>
      </c>
      <c r="H93" t="s">
        <v>49</v>
      </c>
      <c r="I93">
        <v>300</v>
      </c>
      <c r="J93" t="s">
        <v>16</v>
      </c>
      <c r="K93" t="s">
        <v>17</v>
      </c>
      <c r="L93" t="s">
        <v>18</v>
      </c>
      <c r="M93" t="s">
        <v>19</v>
      </c>
      <c r="Q93" s="1"/>
    </row>
    <row r="94" spans="1:17" x14ac:dyDescent="0.3">
      <c r="A94">
        <v>12</v>
      </c>
      <c r="B94">
        <v>5</v>
      </c>
      <c r="C94" s="11">
        <v>46056</v>
      </c>
      <c r="D94" t="s">
        <v>20</v>
      </c>
      <c r="E94">
        <v>700</v>
      </c>
      <c r="F94" s="11">
        <v>46115</v>
      </c>
      <c r="G94" t="s">
        <v>39</v>
      </c>
      <c r="H94" t="s">
        <v>32</v>
      </c>
      <c r="I94">
        <v>400</v>
      </c>
      <c r="J94" t="s">
        <v>16</v>
      </c>
      <c r="K94" t="s">
        <v>33</v>
      </c>
      <c r="L94" t="s">
        <v>18</v>
      </c>
      <c r="M94" t="s">
        <v>32</v>
      </c>
      <c r="Q94" s="1"/>
    </row>
    <row r="95" spans="1:17" x14ac:dyDescent="0.3">
      <c r="A95">
        <v>25</v>
      </c>
      <c r="B95">
        <v>11</v>
      </c>
      <c r="C95" s="11">
        <v>46116</v>
      </c>
      <c r="D95" t="s">
        <v>13</v>
      </c>
      <c r="E95">
        <v>3000</v>
      </c>
      <c r="F95" s="11">
        <v>46146</v>
      </c>
      <c r="G95" t="s">
        <v>82</v>
      </c>
      <c r="H95" t="s">
        <v>15</v>
      </c>
      <c r="I95">
        <v>500</v>
      </c>
      <c r="J95" t="s">
        <v>23</v>
      </c>
      <c r="K95" t="s">
        <v>17</v>
      </c>
      <c r="L95" t="s">
        <v>18</v>
      </c>
      <c r="M95" t="s">
        <v>19</v>
      </c>
      <c r="Q95" s="1"/>
    </row>
    <row r="96" spans="1:17" x14ac:dyDescent="0.3">
      <c r="A96">
        <v>15</v>
      </c>
      <c r="B96">
        <v>6</v>
      </c>
      <c r="C96" s="11">
        <v>46145</v>
      </c>
      <c r="D96" t="s">
        <v>20</v>
      </c>
      <c r="E96">
        <v>400</v>
      </c>
      <c r="F96" s="11">
        <v>46206</v>
      </c>
      <c r="G96" t="s">
        <v>55</v>
      </c>
      <c r="H96" t="s">
        <v>63</v>
      </c>
      <c r="I96">
        <v>600</v>
      </c>
      <c r="J96" t="s">
        <v>23</v>
      </c>
      <c r="K96" t="s">
        <v>17</v>
      </c>
      <c r="L96" t="s">
        <v>18</v>
      </c>
      <c r="M96" t="s">
        <v>28</v>
      </c>
      <c r="Q96" s="1"/>
    </row>
    <row r="97" spans="1:17" x14ac:dyDescent="0.3">
      <c r="A97">
        <v>30</v>
      </c>
      <c r="B97">
        <v>14</v>
      </c>
      <c r="C97" s="11">
        <v>46207</v>
      </c>
      <c r="D97" t="s">
        <v>13</v>
      </c>
      <c r="E97">
        <v>1000</v>
      </c>
      <c r="F97" s="11">
        <v>46238</v>
      </c>
      <c r="G97" t="s">
        <v>71</v>
      </c>
      <c r="H97" t="s">
        <v>19</v>
      </c>
      <c r="I97">
        <v>700</v>
      </c>
      <c r="J97" t="s">
        <v>16</v>
      </c>
      <c r="K97" t="s">
        <v>33</v>
      </c>
      <c r="L97" t="s">
        <v>18</v>
      </c>
      <c r="M97" t="s">
        <v>41</v>
      </c>
      <c r="Q97" s="1"/>
    </row>
    <row r="98" spans="1:17" x14ac:dyDescent="0.3">
      <c r="A98">
        <v>5</v>
      </c>
      <c r="B98">
        <v>2</v>
      </c>
      <c r="C98" s="11">
        <v>46144</v>
      </c>
      <c r="D98" t="s">
        <v>20</v>
      </c>
      <c r="E98">
        <v>2000</v>
      </c>
      <c r="F98" s="11">
        <v>46175</v>
      </c>
      <c r="G98" t="s">
        <v>76</v>
      </c>
      <c r="H98" t="s">
        <v>67</v>
      </c>
      <c r="I98">
        <v>500</v>
      </c>
      <c r="J98" t="s">
        <v>23</v>
      </c>
      <c r="K98" t="s">
        <v>17</v>
      </c>
      <c r="L98" t="s">
        <v>18</v>
      </c>
      <c r="M98" t="s">
        <v>46</v>
      </c>
      <c r="Q98" s="1"/>
    </row>
    <row r="99" spans="1:17" x14ac:dyDescent="0.3">
      <c r="A99">
        <v>21</v>
      </c>
      <c r="B99">
        <v>9</v>
      </c>
      <c r="C99" s="11">
        <v>46057</v>
      </c>
      <c r="D99" t="s">
        <v>13</v>
      </c>
      <c r="E99">
        <v>6000</v>
      </c>
      <c r="F99" s="11">
        <v>46116</v>
      </c>
      <c r="G99" t="s">
        <v>48</v>
      </c>
      <c r="H99" t="s">
        <v>15</v>
      </c>
      <c r="I99">
        <v>900</v>
      </c>
      <c r="J99" t="s">
        <v>16</v>
      </c>
      <c r="K99" t="s">
        <v>17</v>
      </c>
      <c r="L99" t="s">
        <v>25</v>
      </c>
      <c r="M99" t="s">
        <v>19</v>
      </c>
      <c r="Q99" s="1"/>
    </row>
    <row r="100" spans="1:17" x14ac:dyDescent="0.3">
      <c r="A100">
        <v>17</v>
      </c>
      <c r="B100">
        <v>7</v>
      </c>
      <c r="C100" s="11">
        <v>46237</v>
      </c>
      <c r="D100" t="s">
        <v>20</v>
      </c>
      <c r="E100">
        <v>500</v>
      </c>
      <c r="F100" s="11" t="s">
        <v>64</v>
      </c>
      <c r="G100" t="s">
        <v>72</v>
      </c>
      <c r="H100" t="s">
        <v>30</v>
      </c>
      <c r="I100">
        <v>200</v>
      </c>
      <c r="J100" t="s">
        <v>16</v>
      </c>
      <c r="K100" t="s">
        <v>33</v>
      </c>
      <c r="L100" t="s">
        <v>34</v>
      </c>
      <c r="M100" t="s">
        <v>15</v>
      </c>
      <c r="Q100" s="1"/>
    </row>
    <row r="101" spans="1:17" x14ac:dyDescent="0.3">
      <c r="A101">
        <v>36</v>
      </c>
      <c r="B101">
        <v>16</v>
      </c>
      <c r="C101" s="11">
        <v>46238</v>
      </c>
      <c r="D101" t="s">
        <v>13</v>
      </c>
      <c r="E101">
        <v>100</v>
      </c>
      <c r="F101" s="11">
        <v>46269</v>
      </c>
      <c r="G101" t="s">
        <v>83</v>
      </c>
      <c r="H101" t="s">
        <v>19</v>
      </c>
      <c r="I101">
        <v>700</v>
      </c>
      <c r="J101" t="s">
        <v>16</v>
      </c>
      <c r="K101" t="s">
        <v>17</v>
      </c>
      <c r="L101" t="s">
        <v>18</v>
      </c>
      <c r="M101" t="s">
        <v>41</v>
      </c>
      <c r="Q101" s="1"/>
    </row>
    <row r="102" spans="1:17" x14ac:dyDescent="0.3">
      <c r="A102">
        <v>9</v>
      </c>
      <c r="B102">
        <v>4</v>
      </c>
      <c r="C102" s="11">
        <v>46084</v>
      </c>
      <c r="D102" t="s">
        <v>20</v>
      </c>
      <c r="E102">
        <v>100</v>
      </c>
      <c r="F102" s="11">
        <v>46115</v>
      </c>
      <c r="G102" t="s">
        <v>80</v>
      </c>
      <c r="H102" t="s">
        <v>43</v>
      </c>
      <c r="I102">
        <v>200</v>
      </c>
      <c r="J102" t="s">
        <v>16</v>
      </c>
      <c r="K102" t="s">
        <v>33</v>
      </c>
      <c r="L102" t="s">
        <v>18</v>
      </c>
      <c r="M102" t="s">
        <v>43</v>
      </c>
      <c r="Q102" s="1"/>
    </row>
    <row r="103" spans="1:17" x14ac:dyDescent="0.3">
      <c r="A103">
        <v>26</v>
      </c>
      <c r="B103">
        <v>12</v>
      </c>
      <c r="C103" s="11">
        <v>46146</v>
      </c>
      <c r="D103" t="s">
        <v>13</v>
      </c>
      <c r="E103">
        <v>3000</v>
      </c>
      <c r="F103" s="11">
        <v>46207</v>
      </c>
      <c r="G103" t="s">
        <v>21</v>
      </c>
      <c r="H103" t="s">
        <v>49</v>
      </c>
      <c r="I103">
        <v>500</v>
      </c>
      <c r="J103" t="s">
        <v>23</v>
      </c>
      <c r="K103" t="s">
        <v>17</v>
      </c>
      <c r="L103" t="s">
        <v>25</v>
      </c>
      <c r="M103" t="s">
        <v>19</v>
      </c>
      <c r="Q103" s="1"/>
    </row>
    <row r="104" spans="1:17" x14ac:dyDescent="0.3">
      <c r="A104">
        <v>14</v>
      </c>
      <c r="B104">
        <v>7</v>
      </c>
      <c r="C104" s="11">
        <v>46237</v>
      </c>
      <c r="D104" t="s">
        <v>20</v>
      </c>
      <c r="E104">
        <v>2000</v>
      </c>
      <c r="F104" s="11" t="s">
        <v>64</v>
      </c>
      <c r="G104" t="s">
        <v>50</v>
      </c>
      <c r="H104" t="s">
        <v>28</v>
      </c>
      <c r="I104">
        <v>600</v>
      </c>
      <c r="J104" t="s">
        <v>23</v>
      </c>
      <c r="K104" t="s">
        <v>17</v>
      </c>
      <c r="L104" t="s">
        <v>18</v>
      </c>
      <c r="M104" t="s">
        <v>30</v>
      </c>
      <c r="Q104" s="1"/>
    </row>
    <row r="105" spans="1:17" x14ac:dyDescent="0.3">
      <c r="A105">
        <v>7</v>
      </c>
      <c r="B105">
        <v>2</v>
      </c>
      <c r="C105" s="11">
        <v>46205</v>
      </c>
      <c r="D105" t="s">
        <v>20</v>
      </c>
      <c r="E105">
        <v>5000</v>
      </c>
      <c r="F105" s="11">
        <v>46267</v>
      </c>
      <c r="G105" t="s">
        <v>48</v>
      </c>
      <c r="H105" t="s">
        <v>67</v>
      </c>
      <c r="I105">
        <v>500</v>
      </c>
      <c r="J105" t="s">
        <v>23</v>
      </c>
      <c r="K105" t="s">
        <v>33</v>
      </c>
      <c r="L105" t="s">
        <v>18</v>
      </c>
      <c r="M105" t="s">
        <v>46</v>
      </c>
      <c r="Q105" s="1"/>
    </row>
    <row r="106" spans="1:17" x14ac:dyDescent="0.3">
      <c r="A106">
        <v>31</v>
      </c>
      <c r="B106">
        <v>14</v>
      </c>
      <c r="C106" s="11">
        <v>46207</v>
      </c>
      <c r="D106" t="s">
        <v>13</v>
      </c>
      <c r="E106">
        <v>600</v>
      </c>
      <c r="F106" s="11">
        <v>46238</v>
      </c>
      <c r="G106" t="s">
        <v>60</v>
      </c>
      <c r="H106" t="s">
        <v>19</v>
      </c>
      <c r="I106">
        <v>700</v>
      </c>
      <c r="J106" t="s">
        <v>16</v>
      </c>
      <c r="K106" t="s">
        <v>17</v>
      </c>
      <c r="L106" t="s">
        <v>18</v>
      </c>
      <c r="M106" t="s">
        <v>41</v>
      </c>
      <c r="Q106" s="1"/>
    </row>
    <row r="107" spans="1:17" x14ac:dyDescent="0.3">
      <c r="A107">
        <v>16</v>
      </c>
      <c r="B107">
        <v>7</v>
      </c>
      <c r="C107" s="11">
        <v>46206</v>
      </c>
      <c r="D107" t="s">
        <v>20</v>
      </c>
      <c r="E107">
        <v>300</v>
      </c>
      <c r="F107" s="11">
        <v>46268</v>
      </c>
      <c r="G107" t="s">
        <v>44</v>
      </c>
      <c r="H107" t="s">
        <v>30</v>
      </c>
      <c r="I107">
        <v>200</v>
      </c>
      <c r="J107" t="s">
        <v>16</v>
      </c>
      <c r="K107" t="s">
        <v>33</v>
      </c>
      <c r="L107" t="s">
        <v>34</v>
      </c>
      <c r="M107" t="s">
        <v>15</v>
      </c>
      <c r="Q107" s="1"/>
    </row>
    <row r="108" spans="1:17" x14ac:dyDescent="0.3">
      <c r="A108">
        <v>8</v>
      </c>
      <c r="B108">
        <v>3</v>
      </c>
      <c r="C108" s="11">
        <v>46025</v>
      </c>
      <c r="D108" t="s">
        <v>13</v>
      </c>
      <c r="E108">
        <v>400</v>
      </c>
      <c r="F108" s="11">
        <v>46056</v>
      </c>
      <c r="G108" t="s">
        <v>55</v>
      </c>
      <c r="H108" t="s">
        <v>32</v>
      </c>
      <c r="I108">
        <v>300</v>
      </c>
      <c r="J108" t="s">
        <v>16</v>
      </c>
      <c r="K108" t="s">
        <v>33</v>
      </c>
      <c r="L108" t="s">
        <v>18</v>
      </c>
      <c r="M108" t="s">
        <v>32</v>
      </c>
      <c r="Q108" s="1"/>
    </row>
    <row r="109" spans="1:17" x14ac:dyDescent="0.3">
      <c r="A109">
        <v>23</v>
      </c>
      <c r="B109">
        <v>10</v>
      </c>
      <c r="C109" s="11">
        <v>46085</v>
      </c>
      <c r="D109" t="s">
        <v>20</v>
      </c>
      <c r="E109">
        <v>7000</v>
      </c>
      <c r="F109" s="11">
        <v>46116</v>
      </c>
      <c r="G109" t="s">
        <v>66</v>
      </c>
      <c r="H109" t="s">
        <v>15</v>
      </c>
      <c r="I109">
        <v>900</v>
      </c>
      <c r="J109" t="s">
        <v>23</v>
      </c>
      <c r="K109" t="s">
        <v>17</v>
      </c>
      <c r="L109" t="s">
        <v>25</v>
      </c>
      <c r="M109" t="s">
        <v>19</v>
      </c>
      <c r="Q109" s="1"/>
    </row>
    <row r="110" spans="1:17" x14ac:dyDescent="0.3">
      <c r="A110">
        <v>11</v>
      </c>
      <c r="B110">
        <v>5</v>
      </c>
      <c r="C110" s="11">
        <v>46056</v>
      </c>
      <c r="D110" t="s">
        <v>13</v>
      </c>
      <c r="E110">
        <v>1000</v>
      </c>
      <c r="F110" s="11">
        <v>46115</v>
      </c>
      <c r="G110" t="s">
        <v>39</v>
      </c>
      <c r="H110" t="s">
        <v>26</v>
      </c>
      <c r="I110">
        <v>100</v>
      </c>
      <c r="J110" t="s">
        <v>16</v>
      </c>
      <c r="K110" t="s">
        <v>33</v>
      </c>
      <c r="L110" t="s">
        <v>18</v>
      </c>
      <c r="M110" t="s">
        <v>26</v>
      </c>
      <c r="Q110" s="1"/>
    </row>
    <row r="111" spans="1:17" x14ac:dyDescent="0.3">
      <c r="A111">
        <v>28</v>
      </c>
      <c r="B111">
        <v>13</v>
      </c>
      <c r="C111" s="11">
        <v>46238</v>
      </c>
      <c r="D111" t="s">
        <v>20</v>
      </c>
      <c r="E111">
        <v>400</v>
      </c>
      <c r="F111" s="11">
        <v>46269</v>
      </c>
      <c r="G111" t="s">
        <v>42</v>
      </c>
      <c r="H111" t="s">
        <v>19</v>
      </c>
      <c r="I111">
        <v>700</v>
      </c>
      <c r="J111" t="s">
        <v>16</v>
      </c>
      <c r="K111" t="s">
        <v>17</v>
      </c>
      <c r="L111" t="s">
        <v>18</v>
      </c>
      <c r="M111" t="s">
        <v>41</v>
      </c>
      <c r="Q111" s="1"/>
    </row>
    <row r="112" spans="1:17" x14ac:dyDescent="0.3">
      <c r="A112">
        <v>17</v>
      </c>
      <c r="B112">
        <v>8</v>
      </c>
      <c r="C112" s="11">
        <v>46268</v>
      </c>
      <c r="D112" t="s">
        <v>13</v>
      </c>
      <c r="E112">
        <v>500</v>
      </c>
      <c r="F112" s="11">
        <v>46026</v>
      </c>
      <c r="G112" t="s">
        <v>72</v>
      </c>
      <c r="H112" t="s">
        <v>15</v>
      </c>
      <c r="I112">
        <v>200</v>
      </c>
      <c r="J112" t="s">
        <v>16</v>
      </c>
      <c r="K112" t="s">
        <v>33</v>
      </c>
      <c r="L112" t="s">
        <v>34</v>
      </c>
      <c r="M112" t="s">
        <v>19</v>
      </c>
      <c r="Q112" s="1"/>
    </row>
    <row r="113" spans="1:17" x14ac:dyDescent="0.3">
      <c r="A113">
        <v>12</v>
      </c>
      <c r="B113">
        <v>6</v>
      </c>
      <c r="C113" s="11">
        <v>46115</v>
      </c>
      <c r="D113" t="s">
        <v>20</v>
      </c>
      <c r="E113">
        <v>2000</v>
      </c>
      <c r="F113" s="11">
        <v>46176</v>
      </c>
      <c r="G113" t="s">
        <v>21</v>
      </c>
      <c r="H113" t="s">
        <v>63</v>
      </c>
      <c r="I113">
        <v>400</v>
      </c>
      <c r="J113" t="s">
        <v>23</v>
      </c>
      <c r="K113" t="s">
        <v>33</v>
      </c>
      <c r="L113" t="s">
        <v>18</v>
      </c>
      <c r="M113" t="s">
        <v>28</v>
      </c>
      <c r="Q113" s="1"/>
    </row>
    <row r="114" spans="1:17" x14ac:dyDescent="0.3">
      <c r="A114">
        <v>6</v>
      </c>
      <c r="B114">
        <v>2</v>
      </c>
      <c r="C114" s="11">
        <v>46175</v>
      </c>
      <c r="D114" t="s">
        <v>13</v>
      </c>
      <c r="E114">
        <v>6000</v>
      </c>
      <c r="F114" s="11">
        <v>46236</v>
      </c>
      <c r="G114" t="s">
        <v>66</v>
      </c>
      <c r="H114" t="s">
        <v>67</v>
      </c>
      <c r="I114">
        <v>500</v>
      </c>
      <c r="J114" t="s">
        <v>23</v>
      </c>
      <c r="K114" t="s">
        <v>33</v>
      </c>
      <c r="L114" t="s">
        <v>18</v>
      </c>
      <c r="M114" t="s">
        <v>46</v>
      </c>
      <c r="Q114" s="1"/>
    </row>
    <row r="115" spans="1:17" x14ac:dyDescent="0.3">
      <c r="A115">
        <v>21</v>
      </c>
      <c r="B115">
        <v>10</v>
      </c>
      <c r="C115" s="11">
        <v>46116</v>
      </c>
      <c r="D115" t="s">
        <v>20</v>
      </c>
      <c r="E115">
        <v>300</v>
      </c>
      <c r="F115" s="11">
        <v>46146</v>
      </c>
      <c r="G115" t="s">
        <v>39</v>
      </c>
      <c r="H115" t="s">
        <v>15</v>
      </c>
      <c r="I115">
        <v>600</v>
      </c>
      <c r="J115" t="s">
        <v>16</v>
      </c>
      <c r="K115" t="s">
        <v>17</v>
      </c>
      <c r="L115" t="s">
        <v>18</v>
      </c>
      <c r="M115" t="s">
        <v>19</v>
      </c>
      <c r="Q115" s="1"/>
    </row>
    <row r="116" spans="1:17" x14ac:dyDescent="0.3">
      <c r="A116">
        <v>10</v>
      </c>
      <c r="B116">
        <v>4</v>
      </c>
      <c r="C116" s="11" t="s">
        <v>52</v>
      </c>
      <c r="D116" t="s">
        <v>13</v>
      </c>
      <c r="E116">
        <v>700</v>
      </c>
      <c r="F116" s="11">
        <v>46025</v>
      </c>
      <c r="G116" t="s">
        <v>21</v>
      </c>
      <c r="H116" t="s">
        <v>67</v>
      </c>
      <c r="I116">
        <v>100</v>
      </c>
      <c r="J116" t="s">
        <v>16</v>
      </c>
      <c r="K116" t="s">
        <v>24</v>
      </c>
      <c r="L116" t="s">
        <v>18</v>
      </c>
      <c r="M116" t="s">
        <v>46</v>
      </c>
      <c r="Q116" s="1"/>
    </row>
    <row r="117" spans="1:17" x14ac:dyDescent="0.3">
      <c r="A117">
        <v>35</v>
      </c>
      <c r="B117">
        <v>16</v>
      </c>
      <c r="C117" s="11">
        <v>46238</v>
      </c>
      <c r="D117" t="s">
        <v>20</v>
      </c>
      <c r="E117">
        <v>5000</v>
      </c>
      <c r="F117" s="11">
        <v>46269</v>
      </c>
      <c r="G117" t="s">
        <v>31</v>
      </c>
      <c r="H117" t="s">
        <v>19</v>
      </c>
      <c r="I117">
        <v>800</v>
      </c>
      <c r="J117" t="s">
        <v>23</v>
      </c>
      <c r="K117" t="s">
        <v>17</v>
      </c>
      <c r="L117" t="s">
        <v>18</v>
      </c>
      <c r="M117" t="s">
        <v>41</v>
      </c>
      <c r="Q117" s="1"/>
    </row>
    <row r="118" spans="1:17" x14ac:dyDescent="0.3">
      <c r="A118">
        <v>20</v>
      </c>
      <c r="B118">
        <v>9</v>
      </c>
      <c r="C118" s="11">
        <v>46057</v>
      </c>
      <c r="D118" t="s">
        <v>13</v>
      </c>
      <c r="E118">
        <v>800</v>
      </c>
      <c r="F118" s="11">
        <v>46085</v>
      </c>
      <c r="G118" t="s">
        <v>53</v>
      </c>
      <c r="H118" t="s">
        <v>30</v>
      </c>
      <c r="I118">
        <v>300</v>
      </c>
      <c r="J118" t="s">
        <v>16</v>
      </c>
      <c r="K118" t="s">
        <v>17</v>
      </c>
      <c r="L118" t="s">
        <v>18</v>
      </c>
      <c r="M118" t="s">
        <v>15</v>
      </c>
      <c r="Q118" s="1"/>
    </row>
    <row r="119" spans="1:17" x14ac:dyDescent="0.3">
      <c r="A119">
        <v>13</v>
      </c>
      <c r="B119">
        <v>6</v>
      </c>
      <c r="C119" s="11">
        <v>46145</v>
      </c>
      <c r="D119" t="s">
        <v>20</v>
      </c>
      <c r="E119">
        <v>1000</v>
      </c>
      <c r="F119" s="11">
        <v>46206</v>
      </c>
      <c r="G119" t="s">
        <v>60</v>
      </c>
      <c r="H119" t="s">
        <v>61</v>
      </c>
      <c r="I119">
        <v>500</v>
      </c>
      <c r="J119" t="s">
        <v>23</v>
      </c>
      <c r="K119" t="s">
        <v>17</v>
      </c>
      <c r="L119" t="s">
        <v>18</v>
      </c>
      <c r="M119" t="s">
        <v>63</v>
      </c>
      <c r="Q119" s="1"/>
    </row>
    <row r="120" spans="1:17" x14ac:dyDescent="0.3">
      <c r="A120">
        <v>29</v>
      </c>
      <c r="B120">
        <v>14</v>
      </c>
      <c r="C120" s="11">
        <v>46207</v>
      </c>
      <c r="D120" t="s">
        <v>13</v>
      </c>
      <c r="E120">
        <v>2000</v>
      </c>
      <c r="F120" s="11">
        <v>46238</v>
      </c>
      <c r="G120" t="s">
        <v>39</v>
      </c>
      <c r="H120" t="s">
        <v>19</v>
      </c>
      <c r="I120">
        <v>900</v>
      </c>
      <c r="J120" t="s">
        <v>16</v>
      </c>
      <c r="K120" t="s">
        <v>17</v>
      </c>
      <c r="L120" t="s">
        <v>25</v>
      </c>
      <c r="M120" t="s">
        <v>41</v>
      </c>
      <c r="Q120" s="1"/>
    </row>
    <row r="121" spans="1:17" x14ac:dyDescent="0.3">
      <c r="A121">
        <v>15</v>
      </c>
      <c r="B121">
        <v>7</v>
      </c>
      <c r="C121" s="11">
        <v>46237</v>
      </c>
      <c r="D121" t="s">
        <v>20</v>
      </c>
      <c r="E121">
        <v>400</v>
      </c>
      <c r="F121" s="11" t="s">
        <v>64</v>
      </c>
      <c r="G121" t="s">
        <v>75</v>
      </c>
      <c r="H121" t="s">
        <v>28</v>
      </c>
      <c r="I121">
        <v>200</v>
      </c>
      <c r="J121" t="s">
        <v>16</v>
      </c>
      <c r="K121" t="s">
        <v>33</v>
      </c>
      <c r="L121" t="s">
        <v>18</v>
      </c>
      <c r="M121" t="s">
        <v>30</v>
      </c>
      <c r="Q121" s="1"/>
    </row>
    <row r="122" spans="1:17" x14ac:dyDescent="0.3">
      <c r="A122">
        <v>30</v>
      </c>
      <c r="B122">
        <v>15</v>
      </c>
      <c r="C122" s="11">
        <v>46269</v>
      </c>
      <c r="D122" t="s">
        <v>13</v>
      </c>
      <c r="E122">
        <v>600</v>
      </c>
      <c r="F122" s="11" t="s">
        <v>81</v>
      </c>
      <c r="G122" t="s">
        <v>66</v>
      </c>
      <c r="H122" t="s">
        <v>19</v>
      </c>
      <c r="I122">
        <v>700</v>
      </c>
      <c r="J122" t="s">
        <v>16</v>
      </c>
      <c r="K122" t="s">
        <v>17</v>
      </c>
      <c r="L122" t="s">
        <v>18</v>
      </c>
      <c r="M122" t="s">
        <v>41</v>
      </c>
      <c r="Q122" s="1"/>
    </row>
    <row r="123" spans="1:17" x14ac:dyDescent="0.3">
      <c r="A123">
        <v>24</v>
      </c>
      <c r="B123">
        <v>11</v>
      </c>
      <c r="C123" s="11">
        <v>46177</v>
      </c>
      <c r="D123" t="s">
        <v>20</v>
      </c>
      <c r="E123">
        <v>2000</v>
      </c>
      <c r="F123" s="11">
        <v>46207</v>
      </c>
      <c r="G123" t="s">
        <v>50</v>
      </c>
      <c r="H123" t="s">
        <v>19</v>
      </c>
      <c r="I123">
        <v>800</v>
      </c>
      <c r="J123" t="s">
        <v>16</v>
      </c>
      <c r="K123" t="s">
        <v>33</v>
      </c>
      <c r="L123" t="s">
        <v>18</v>
      </c>
      <c r="M123" t="s">
        <v>41</v>
      </c>
      <c r="Q123" s="1"/>
    </row>
    <row r="124" spans="1:17" x14ac:dyDescent="0.3">
      <c r="A124">
        <v>18</v>
      </c>
      <c r="B124">
        <v>8</v>
      </c>
      <c r="C124" s="11" t="s">
        <v>64</v>
      </c>
      <c r="D124" t="s">
        <v>13</v>
      </c>
      <c r="E124">
        <v>300</v>
      </c>
      <c r="F124" s="11">
        <v>46026</v>
      </c>
      <c r="G124" t="s">
        <v>14</v>
      </c>
      <c r="H124" t="s">
        <v>30</v>
      </c>
      <c r="I124">
        <v>200</v>
      </c>
      <c r="J124" t="s">
        <v>16</v>
      </c>
      <c r="K124" t="s">
        <v>17</v>
      </c>
      <c r="L124" t="s">
        <v>18</v>
      </c>
      <c r="M124" t="s">
        <v>15</v>
      </c>
      <c r="Q124" s="1"/>
    </row>
    <row r="125" spans="1:17" x14ac:dyDescent="0.3">
      <c r="A125">
        <v>32</v>
      </c>
      <c r="B125">
        <v>15</v>
      </c>
      <c r="C125" s="11">
        <v>46238</v>
      </c>
      <c r="D125" t="s">
        <v>20</v>
      </c>
      <c r="E125">
        <v>800</v>
      </c>
      <c r="F125" s="11">
        <v>46269</v>
      </c>
      <c r="G125" t="s">
        <v>57</v>
      </c>
      <c r="H125" t="s">
        <v>19</v>
      </c>
      <c r="I125">
        <v>700</v>
      </c>
      <c r="J125" t="s">
        <v>16</v>
      </c>
      <c r="K125" t="s">
        <v>17</v>
      </c>
      <c r="L125" t="s">
        <v>25</v>
      </c>
      <c r="M125" t="s">
        <v>41</v>
      </c>
      <c r="Q125" s="1"/>
    </row>
    <row r="126" spans="1:17" x14ac:dyDescent="0.3">
      <c r="A126">
        <v>5</v>
      </c>
      <c r="B126">
        <v>2</v>
      </c>
      <c r="C126" s="11">
        <v>46144</v>
      </c>
      <c r="D126" t="s">
        <v>13</v>
      </c>
      <c r="E126">
        <v>5000</v>
      </c>
      <c r="F126" s="11">
        <v>46205</v>
      </c>
      <c r="G126" t="s">
        <v>76</v>
      </c>
      <c r="H126" t="s">
        <v>67</v>
      </c>
      <c r="I126">
        <v>500</v>
      </c>
      <c r="J126" t="s">
        <v>23</v>
      </c>
      <c r="K126" t="s">
        <v>17</v>
      </c>
      <c r="L126" t="s">
        <v>18</v>
      </c>
      <c r="M126" t="s">
        <v>46</v>
      </c>
      <c r="Q126" s="1"/>
    </row>
    <row r="127" spans="1:17" x14ac:dyDescent="0.3">
      <c r="A127">
        <v>18</v>
      </c>
      <c r="B127">
        <v>8</v>
      </c>
      <c r="C127" s="11">
        <v>46026</v>
      </c>
      <c r="D127" t="s">
        <v>20</v>
      </c>
      <c r="E127">
        <v>7000</v>
      </c>
      <c r="F127" s="11">
        <v>46057</v>
      </c>
      <c r="G127" t="s">
        <v>48</v>
      </c>
      <c r="H127" t="s">
        <v>15</v>
      </c>
      <c r="I127">
        <v>900</v>
      </c>
      <c r="J127" t="s">
        <v>16</v>
      </c>
      <c r="K127" t="s">
        <v>17</v>
      </c>
      <c r="L127" t="s">
        <v>18</v>
      </c>
      <c r="M127" t="s">
        <v>19</v>
      </c>
      <c r="Q127" s="1"/>
    </row>
    <row r="128" spans="1:17" x14ac:dyDescent="0.3">
      <c r="A128">
        <v>14</v>
      </c>
      <c r="B128">
        <v>7</v>
      </c>
      <c r="C128" s="11">
        <v>46237</v>
      </c>
      <c r="D128" t="s">
        <v>13</v>
      </c>
      <c r="E128">
        <v>300</v>
      </c>
      <c r="F128" s="11" t="s">
        <v>64</v>
      </c>
      <c r="G128" t="s">
        <v>42</v>
      </c>
      <c r="H128" t="s">
        <v>28</v>
      </c>
      <c r="I128">
        <v>200</v>
      </c>
      <c r="J128" t="s">
        <v>16</v>
      </c>
      <c r="K128" t="s">
        <v>33</v>
      </c>
      <c r="L128" t="s">
        <v>34</v>
      </c>
      <c r="M128" t="s">
        <v>30</v>
      </c>
      <c r="Q128" s="1"/>
    </row>
    <row r="129" spans="1:17" x14ac:dyDescent="0.3">
      <c r="A129">
        <v>7</v>
      </c>
      <c r="B129">
        <v>3</v>
      </c>
      <c r="C129" s="11" t="s">
        <v>52</v>
      </c>
      <c r="D129" t="s">
        <v>20</v>
      </c>
      <c r="E129">
        <v>400</v>
      </c>
      <c r="F129" s="11">
        <v>46025</v>
      </c>
      <c r="G129" t="s">
        <v>69</v>
      </c>
      <c r="H129" t="s">
        <v>32</v>
      </c>
      <c r="I129">
        <v>300</v>
      </c>
      <c r="J129" t="s">
        <v>16</v>
      </c>
      <c r="K129" t="s">
        <v>33</v>
      </c>
      <c r="L129" t="s">
        <v>18</v>
      </c>
      <c r="M129" t="s">
        <v>32</v>
      </c>
      <c r="Q129" s="1"/>
    </row>
    <row r="130" spans="1:17" x14ac:dyDescent="0.3">
      <c r="A130">
        <v>23</v>
      </c>
      <c r="B130">
        <v>11</v>
      </c>
      <c r="C130" s="11">
        <v>46085</v>
      </c>
      <c r="D130" t="s">
        <v>13</v>
      </c>
      <c r="E130">
        <v>800</v>
      </c>
      <c r="F130" s="11">
        <v>46146</v>
      </c>
      <c r="G130" t="s">
        <v>39</v>
      </c>
      <c r="H130" t="s">
        <v>30</v>
      </c>
      <c r="I130">
        <v>400</v>
      </c>
      <c r="J130" t="s">
        <v>16</v>
      </c>
      <c r="K130" t="s">
        <v>33</v>
      </c>
      <c r="L130" t="s">
        <v>18</v>
      </c>
      <c r="M130" t="s">
        <v>15</v>
      </c>
      <c r="Q130" s="1"/>
    </row>
    <row r="131" spans="1:17" x14ac:dyDescent="0.3">
      <c r="A131">
        <v>12</v>
      </c>
      <c r="B131">
        <v>6</v>
      </c>
      <c r="C131" s="11">
        <v>46084</v>
      </c>
      <c r="D131" t="s">
        <v>20</v>
      </c>
      <c r="E131">
        <v>2000</v>
      </c>
      <c r="F131" s="11">
        <v>46145</v>
      </c>
      <c r="G131" t="s">
        <v>66</v>
      </c>
      <c r="H131" t="s">
        <v>63</v>
      </c>
      <c r="I131">
        <v>500</v>
      </c>
      <c r="J131" t="s">
        <v>23</v>
      </c>
      <c r="K131" t="s">
        <v>17</v>
      </c>
      <c r="L131" t="s">
        <v>25</v>
      </c>
      <c r="M131" t="s">
        <v>28</v>
      </c>
      <c r="Q131" s="1"/>
    </row>
    <row r="132" spans="1:17" x14ac:dyDescent="0.3">
      <c r="A132">
        <v>27</v>
      </c>
      <c r="B132">
        <v>13</v>
      </c>
      <c r="C132" s="11">
        <v>46177</v>
      </c>
      <c r="D132" t="s">
        <v>13</v>
      </c>
      <c r="E132">
        <v>1000</v>
      </c>
      <c r="F132" s="11">
        <v>46207</v>
      </c>
      <c r="G132" t="s">
        <v>71</v>
      </c>
      <c r="H132" t="s">
        <v>19</v>
      </c>
      <c r="I132">
        <v>800</v>
      </c>
      <c r="J132" t="s">
        <v>16</v>
      </c>
      <c r="K132" t="s">
        <v>33</v>
      </c>
      <c r="L132" t="s">
        <v>18</v>
      </c>
      <c r="M132" t="s">
        <v>41</v>
      </c>
      <c r="Q132" s="1"/>
    </row>
    <row r="133" spans="1:17" x14ac:dyDescent="0.3">
      <c r="A133">
        <v>10</v>
      </c>
      <c r="B133">
        <v>5</v>
      </c>
      <c r="C133" s="11">
        <v>46025</v>
      </c>
      <c r="D133" t="s">
        <v>20</v>
      </c>
      <c r="E133">
        <v>5000</v>
      </c>
      <c r="F133" s="11">
        <v>46056</v>
      </c>
      <c r="G133" t="s">
        <v>55</v>
      </c>
      <c r="H133" t="s">
        <v>36</v>
      </c>
      <c r="I133">
        <v>600</v>
      </c>
      <c r="J133" t="s">
        <v>23</v>
      </c>
      <c r="K133" t="s">
        <v>33</v>
      </c>
      <c r="L133" t="s">
        <v>34</v>
      </c>
      <c r="M133" t="s">
        <v>32</v>
      </c>
      <c r="Q133" s="1"/>
    </row>
    <row r="134" spans="1:17" x14ac:dyDescent="0.3">
      <c r="A134">
        <v>36</v>
      </c>
      <c r="B134">
        <v>17</v>
      </c>
      <c r="C134" s="11">
        <v>46238</v>
      </c>
      <c r="D134" t="s">
        <v>13</v>
      </c>
      <c r="E134">
        <v>200</v>
      </c>
      <c r="F134" s="11">
        <v>46269</v>
      </c>
      <c r="G134" t="s">
        <v>44</v>
      </c>
      <c r="H134" t="s">
        <v>19</v>
      </c>
      <c r="I134">
        <v>700</v>
      </c>
      <c r="J134" t="s">
        <v>16</v>
      </c>
      <c r="K134" t="s">
        <v>17</v>
      </c>
      <c r="L134" t="s">
        <v>18</v>
      </c>
      <c r="M134" t="s">
        <v>41</v>
      </c>
      <c r="Q134" s="1"/>
    </row>
    <row r="135" spans="1:17" x14ac:dyDescent="0.3">
      <c r="A135">
        <v>16</v>
      </c>
      <c r="B135">
        <v>8</v>
      </c>
      <c r="C135" s="11">
        <v>46237</v>
      </c>
      <c r="D135" t="s">
        <v>20</v>
      </c>
      <c r="E135">
        <v>900</v>
      </c>
      <c r="F135" s="11" t="s">
        <v>64</v>
      </c>
      <c r="G135" t="s">
        <v>31</v>
      </c>
      <c r="H135" t="s">
        <v>30</v>
      </c>
      <c r="I135">
        <v>200</v>
      </c>
      <c r="J135" t="s">
        <v>16</v>
      </c>
      <c r="K135" t="s">
        <v>33</v>
      </c>
      <c r="L135" t="s">
        <v>18</v>
      </c>
      <c r="M135" t="s">
        <v>15</v>
      </c>
      <c r="Q135" s="1"/>
    </row>
    <row r="136" spans="1:17" x14ac:dyDescent="0.3">
      <c r="A136">
        <v>8</v>
      </c>
      <c r="B136">
        <v>4</v>
      </c>
      <c r="C136" s="11">
        <v>46056</v>
      </c>
      <c r="D136" t="s">
        <v>13</v>
      </c>
      <c r="E136">
        <v>3000</v>
      </c>
      <c r="F136" s="11">
        <v>46115</v>
      </c>
      <c r="G136" t="s">
        <v>77</v>
      </c>
      <c r="H136" t="s">
        <v>26</v>
      </c>
      <c r="I136">
        <v>400</v>
      </c>
      <c r="J136" t="s">
        <v>16</v>
      </c>
      <c r="K136" t="s">
        <v>17</v>
      </c>
      <c r="L136" t="s">
        <v>18</v>
      </c>
      <c r="M136" t="s">
        <v>43</v>
      </c>
      <c r="Q136" s="1"/>
    </row>
    <row r="137" spans="1:17" x14ac:dyDescent="0.3">
      <c r="A137">
        <v>31</v>
      </c>
      <c r="B137">
        <v>15</v>
      </c>
      <c r="C137" s="11">
        <v>46207</v>
      </c>
      <c r="D137" t="s">
        <v>20</v>
      </c>
      <c r="E137">
        <v>600</v>
      </c>
      <c r="F137" s="11">
        <v>46238</v>
      </c>
      <c r="G137" t="s">
        <v>66</v>
      </c>
      <c r="H137" t="s">
        <v>19</v>
      </c>
      <c r="I137">
        <v>700</v>
      </c>
      <c r="J137" t="s">
        <v>16</v>
      </c>
      <c r="K137" t="s">
        <v>17</v>
      </c>
      <c r="L137" t="s">
        <v>18</v>
      </c>
      <c r="M137" t="s">
        <v>41</v>
      </c>
      <c r="Q137" s="1"/>
    </row>
    <row r="138" spans="1:17" x14ac:dyDescent="0.3">
      <c r="A138">
        <v>20</v>
      </c>
      <c r="B138">
        <v>10</v>
      </c>
      <c r="C138" s="11">
        <v>46085</v>
      </c>
      <c r="D138" t="s">
        <v>13</v>
      </c>
      <c r="E138">
        <v>1000</v>
      </c>
      <c r="F138" s="11">
        <v>46116</v>
      </c>
      <c r="G138" t="s">
        <v>21</v>
      </c>
      <c r="H138" t="s">
        <v>15</v>
      </c>
      <c r="I138">
        <v>300</v>
      </c>
      <c r="J138" t="s">
        <v>16</v>
      </c>
      <c r="K138" t="s">
        <v>33</v>
      </c>
      <c r="L138" t="s">
        <v>18</v>
      </c>
      <c r="M138" t="s">
        <v>19</v>
      </c>
      <c r="Q138" s="1"/>
    </row>
    <row r="139" spans="1:17" x14ac:dyDescent="0.3">
      <c r="A139">
        <v>11</v>
      </c>
      <c r="B139">
        <v>5</v>
      </c>
      <c r="C139" s="11">
        <v>46056</v>
      </c>
      <c r="D139" t="s">
        <v>20</v>
      </c>
      <c r="E139">
        <v>4000</v>
      </c>
      <c r="F139" s="11">
        <v>46115</v>
      </c>
      <c r="G139" t="s">
        <v>69</v>
      </c>
      <c r="H139" t="s">
        <v>32</v>
      </c>
      <c r="I139">
        <v>500</v>
      </c>
      <c r="J139" t="s">
        <v>23</v>
      </c>
      <c r="K139" t="s">
        <v>17</v>
      </c>
      <c r="L139" t="s">
        <v>18</v>
      </c>
      <c r="M139" t="s">
        <v>26</v>
      </c>
      <c r="Q139" s="1"/>
    </row>
    <row r="140" spans="1:17" x14ac:dyDescent="0.3">
      <c r="A140">
        <v>28</v>
      </c>
      <c r="B140">
        <v>14</v>
      </c>
      <c r="C140" s="11">
        <v>46207</v>
      </c>
      <c r="D140" t="s">
        <v>13</v>
      </c>
      <c r="E140">
        <v>200</v>
      </c>
      <c r="F140" s="11">
        <v>46238</v>
      </c>
      <c r="G140" t="s">
        <v>60</v>
      </c>
      <c r="H140" t="s">
        <v>19</v>
      </c>
      <c r="I140">
        <v>800</v>
      </c>
      <c r="J140" t="s">
        <v>16</v>
      </c>
      <c r="K140" t="s">
        <v>17</v>
      </c>
      <c r="L140" t="s">
        <v>25</v>
      </c>
      <c r="M140" t="s">
        <v>41</v>
      </c>
      <c r="Q140" s="1"/>
    </row>
    <row r="141" spans="1:17" x14ac:dyDescent="0.3">
      <c r="A141">
        <v>15</v>
      </c>
      <c r="B141">
        <v>8</v>
      </c>
      <c r="C141" s="11">
        <v>46268</v>
      </c>
      <c r="D141" t="s">
        <v>20</v>
      </c>
      <c r="E141">
        <v>500</v>
      </c>
      <c r="F141" s="11">
        <v>46026</v>
      </c>
      <c r="G141" t="s">
        <v>39</v>
      </c>
      <c r="H141" t="s">
        <v>30</v>
      </c>
      <c r="I141">
        <v>200</v>
      </c>
      <c r="J141" t="s">
        <v>16</v>
      </c>
      <c r="K141" t="s">
        <v>33</v>
      </c>
      <c r="L141" t="s">
        <v>18</v>
      </c>
      <c r="M141" t="s">
        <v>15</v>
      </c>
      <c r="Q141" s="1"/>
    </row>
    <row r="142" spans="1:17" x14ac:dyDescent="0.3">
      <c r="A142">
        <v>9</v>
      </c>
      <c r="B142">
        <v>4</v>
      </c>
      <c r="C142" s="11">
        <v>46267</v>
      </c>
      <c r="D142" t="s">
        <v>13</v>
      </c>
      <c r="E142">
        <v>3000</v>
      </c>
      <c r="F142" s="11">
        <v>46025</v>
      </c>
      <c r="G142" t="s">
        <v>42</v>
      </c>
      <c r="H142" t="s">
        <v>36</v>
      </c>
      <c r="I142">
        <v>600</v>
      </c>
      <c r="J142" t="s">
        <v>23</v>
      </c>
      <c r="K142" t="s">
        <v>33</v>
      </c>
      <c r="L142" t="s">
        <v>25</v>
      </c>
      <c r="M142" t="s">
        <v>32</v>
      </c>
      <c r="Q142" s="1"/>
    </row>
    <row r="143" spans="1:17" x14ac:dyDescent="0.3">
      <c r="A143">
        <v>24</v>
      </c>
      <c r="B143">
        <v>12</v>
      </c>
      <c r="C143" s="11">
        <v>46146</v>
      </c>
      <c r="D143" t="s">
        <v>20</v>
      </c>
      <c r="E143">
        <v>900</v>
      </c>
      <c r="F143" s="11">
        <v>46177</v>
      </c>
      <c r="G143" t="s">
        <v>48</v>
      </c>
      <c r="H143" t="s">
        <v>15</v>
      </c>
      <c r="I143">
        <v>300</v>
      </c>
      <c r="J143" t="s">
        <v>16</v>
      </c>
      <c r="K143" t="s">
        <v>17</v>
      </c>
      <c r="L143" t="s">
        <v>18</v>
      </c>
      <c r="M143" t="s">
        <v>19</v>
      </c>
      <c r="Q143" s="1"/>
    </row>
    <row r="144" spans="1:17" x14ac:dyDescent="0.3">
      <c r="A144">
        <v>13</v>
      </c>
      <c r="B144">
        <v>7</v>
      </c>
      <c r="C144" s="11">
        <v>46206</v>
      </c>
      <c r="D144" t="s">
        <v>13</v>
      </c>
      <c r="E144">
        <v>100</v>
      </c>
      <c r="F144" s="11">
        <v>46237</v>
      </c>
      <c r="G144" t="s">
        <v>78</v>
      </c>
      <c r="H144" t="s">
        <v>28</v>
      </c>
      <c r="I144">
        <v>200</v>
      </c>
      <c r="J144" t="s">
        <v>16</v>
      </c>
      <c r="K144" t="s">
        <v>33</v>
      </c>
      <c r="L144" t="s">
        <v>34</v>
      </c>
      <c r="M144" t="s">
        <v>30</v>
      </c>
      <c r="Q144" s="1"/>
    </row>
    <row r="145" spans="1:17" x14ac:dyDescent="0.3">
      <c r="A145">
        <v>6</v>
      </c>
      <c r="B145">
        <v>3</v>
      </c>
      <c r="C145" s="11">
        <v>46267</v>
      </c>
      <c r="D145" t="s">
        <v>20</v>
      </c>
      <c r="E145">
        <v>6000</v>
      </c>
      <c r="F145" s="11">
        <v>46025</v>
      </c>
      <c r="G145" t="s">
        <v>66</v>
      </c>
      <c r="H145" t="s">
        <v>36</v>
      </c>
      <c r="I145">
        <v>500</v>
      </c>
      <c r="J145" t="s">
        <v>23</v>
      </c>
      <c r="K145" t="s">
        <v>17</v>
      </c>
      <c r="L145" t="s">
        <v>18</v>
      </c>
      <c r="M145" t="s">
        <v>32</v>
      </c>
      <c r="Q145" s="1"/>
    </row>
    <row r="146" spans="1:17" x14ac:dyDescent="0.3">
      <c r="A146">
        <v>21</v>
      </c>
      <c r="B146">
        <v>11</v>
      </c>
      <c r="C146" s="11">
        <v>46116</v>
      </c>
      <c r="D146" t="s">
        <v>13</v>
      </c>
      <c r="E146">
        <v>500</v>
      </c>
      <c r="F146" s="11">
        <v>46177</v>
      </c>
      <c r="G146" t="s">
        <v>73</v>
      </c>
      <c r="H146" t="s">
        <v>30</v>
      </c>
      <c r="I146">
        <v>400</v>
      </c>
      <c r="J146" t="s">
        <v>16</v>
      </c>
      <c r="K146" t="s">
        <v>33</v>
      </c>
      <c r="L146" t="s">
        <v>18</v>
      </c>
      <c r="M146" t="s">
        <v>15</v>
      </c>
      <c r="Q146" s="1"/>
    </row>
    <row r="147" spans="1:17" x14ac:dyDescent="0.3">
      <c r="A147">
        <v>32</v>
      </c>
      <c r="B147">
        <v>16</v>
      </c>
      <c r="C147" s="11">
        <v>46238</v>
      </c>
      <c r="D147" t="s">
        <v>20</v>
      </c>
      <c r="E147">
        <v>2000</v>
      </c>
      <c r="F147" s="11">
        <v>46269</v>
      </c>
      <c r="G147" t="s">
        <v>55</v>
      </c>
      <c r="H147" t="s">
        <v>19</v>
      </c>
      <c r="I147">
        <v>700</v>
      </c>
      <c r="J147" t="s">
        <v>16</v>
      </c>
      <c r="K147" t="s">
        <v>17</v>
      </c>
      <c r="L147" t="s">
        <v>18</v>
      </c>
      <c r="M147" t="s">
        <v>41</v>
      </c>
      <c r="Q147" s="1"/>
    </row>
    <row r="148" spans="1:17" x14ac:dyDescent="0.3">
      <c r="A148">
        <v>17</v>
      </c>
      <c r="B148">
        <v>9</v>
      </c>
      <c r="C148" s="11">
        <v>46026</v>
      </c>
      <c r="D148" t="s">
        <v>13</v>
      </c>
      <c r="E148">
        <v>400</v>
      </c>
      <c r="F148" s="11">
        <v>46057</v>
      </c>
      <c r="G148" t="s">
        <v>27</v>
      </c>
      <c r="H148" t="s">
        <v>15</v>
      </c>
      <c r="I148">
        <v>200</v>
      </c>
      <c r="J148" t="s">
        <v>16</v>
      </c>
      <c r="K148" t="s">
        <v>33</v>
      </c>
      <c r="L148" t="s">
        <v>34</v>
      </c>
      <c r="M148" t="s">
        <v>19</v>
      </c>
      <c r="Q148" s="1"/>
    </row>
    <row r="149" spans="1:17" x14ac:dyDescent="0.3">
      <c r="A149">
        <v>25</v>
      </c>
      <c r="B149">
        <v>13</v>
      </c>
      <c r="C149" s="11">
        <v>46177</v>
      </c>
      <c r="D149" t="s">
        <v>20</v>
      </c>
      <c r="E149">
        <v>300</v>
      </c>
      <c r="F149" s="11">
        <v>46207</v>
      </c>
      <c r="G149" t="s">
        <v>39</v>
      </c>
      <c r="H149" t="s">
        <v>19</v>
      </c>
      <c r="I149">
        <v>800</v>
      </c>
      <c r="J149" t="s">
        <v>16</v>
      </c>
      <c r="K149" t="s">
        <v>17</v>
      </c>
      <c r="L149" t="s">
        <v>18</v>
      </c>
      <c r="M149" t="s">
        <v>41</v>
      </c>
      <c r="Q149" s="1"/>
    </row>
    <row r="150" spans="1:17" x14ac:dyDescent="0.3">
      <c r="A150">
        <v>19</v>
      </c>
      <c r="B150">
        <v>9</v>
      </c>
      <c r="C150" s="11">
        <v>46057</v>
      </c>
      <c r="D150" t="s">
        <v>13</v>
      </c>
      <c r="E150">
        <v>200</v>
      </c>
      <c r="F150" s="11">
        <v>46085</v>
      </c>
      <c r="G150" t="s">
        <v>60</v>
      </c>
      <c r="H150" t="s">
        <v>15</v>
      </c>
      <c r="I150">
        <v>300</v>
      </c>
      <c r="J150" t="s">
        <v>16</v>
      </c>
      <c r="K150" t="s">
        <v>33</v>
      </c>
      <c r="L150" t="s">
        <v>18</v>
      </c>
      <c r="M150" t="s">
        <v>19</v>
      </c>
      <c r="Q150" s="1"/>
    </row>
    <row r="151" spans="1:17" x14ac:dyDescent="0.3">
      <c r="A151">
        <v>34</v>
      </c>
      <c r="B151">
        <v>17</v>
      </c>
      <c r="C151" s="11">
        <v>46269</v>
      </c>
      <c r="D151" t="s">
        <v>20</v>
      </c>
      <c r="E151">
        <v>7000</v>
      </c>
      <c r="F151" s="11" t="s">
        <v>81</v>
      </c>
      <c r="G151" t="s">
        <v>35</v>
      </c>
      <c r="H151" t="s">
        <v>19</v>
      </c>
      <c r="I151">
        <v>900</v>
      </c>
      <c r="J151" t="s">
        <v>23</v>
      </c>
      <c r="K151" t="s">
        <v>17</v>
      </c>
      <c r="L151" t="s">
        <v>25</v>
      </c>
      <c r="M151" t="s">
        <v>41</v>
      </c>
      <c r="Q151" s="1"/>
    </row>
    <row r="152" spans="1:17" x14ac:dyDescent="0.3">
      <c r="A152">
        <v>22</v>
      </c>
      <c r="B152">
        <v>11</v>
      </c>
      <c r="C152" s="11">
        <v>46146</v>
      </c>
      <c r="D152" t="s">
        <v>13</v>
      </c>
      <c r="E152">
        <v>1000</v>
      </c>
      <c r="F152" s="11">
        <v>46207</v>
      </c>
      <c r="G152" t="s">
        <v>66</v>
      </c>
      <c r="H152" t="s">
        <v>15</v>
      </c>
      <c r="I152">
        <v>400</v>
      </c>
      <c r="J152" t="s">
        <v>16</v>
      </c>
      <c r="K152" t="s">
        <v>17</v>
      </c>
      <c r="L152" t="s">
        <v>18</v>
      </c>
      <c r="M152" t="s">
        <v>19</v>
      </c>
      <c r="Q152" s="1"/>
    </row>
    <row r="153" spans="1:17" x14ac:dyDescent="0.3">
      <c r="A153">
        <v>16</v>
      </c>
      <c r="B153">
        <v>8</v>
      </c>
      <c r="C153" s="11">
        <v>46237</v>
      </c>
      <c r="D153" t="s">
        <v>20</v>
      </c>
      <c r="E153">
        <v>400</v>
      </c>
      <c r="F153" s="11" t="s">
        <v>64</v>
      </c>
      <c r="G153" t="s">
        <v>31</v>
      </c>
      <c r="H153" t="s">
        <v>30</v>
      </c>
      <c r="I153">
        <v>200</v>
      </c>
      <c r="J153" t="s">
        <v>16</v>
      </c>
      <c r="K153" t="s">
        <v>33</v>
      </c>
      <c r="L153" t="s">
        <v>18</v>
      </c>
      <c r="M153" t="s">
        <v>15</v>
      </c>
      <c r="Q153" s="1"/>
    </row>
    <row r="154" spans="1:17" x14ac:dyDescent="0.3">
      <c r="A154">
        <v>10</v>
      </c>
      <c r="B154">
        <v>5</v>
      </c>
      <c r="C154" s="11">
        <v>46025</v>
      </c>
      <c r="D154" t="s">
        <v>13</v>
      </c>
      <c r="E154">
        <v>5000</v>
      </c>
      <c r="F154" s="11">
        <v>46056</v>
      </c>
      <c r="G154" t="s">
        <v>55</v>
      </c>
      <c r="H154" t="s">
        <v>36</v>
      </c>
      <c r="I154">
        <v>600</v>
      </c>
      <c r="J154" t="s">
        <v>23</v>
      </c>
      <c r="K154" t="s">
        <v>33</v>
      </c>
      <c r="L154" t="s">
        <v>34</v>
      </c>
      <c r="M154" t="s">
        <v>32</v>
      </c>
      <c r="Q154" s="1"/>
    </row>
    <row r="155" spans="1:17" x14ac:dyDescent="0.3">
      <c r="A155">
        <v>27</v>
      </c>
      <c r="B155">
        <v>13</v>
      </c>
      <c r="C155" s="11">
        <v>46177</v>
      </c>
      <c r="D155" t="s">
        <v>13</v>
      </c>
      <c r="E155">
        <v>1000</v>
      </c>
      <c r="F155" s="11">
        <v>46238</v>
      </c>
      <c r="G155" t="s">
        <v>42</v>
      </c>
      <c r="H155" t="s">
        <v>19</v>
      </c>
      <c r="I155">
        <v>800</v>
      </c>
      <c r="J155" t="s">
        <v>16</v>
      </c>
      <c r="K155" t="s">
        <v>33</v>
      </c>
      <c r="L155" t="s">
        <v>18</v>
      </c>
      <c r="M155" t="s">
        <v>41</v>
      </c>
      <c r="Q155" s="1"/>
    </row>
    <row r="156" spans="1:17" x14ac:dyDescent="0.3">
      <c r="A156">
        <v>7</v>
      </c>
      <c r="B156">
        <v>3</v>
      </c>
      <c r="C156" s="11">
        <v>46267</v>
      </c>
      <c r="D156" t="s">
        <v>20</v>
      </c>
      <c r="E156">
        <v>4000</v>
      </c>
      <c r="F156" s="11">
        <v>46025</v>
      </c>
      <c r="G156" t="s">
        <v>57</v>
      </c>
      <c r="H156" t="s">
        <v>36</v>
      </c>
      <c r="I156">
        <v>500</v>
      </c>
      <c r="J156" t="s">
        <v>23</v>
      </c>
      <c r="K156" t="s">
        <v>17</v>
      </c>
      <c r="L156" t="s">
        <v>18</v>
      </c>
      <c r="M156" t="s">
        <v>32</v>
      </c>
      <c r="Q156" s="1"/>
    </row>
    <row r="157" spans="1:17" x14ac:dyDescent="0.3">
      <c r="A157">
        <v>23</v>
      </c>
      <c r="B157">
        <v>11</v>
      </c>
      <c r="C157" s="11">
        <v>46116</v>
      </c>
      <c r="D157" t="s">
        <v>13</v>
      </c>
      <c r="E157">
        <v>800</v>
      </c>
      <c r="F157" s="11">
        <v>46177</v>
      </c>
      <c r="G157" t="s">
        <v>39</v>
      </c>
      <c r="H157" t="s">
        <v>30</v>
      </c>
      <c r="I157">
        <v>400</v>
      </c>
      <c r="J157" t="s">
        <v>16</v>
      </c>
      <c r="K157" t="s">
        <v>33</v>
      </c>
      <c r="L157" t="s">
        <v>18</v>
      </c>
      <c r="M157" t="s">
        <v>15</v>
      </c>
      <c r="Q157" s="1"/>
    </row>
    <row r="158" spans="1:17" x14ac:dyDescent="0.3">
      <c r="A158">
        <v>12</v>
      </c>
      <c r="B158">
        <v>6</v>
      </c>
      <c r="C158" s="11">
        <v>46084</v>
      </c>
      <c r="D158" t="s">
        <v>20</v>
      </c>
      <c r="E158">
        <v>2000</v>
      </c>
      <c r="F158" s="11">
        <v>46145</v>
      </c>
      <c r="G158" t="s">
        <v>66</v>
      </c>
      <c r="H158" t="s">
        <v>63</v>
      </c>
      <c r="I158">
        <v>500</v>
      </c>
      <c r="J158" t="s">
        <v>23</v>
      </c>
      <c r="K158" t="s">
        <v>17</v>
      </c>
      <c r="L158" t="s">
        <v>25</v>
      </c>
      <c r="M158" t="s">
        <v>28</v>
      </c>
      <c r="Q158" s="1"/>
    </row>
    <row r="159" spans="1:17" x14ac:dyDescent="0.3">
      <c r="A159">
        <v>28</v>
      </c>
      <c r="B159">
        <v>14</v>
      </c>
      <c r="C159" s="11">
        <v>46207</v>
      </c>
      <c r="D159" t="s">
        <v>13</v>
      </c>
      <c r="E159">
        <v>100</v>
      </c>
      <c r="F159" s="11">
        <v>46238</v>
      </c>
      <c r="G159" t="s">
        <v>60</v>
      </c>
      <c r="H159" t="s">
        <v>19</v>
      </c>
      <c r="I159">
        <v>800</v>
      </c>
      <c r="J159" t="s">
        <v>16</v>
      </c>
      <c r="K159" t="s">
        <v>17</v>
      </c>
      <c r="L159" t="s">
        <v>25</v>
      </c>
      <c r="M159" t="s">
        <v>41</v>
      </c>
      <c r="Q159" s="1"/>
    </row>
    <row r="160" spans="1:17" x14ac:dyDescent="0.3">
      <c r="A160">
        <v>16</v>
      </c>
      <c r="B160">
        <v>8</v>
      </c>
      <c r="C160" s="11">
        <v>46237</v>
      </c>
      <c r="D160" t="s">
        <v>20</v>
      </c>
      <c r="E160">
        <v>900</v>
      </c>
      <c r="F160" s="11" t="s">
        <v>64</v>
      </c>
      <c r="G160" t="s">
        <v>31</v>
      </c>
      <c r="H160" t="s">
        <v>30</v>
      </c>
      <c r="I160">
        <v>200</v>
      </c>
      <c r="J160" t="s">
        <v>16</v>
      </c>
      <c r="K160" t="s">
        <v>33</v>
      </c>
      <c r="L160" t="s">
        <v>18</v>
      </c>
      <c r="M160" t="s">
        <v>15</v>
      </c>
      <c r="Q160" s="1"/>
    </row>
    <row r="161" spans="1:17" x14ac:dyDescent="0.3">
      <c r="A161">
        <v>8</v>
      </c>
      <c r="B161">
        <v>4</v>
      </c>
      <c r="C161" s="11">
        <v>46056</v>
      </c>
      <c r="D161" t="s">
        <v>13</v>
      </c>
      <c r="E161">
        <v>3000</v>
      </c>
      <c r="F161" s="11">
        <v>46115</v>
      </c>
      <c r="G161" t="s">
        <v>77</v>
      </c>
      <c r="H161" t="s">
        <v>26</v>
      </c>
      <c r="I161">
        <v>400</v>
      </c>
      <c r="J161" t="s">
        <v>16</v>
      </c>
      <c r="K161" t="s">
        <v>17</v>
      </c>
      <c r="L161" t="s">
        <v>18</v>
      </c>
      <c r="M161" t="s">
        <v>43</v>
      </c>
      <c r="Q161" s="1"/>
    </row>
    <row r="162" spans="1:17" x14ac:dyDescent="0.3">
      <c r="A162">
        <v>31</v>
      </c>
      <c r="B162">
        <v>15</v>
      </c>
      <c r="C162" s="11">
        <v>46207</v>
      </c>
      <c r="D162" t="s">
        <v>20</v>
      </c>
      <c r="E162">
        <v>600</v>
      </c>
      <c r="F162" s="11">
        <v>46238</v>
      </c>
      <c r="G162" t="s">
        <v>66</v>
      </c>
      <c r="H162" t="s">
        <v>19</v>
      </c>
      <c r="I162">
        <v>700</v>
      </c>
      <c r="J162" t="s">
        <v>16</v>
      </c>
      <c r="K162" t="s">
        <v>17</v>
      </c>
      <c r="L162" t="s">
        <v>18</v>
      </c>
      <c r="M162" t="s">
        <v>41</v>
      </c>
      <c r="Q162" s="1"/>
    </row>
    <row r="163" spans="1:17" x14ac:dyDescent="0.3">
      <c r="A163">
        <v>20</v>
      </c>
      <c r="B163">
        <v>10</v>
      </c>
      <c r="C163" s="11">
        <v>46085</v>
      </c>
      <c r="D163" t="s">
        <v>13</v>
      </c>
      <c r="E163">
        <v>1000</v>
      </c>
      <c r="F163" s="11">
        <v>46116</v>
      </c>
      <c r="G163" t="s">
        <v>21</v>
      </c>
      <c r="H163" t="s">
        <v>15</v>
      </c>
      <c r="I163">
        <v>300</v>
      </c>
      <c r="J163" t="s">
        <v>16</v>
      </c>
      <c r="K163" t="s">
        <v>33</v>
      </c>
      <c r="L163" t="s">
        <v>18</v>
      </c>
      <c r="M163" t="s">
        <v>19</v>
      </c>
      <c r="Q163" s="1"/>
    </row>
    <row r="164" spans="1:17" x14ac:dyDescent="0.3">
      <c r="A164">
        <v>11</v>
      </c>
      <c r="B164">
        <v>5</v>
      </c>
      <c r="C164" s="11">
        <v>46056</v>
      </c>
      <c r="D164" t="s">
        <v>20</v>
      </c>
      <c r="E164">
        <v>4000</v>
      </c>
      <c r="F164" s="11">
        <v>46115</v>
      </c>
      <c r="G164" t="s">
        <v>69</v>
      </c>
      <c r="H164" t="s">
        <v>32</v>
      </c>
      <c r="I164">
        <v>500</v>
      </c>
      <c r="J164" t="s">
        <v>23</v>
      </c>
      <c r="K164" t="s">
        <v>17</v>
      </c>
      <c r="L164" t="s">
        <v>18</v>
      </c>
      <c r="M164" t="s">
        <v>26</v>
      </c>
      <c r="Q164" s="1"/>
    </row>
    <row r="165" spans="1:17" x14ac:dyDescent="0.3">
      <c r="A165">
        <v>28</v>
      </c>
      <c r="B165">
        <v>14</v>
      </c>
      <c r="C165" s="11">
        <v>46207</v>
      </c>
      <c r="D165" t="s">
        <v>13</v>
      </c>
      <c r="E165">
        <v>200</v>
      </c>
      <c r="F165" s="11">
        <v>46238</v>
      </c>
      <c r="G165" t="s">
        <v>60</v>
      </c>
      <c r="H165" t="s">
        <v>19</v>
      </c>
      <c r="I165">
        <v>800</v>
      </c>
      <c r="J165" t="s">
        <v>16</v>
      </c>
      <c r="K165" t="s">
        <v>17</v>
      </c>
      <c r="L165" t="s">
        <v>25</v>
      </c>
      <c r="M165" t="s">
        <v>41</v>
      </c>
      <c r="Q165" s="1"/>
    </row>
    <row r="166" spans="1:17" x14ac:dyDescent="0.3">
      <c r="A166">
        <v>9</v>
      </c>
      <c r="B166">
        <v>4</v>
      </c>
      <c r="C166" s="11">
        <v>46267</v>
      </c>
      <c r="D166" t="s">
        <v>13</v>
      </c>
      <c r="E166">
        <v>3000</v>
      </c>
      <c r="F166" s="11">
        <v>46025</v>
      </c>
      <c r="G166" t="s">
        <v>66</v>
      </c>
      <c r="H166" t="s">
        <v>36</v>
      </c>
      <c r="I166">
        <v>600</v>
      </c>
      <c r="J166" t="s">
        <v>23</v>
      </c>
      <c r="K166" t="s">
        <v>17</v>
      </c>
      <c r="L166" t="s">
        <v>18</v>
      </c>
      <c r="M166" t="s">
        <v>32</v>
      </c>
      <c r="Q166" s="1"/>
    </row>
    <row r="167" spans="1:17" x14ac:dyDescent="0.3">
      <c r="A167">
        <v>24</v>
      </c>
      <c r="B167">
        <v>12</v>
      </c>
      <c r="C167" s="11">
        <v>46146</v>
      </c>
      <c r="D167" t="s">
        <v>20</v>
      </c>
      <c r="E167">
        <v>900</v>
      </c>
      <c r="F167" s="11">
        <v>46177</v>
      </c>
      <c r="G167" t="s">
        <v>48</v>
      </c>
      <c r="H167" t="s">
        <v>15</v>
      </c>
      <c r="I167">
        <v>300</v>
      </c>
      <c r="J167" t="s">
        <v>16</v>
      </c>
      <c r="K167" t="s">
        <v>17</v>
      </c>
      <c r="L167" t="s">
        <v>18</v>
      </c>
      <c r="M167" t="s">
        <v>19</v>
      </c>
      <c r="Q167" s="1"/>
    </row>
    <row r="168" spans="1:17" x14ac:dyDescent="0.3">
      <c r="A168">
        <v>13</v>
      </c>
      <c r="B168">
        <v>7</v>
      </c>
      <c r="C168" s="11">
        <v>46206</v>
      </c>
      <c r="D168" t="s">
        <v>13</v>
      </c>
      <c r="E168">
        <v>100</v>
      </c>
      <c r="F168" s="11">
        <v>46237</v>
      </c>
      <c r="G168" t="s">
        <v>78</v>
      </c>
      <c r="H168" t="s">
        <v>28</v>
      </c>
      <c r="I168">
        <v>200</v>
      </c>
      <c r="J168" t="s">
        <v>16</v>
      </c>
      <c r="K168" t="s">
        <v>33</v>
      </c>
      <c r="L168" t="s">
        <v>34</v>
      </c>
      <c r="M168" t="s">
        <v>30</v>
      </c>
      <c r="Q168" s="1"/>
    </row>
    <row r="169" spans="1:17" x14ac:dyDescent="0.3">
      <c r="A169">
        <v>6</v>
      </c>
      <c r="B169">
        <v>3</v>
      </c>
      <c r="C169" s="11">
        <v>46267</v>
      </c>
      <c r="D169" t="s">
        <v>20</v>
      </c>
      <c r="E169">
        <v>6000</v>
      </c>
      <c r="F169" s="11">
        <v>46025</v>
      </c>
      <c r="G169" t="s">
        <v>66</v>
      </c>
      <c r="H169" t="s">
        <v>36</v>
      </c>
      <c r="I169">
        <v>500</v>
      </c>
      <c r="J169" t="s">
        <v>23</v>
      </c>
      <c r="K169" t="s">
        <v>17</v>
      </c>
      <c r="L169" t="s">
        <v>18</v>
      </c>
      <c r="M169" t="s">
        <v>32</v>
      </c>
      <c r="Q169" s="1"/>
    </row>
    <row r="170" spans="1:17" x14ac:dyDescent="0.3">
      <c r="A170">
        <v>21</v>
      </c>
      <c r="B170">
        <v>11</v>
      </c>
      <c r="C170" s="11">
        <v>46116</v>
      </c>
      <c r="D170" t="s">
        <v>13</v>
      </c>
      <c r="E170">
        <v>500</v>
      </c>
      <c r="F170" s="11">
        <v>46177</v>
      </c>
      <c r="G170" t="s">
        <v>73</v>
      </c>
      <c r="H170" t="s">
        <v>30</v>
      </c>
      <c r="I170">
        <v>400</v>
      </c>
      <c r="J170" t="s">
        <v>16</v>
      </c>
      <c r="K170" t="s">
        <v>33</v>
      </c>
      <c r="L170" t="s">
        <v>18</v>
      </c>
      <c r="M170" t="s">
        <v>15</v>
      </c>
      <c r="Q170" s="1"/>
    </row>
    <row r="171" spans="1:17" x14ac:dyDescent="0.3">
      <c r="A171">
        <v>32</v>
      </c>
      <c r="B171">
        <v>16</v>
      </c>
      <c r="C171" s="11">
        <v>46238</v>
      </c>
      <c r="D171" t="s">
        <v>20</v>
      </c>
      <c r="E171">
        <v>2000</v>
      </c>
      <c r="F171" s="11">
        <v>46269</v>
      </c>
      <c r="G171" t="s">
        <v>55</v>
      </c>
      <c r="H171" t="s">
        <v>19</v>
      </c>
      <c r="I171">
        <v>700</v>
      </c>
      <c r="J171" t="s">
        <v>16</v>
      </c>
      <c r="K171" t="s">
        <v>17</v>
      </c>
      <c r="L171" t="s">
        <v>18</v>
      </c>
      <c r="M171" t="s">
        <v>41</v>
      </c>
      <c r="Q171" s="1"/>
    </row>
    <row r="172" spans="1:17" x14ac:dyDescent="0.3">
      <c r="A172">
        <v>17</v>
      </c>
      <c r="B172">
        <v>9</v>
      </c>
      <c r="C172" s="11">
        <v>46026</v>
      </c>
      <c r="D172" t="s">
        <v>13</v>
      </c>
      <c r="E172">
        <v>400</v>
      </c>
      <c r="F172" s="11">
        <v>46057</v>
      </c>
      <c r="G172" t="s">
        <v>27</v>
      </c>
      <c r="H172" t="s">
        <v>15</v>
      </c>
      <c r="I172">
        <v>200</v>
      </c>
      <c r="J172" t="s">
        <v>16</v>
      </c>
      <c r="K172" t="s">
        <v>33</v>
      </c>
      <c r="L172" t="s">
        <v>34</v>
      </c>
      <c r="M172" t="s">
        <v>19</v>
      </c>
      <c r="Q172" s="1"/>
    </row>
    <row r="173" spans="1:17" x14ac:dyDescent="0.3">
      <c r="A173">
        <v>25</v>
      </c>
      <c r="B173">
        <v>13</v>
      </c>
      <c r="C173" s="11">
        <v>46177</v>
      </c>
      <c r="D173" t="s">
        <v>20</v>
      </c>
      <c r="E173">
        <v>300</v>
      </c>
      <c r="F173" s="11">
        <v>46207</v>
      </c>
      <c r="G173" t="s">
        <v>39</v>
      </c>
      <c r="H173" t="s">
        <v>19</v>
      </c>
      <c r="I173">
        <v>800</v>
      </c>
      <c r="J173" t="s">
        <v>16</v>
      </c>
      <c r="K173" t="s">
        <v>17</v>
      </c>
      <c r="L173" t="s">
        <v>18</v>
      </c>
      <c r="M173" t="s">
        <v>41</v>
      </c>
      <c r="Q173" s="1"/>
    </row>
    <row r="174" spans="1:17" x14ac:dyDescent="0.3">
      <c r="A174">
        <v>19</v>
      </c>
      <c r="B174">
        <v>9</v>
      </c>
      <c r="C174" s="11">
        <v>46057</v>
      </c>
      <c r="D174" t="s">
        <v>13</v>
      </c>
      <c r="E174">
        <v>200</v>
      </c>
      <c r="F174" s="11">
        <v>46085</v>
      </c>
      <c r="G174" t="s">
        <v>60</v>
      </c>
      <c r="H174" t="s">
        <v>15</v>
      </c>
      <c r="I174">
        <v>300</v>
      </c>
      <c r="J174" t="s">
        <v>16</v>
      </c>
      <c r="K174" t="s">
        <v>33</v>
      </c>
      <c r="L174" t="s">
        <v>18</v>
      </c>
      <c r="M174" t="s">
        <v>19</v>
      </c>
      <c r="Q174" s="1"/>
    </row>
    <row r="175" spans="1:17" x14ac:dyDescent="0.3">
      <c r="A175">
        <v>34</v>
      </c>
      <c r="B175">
        <v>17</v>
      </c>
      <c r="C175" s="11">
        <v>46269</v>
      </c>
      <c r="D175" t="s">
        <v>20</v>
      </c>
      <c r="E175">
        <v>7000</v>
      </c>
      <c r="F175" s="11" t="s">
        <v>81</v>
      </c>
      <c r="G175" t="s">
        <v>35</v>
      </c>
      <c r="H175" t="s">
        <v>19</v>
      </c>
      <c r="I175">
        <v>900</v>
      </c>
      <c r="J175" t="s">
        <v>23</v>
      </c>
      <c r="K175" t="s">
        <v>17</v>
      </c>
      <c r="L175" t="s">
        <v>25</v>
      </c>
      <c r="M175" t="s">
        <v>41</v>
      </c>
      <c r="Q175" s="1"/>
    </row>
    <row r="176" spans="1:17" x14ac:dyDescent="0.3">
      <c r="A176">
        <v>22</v>
      </c>
      <c r="B176">
        <v>11</v>
      </c>
      <c r="C176" s="11">
        <v>46146</v>
      </c>
      <c r="D176" t="s">
        <v>13</v>
      </c>
      <c r="E176">
        <v>1000</v>
      </c>
      <c r="F176" s="11">
        <v>46207</v>
      </c>
      <c r="G176" t="s">
        <v>66</v>
      </c>
      <c r="H176" t="s">
        <v>15</v>
      </c>
      <c r="I176">
        <v>400</v>
      </c>
      <c r="J176" t="s">
        <v>16</v>
      </c>
      <c r="K176" t="s">
        <v>17</v>
      </c>
      <c r="L176" t="s">
        <v>18</v>
      </c>
      <c r="M176" t="s">
        <v>19</v>
      </c>
      <c r="Q176" s="1"/>
    </row>
    <row r="177" spans="1:17" x14ac:dyDescent="0.3">
      <c r="A177">
        <v>16</v>
      </c>
      <c r="B177">
        <v>8</v>
      </c>
      <c r="C177" s="11">
        <v>46237</v>
      </c>
      <c r="D177" t="s">
        <v>20</v>
      </c>
      <c r="E177">
        <v>400</v>
      </c>
      <c r="F177" s="11" t="s">
        <v>64</v>
      </c>
      <c r="G177" t="s">
        <v>31</v>
      </c>
      <c r="H177" t="s">
        <v>30</v>
      </c>
      <c r="I177">
        <v>200</v>
      </c>
      <c r="J177" t="s">
        <v>16</v>
      </c>
      <c r="K177" t="s">
        <v>33</v>
      </c>
      <c r="L177" t="s">
        <v>18</v>
      </c>
      <c r="M177" t="s">
        <v>15</v>
      </c>
      <c r="Q177" s="1"/>
    </row>
    <row r="178" spans="1:17" x14ac:dyDescent="0.3">
      <c r="A178">
        <v>10</v>
      </c>
      <c r="B178">
        <v>5</v>
      </c>
      <c r="C178" s="11">
        <v>46025</v>
      </c>
      <c r="D178" t="s">
        <v>13</v>
      </c>
      <c r="E178">
        <v>5000</v>
      </c>
      <c r="F178" s="11">
        <v>46056</v>
      </c>
      <c r="G178" t="s">
        <v>55</v>
      </c>
      <c r="H178" t="s">
        <v>36</v>
      </c>
      <c r="I178">
        <v>600</v>
      </c>
      <c r="J178" t="s">
        <v>23</v>
      </c>
      <c r="K178" t="s">
        <v>33</v>
      </c>
      <c r="L178" t="s">
        <v>34</v>
      </c>
      <c r="M178" t="s">
        <v>32</v>
      </c>
      <c r="Q178" s="1"/>
    </row>
    <row r="179" spans="1:17" x14ac:dyDescent="0.3">
      <c r="A179">
        <v>27</v>
      </c>
      <c r="B179">
        <v>13</v>
      </c>
      <c r="C179" s="11">
        <v>46177</v>
      </c>
      <c r="D179" t="s">
        <v>13</v>
      </c>
      <c r="E179">
        <v>1000</v>
      </c>
      <c r="F179" s="11">
        <v>46238</v>
      </c>
      <c r="G179" t="s">
        <v>42</v>
      </c>
      <c r="H179" t="s">
        <v>19</v>
      </c>
      <c r="I179">
        <v>800</v>
      </c>
      <c r="J179" t="s">
        <v>16</v>
      </c>
      <c r="K179" t="s">
        <v>33</v>
      </c>
      <c r="L179" t="s">
        <v>18</v>
      </c>
      <c r="M179" t="s">
        <v>41</v>
      </c>
      <c r="Q179" s="1"/>
    </row>
    <row r="180" spans="1:17" x14ac:dyDescent="0.3">
      <c r="A180">
        <v>7</v>
      </c>
      <c r="B180">
        <v>3</v>
      </c>
      <c r="C180" s="11">
        <v>46267</v>
      </c>
      <c r="D180" t="s">
        <v>20</v>
      </c>
      <c r="E180">
        <v>4000</v>
      </c>
      <c r="F180" s="11">
        <v>46025</v>
      </c>
      <c r="G180" t="s">
        <v>57</v>
      </c>
      <c r="H180" t="s">
        <v>36</v>
      </c>
      <c r="I180">
        <v>500</v>
      </c>
      <c r="J180" t="s">
        <v>23</v>
      </c>
      <c r="K180" t="s">
        <v>17</v>
      </c>
      <c r="L180" t="s">
        <v>18</v>
      </c>
      <c r="M180" t="s">
        <v>32</v>
      </c>
      <c r="Q180" s="1"/>
    </row>
    <row r="181" spans="1:17" x14ac:dyDescent="0.3">
      <c r="A181">
        <v>23</v>
      </c>
      <c r="B181">
        <v>11</v>
      </c>
      <c r="C181" s="11">
        <v>46116</v>
      </c>
      <c r="D181" t="s">
        <v>13</v>
      </c>
      <c r="E181">
        <v>800</v>
      </c>
      <c r="F181" s="11">
        <v>46177</v>
      </c>
      <c r="G181" t="s">
        <v>39</v>
      </c>
      <c r="H181" t="s">
        <v>30</v>
      </c>
      <c r="I181">
        <v>400</v>
      </c>
      <c r="J181" t="s">
        <v>16</v>
      </c>
      <c r="K181" t="s">
        <v>33</v>
      </c>
      <c r="L181" t="s">
        <v>18</v>
      </c>
      <c r="M181" t="s">
        <v>15</v>
      </c>
      <c r="Q181" s="1"/>
    </row>
    <row r="182" spans="1:17" x14ac:dyDescent="0.3">
      <c r="A182">
        <v>12</v>
      </c>
      <c r="B182">
        <v>6</v>
      </c>
      <c r="C182" s="11">
        <v>46084</v>
      </c>
      <c r="D182" t="s">
        <v>20</v>
      </c>
      <c r="E182">
        <v>2000</v>
      </c>
      <c r="F182" s="11">
        <v>46145</v>
      </c>
      <c r="G182" t="s">
        <v>66</v>
      </c>
      <c r="H182" t="s">
        <v>63</v>
      </c>
      <c r="I182">
        <v>500</v>
      </c>
      <c r="J182" t="s">
        <v>23</v>
      </c>
      <c r="K182" t="s">
        <v>17</v>
      </c>
      <c r="L182" t="s">
        <v>25</v>
      </c>
      <c r="M182" t="s">
        <v>28</v>
      </c>
      <c r="Q182" s="1"/>
    </row>
    <row r="183" spans="1:17" x14ac:dyDescent="0.3">
      <c r="A183">
        <v>28</v>
      </c>
      <c r="B183">
        <v>14</v>
      </c>
      <c r="C183" s="11">
        <v>46207</v>
      </c>
      <c r="D183" t="s">
        <v>13</v>
      </c>
      <c r="E183">
        <v>100</v>
      </c>
      <c r="F183" s="11">
        <v>46238</v>
      </c>
      <c r="G183" t="s">
        <v>60</v>
      </c>
      <c r="H183" t="s">
        <v>19</v>
      </c>
      <c r="I183">
        <v>800</v>
      </c>
      <c r="J183" t="s">
        <v>16</v>
      </c>
      <c r="K183" t="s">
        <v>17</v>
      </c>
      <c r="L183" t="s">
        <v>25</v>
      </c>
      <c r="M183" t="s">
        <v>41</v>
      </c>
      <c r="Q183" s="1"/>
    </row>
    <row r="184" spans="1:17" x14ac:dyDescent="0.3">
      <c r="A184">
        <v>16</v>
      </c>
      <c r="B184">
        <v>8</v>
      </c>
      <c r="C184" s="11">
        <v>46237</v>
      </c>
      <c r="D184" t="s">
        <v>20</v>
      </c>
      <c r="E184">
        <v>900</v>
      </c>
      <c r="F184" s="11" t="s">
        <v>64</v>
      </c>
      <c r="G184" t="s">
        <v>31</v>
      </c>
      <c r="H184" t="s">
        <v>30</v>
      </c>
      <c r="I184">
        <v>200</v>
      </c>
      <c r="J184" t="s">
        <v>16</v>
      </c>
      <c r="K184" t="s">
        <v>33</v>
      </c>
      <c r="L184" t="s">
        <v>18</v>
      </c>
      <c r="M184" t="s">
        <v>15</v>
      </c>
      <c r="Q184" s="1"/>
    </row>
    <row r="185" spans="1:17" x14ac:dyDescent="0.3">
      <c r="A185">
        <v>8</v>
      </c>
      <c r="B185">
        <v>4</v>
      </c>
      <c r="C185" s="11">
        <v>46056</v>
      </c>
      <c r="D185" t="s">
        <v>13</v>
      </c>
      <c r="E185">
        <v>3000</v>
      </c>
      <c r="F185" s="11">
        <v>46115</v>
      </c>
      <c r="G185" t="s">
        <v>77</v>
      </c>
      <c r="H185" t="s">
        <v>26</v>
      </c>
      <c r="I185">
        <v>400</v>
      </c>
      <c r="J185" t="s">
        <v>16</v>
      </c>
      <c r="K185" t="s">
        <v>17</v>
      </c>
      <c r="L185" t="s">
        <v>18</v>
      </c>
      <c r="M185" t="s">
        <v>43</v>
      </c>
      <c r="Q185" s="1"/>
    </row>
    <row r="186" spans="1:17" x14ac:dyDescent="0.3">
      <c r="A186">
        <v>31</v>
      </c>
      <c r="B186">
        <v>15</v>
      </c>
      <c r="C186" s="11">
        <v>46207</v>
      </c>
      <c r="D186" t="s">
        <v>20</v>
      </c>
      <c r="E186">
        <v>600</v>
      </c>
      <c r="F186" s="11">
        <v>46238</v>
      </c>
      <c r="G186" t="s">
        <v>66</v>
      </c>
      <c r="H186" t="s">
        <v>19</v>
      </c>
      <c r="I186">
        <v>700</v>
      </c>
      <c r="J186" t="s">
        <v>16</v>
      </c>
      <c r="K186" t="s">
        <v>17</v>
      </c>
      <c r="L186" t="s">
        <v>18</v>
      </c>
      <c r="M186" t="s">
        <v>41</v>
      </c>
      <c r="Q186" s="1"/>
    </row>
    <row r="187" spans="1:17" x14ac:dyDescent="0.3">
      <c r="A187">
        <v>20</v>
      </c>
      <c r="B187">
        <v>10</v>
      </c>
      <c r="C187" s="11">
        <v>46085</v>
      </c>
      <c r="D187" t="s">
        <v>13</v>
      </c>
      <c r="E187">
        <v>1000</v>
      </c>
      <c r="F187" s="11">
        <v>46116</v>
      </c>
      <c r="G187" t="s">
        <v>21</v>
      </c>
      <c r="H187" t="s">
        <v>15</v>
      </c>
      <c r="I187">
        <v>300</v>
      </c>
      <c r="J187" t="s">
        <v>16</v>
      </c>
      <c r="K187" t="s">
        <v>33</v>
      </c>
      <c r="L187" t="s">
        <v>18</v>
      </c>
      <c r="M187" t="s">
        <v>19</v>
      </c>
      <c r="Q187" s="1"/>
    </row>
    <row r="188" spans="1:17" x14ac:dyDescent="0.3">
      <c r="A188">
        <v>11</v>
      </c>
      <c r="B188">
        <v>5</v>
      </c>
      <c r="C188" s="11">
        <v>46056</v>
      </c>
      <c r="D188" t="s">
        <v>20</v>
      </c>
      <c r="E188">
        <v>4000</v>
      </c>
      <c r="F188" s="11">
        <v>46115</v>
      </c>
      <c r="G188" t="s">
        <v>69</v>
      </c>
      <c r="H188" t="s">
        <v>32</v>
      </c>
      <c r="I188">
        <v>500</v>
      </c>
      <c r="J188" t="s">
        <v>23</v>
      </c>
      <c r="K188" t="s">
        <v>17</v>
      </c>
      <c r="L188" t="s">
        <v>18</v>
      </c>
      <c r="M188" t="s">
        <v>26</v>
      </c>
      <c r="Q188" s="1"/>
    </row>
    <row r="189" spans="1:17" x14ac:dyDescent="0.3">
      <c r="A189">
        <v>28</v>
      </c>
      <c r="B189">
        <v>14</v>
      </c>
      <c r="C189" s="11">
        <v>46207</v>
      </c>
      <c r="D189" t="s">
        <v>13</v>
      </c>
      <c r="E189">
        <v>200</v>
      </c>
      <c r="F189" s="11">
        <v>46238</v>
      </c>
      <c r="G189" t="s">
        <v>60</v>
      </c>
      <c r="H189" t="s">
        <v>19</v>
      </c>
      <c r="I189">
        <v>800</v>
      </c>
      <c r="J189" t="s">
        <v>16</v>
      </c>
      <c r="K189" t="s">
        <v>17</v>
      </c>
      <c r="L189" t="s">
        <v>25</v>
      </c>
      <c r="M189" t="s">
        <v>41</v>
      </c>
      <c r="Q189" s="1"/>
    </row>
    <row r="190" spans="1:17" x14ac:dyDescent="0.3">
      <c r="A190">
        <v>15</v>
      </c>
      <c r="B190">
        <v>8</v>
      </c>
      <c r="C190" s="11">
        <v>46268</v>
      </c>
      <c r="D190" t="s">
        <v>20</v>
      </c>
      <c r="E190">
        <v>500</v>
      </c>
      <c r="F190" s="11">
        <v>46026</v>
      </c>
      <c r="G190" t="s">
        <v>39</v>
      </c>
      <c r="H190" t="s">
        <v>30</v>
      </c>
      <c r="I190">
        <v>200</v>
      </c>
      <c r="J190" t="s">
        <v>16</v>
      </c>
      <c r="K190" t="s">
        <v>33</v>
      </c>
      <c r="L190" t="s">
        <v>18</v>
      </c>
      <c r="M190" t="s">
        <v>15</v>
      </c>
      <c r="Q190" s="1"/>
    </row>
    <row r="191" spans="1:17" x14ac:dyDescent="0.3">
      <c r="A191">
        <v>9</v>
      </c>
      <c r="B191">
        <v>4</v>
      </c>
      <c r="C191" s="11">
        <v>46267</v>
      </c>
      <c r="D191" t="s">
        <v>13</v>
      </c>
      <c r="E191">
        <v>3000</v>
      </c>
      <c r="F191" s="11">
        <v>46025</v>
      </c>
      <c r="G191" t="s">
        <v>66</v>
      </c>
      <c r="H191" t="s">
        <v>36</v>
      </c>
      <c r="I191">
        <v>600</v>
      </c>
      <c r="J191" t="s">
        <v>23</v>
      </c>
      <c r="K191" t="s">
        <v>17</v>
      </c>
      <c r="L191" t="s">
        <v>18</v>
      </c>
      <c r="M191" t="s">
        <v>32</v>
      </c>
      <c r="Q191" s="1"/>
    </row>
    <row r="192" spans="1:17" x14ac:dyDescent="0.3">
      <c r="A192">
        <v>24</v>
      </c>
      <c r="B192">
        <v>12</v>
      </c>
      <c r="C192" s="11">
        <v>46146</v>
      </c>
      <c r="D192" t="s">
        <v>20</v>
      </c>
      <c r="E192">
        <v>900</v>
      </c>
      <c r="F192" s="11">
        <v>46177</v>
      </c>
      <c r="G192" t="s">
        <v>48</v>
      </c>
      <c r="H192" t="s">
        <v>15</v>
      </c>
      <c r="I192">
        <v>300</v>
      </c>
      <c r="J192" t="s">
        <v>16</v>
      </c>
      <c r="K192" t="s">
        <v>17</v>
      </c>
      <c r="L192" t="s">
        <v>18</v>
      </c>
      <c r="M192" t="s">
        <v>19</v>
      </c>
      <c r="Q192" s="1"/>
    </row>
    <row r="193" spans="1:17" x14ac:dyDescent="0.3">
      <c r="A193">
        <v>13</v>
      </c>
      <c r="B193">
        <v>7</v>
      </c>
      <c r="C193" s="11">
        <v>46206</v>
      </c>
      <c r="D193" t="s">
        <v>13</v>
      </c>
      <c r="E193">
        <v>100</v>
      </c>
      <c r="F193" s="11">
        <v>46237</v>
      </c>
      <c r="G193" t="s">
        <v>78</v>
      </c>
      <c r="H193" t="s">
        <v>28</v>
      </c>
      <c r="I193">
        <v>200</v>
      </c>
      <c r="J193" t="s">
        <v>16</v>
      </c>
      <c r="K193" t="s">
        <v>33</v>
      </c>
      <c r="L193" t="s">
        <v>34</v>
      </c>
      <c r="M193" t="s">
        <v>30</v>
      </c>
      <c r="Q193" s="1"/>
    </row>
    <row r="194" spans="1:17" x14ac:dyDescent="0.3">
      <c r="A194">
        <v>6</v>
      </c>
      <c r="B194">
        <v>3</v>
      </c>
      <c r="C194" s="11">
        <v>46267</v>
      </c>
      <c r="D194" t="s">
        <v>20</v>
      </c>
      <c r="E194">
        <v>6000</v>
      </c>
      <c r="F194" s="11">
        <v>46025</v>
      </c>
      <c r="G194" t="s">
        <v>66</v>
      </c>
      <c r="H194" t="s">
        <v>36</v>
      </c>
      <c r="I194">
        <v>500</v>
      </c>
      <c r="J194" t="s">
        <v>23</v>
      </c>
      <c r="K194" t="s">
        <v>17</v>
      </c>
      <c r="L194" t="s">
        <v>18</v>
      </c>
      <c r="M194" t="s">
        <v>32</v>
      </c>
      <c r="Q194" s="1"/>
    </row>
    <row r="195" spans="1:17" x14ac:dyDescent="0.3">
      <c r="A195">
        <v>21</v>
      </c>
      <c r="B195">
        <v>11</v>
      </c>
      <c r="C195" s="11">
        <v>46116</v>
      </c>
      <c r="D195" t="s">
        <v>13</v>
      </c>
      <c r="E195">
        <v>500</v>
      </c>
      <c r="F195" s="11">
        <v>46177</v>
      </c>
      <c r="G195" t="s">
        <v>73</v>
      </c>
      <c r="H195" t="s">
        <v>30</v>
      </c>
      <c r="I195">
        <v>400</v>
      </c>
      <c r="J195" t="s">
        <v>16</v>
      </c>
      <c r="K195" t="s">
        <v>33</v>
      </c>
      <c r="L195" t="s">
        <v>18</v>
      </c>
      <c r="M195" t="s">
        <v>15</v>
      </c>
      <c r="Q195" s="1"/>
    </row>
    <row r="196" spans="1:17" x14ac:dyDescent="0.3">
      <c r="A196">
        <v>32</v>
      </c>
      <c r="B196">
        <v>16</v>
      </c>
      <c r="C196" s="11">
        <v>46238</v>
      </c>
      <c r="D196" t="s">
        <v>20</v>
      </c>
      <c r="E196">
        <v>2000</v>
      </c>
      <c r="F196" s="11">
        <v>46269</v>
      </c>
      <c r="G196" t="s">
        <v>55</v>
      </c>
      <c r="H196" t="s">
        <v>19</v>
      </c>
      <c r="I196">
        <v>700</v>
      </c>
      <c r="J196" t="s">
        <v>16</v>
      </c>
      <c r="K196" t="s">
        <v>17</v>
      </c>
      <c r="L196" t="s">
        <v>18</v>
      </c>
      <c r="M196" t="s">
        <v>41</v>
      </c>
      <c r="Q196" s="1"/>
    </row>
    <row r="197" spans="1:17" x14ac:dyDescent="0.3">
      <c r="A197">
        <v>17</v>
      </c>
      <c r="B197">
        <v>9</v>
      </c>
      <c r="C197" s="11">
        <v>46026</v>
      </c>
      <c r="D197" t="s">
        <v>13</v>
      </c>
      <c r="E197">
        <v>400</v>
      </c>
      <c r="F197" s="11">
        <v>46057</v>
      </c>
      <c r="G197" t="s">
        <v>27</v>
      </c>
      <c r="H197" t="s">
        <v>15</v>
      </c>
      <c r="I197">
        <v>200</v>
      </c>
      <c r="J197" t="s">
        <v>16</v>
      </c>
      <c r="K197" t="s">
        <v>33</v>
      </c>
      <c r="L197" t="s">
        <v>34</v>
      </c>
      <c r="M197" t="s">
        <v>19</v>
      </c>
      <c r="Q197" s="1"/>
    </row>
    <row r="198" spans="1:17" x14ac:dyDescent="0.3">
      <c r="A198">
        <v>25</v>
      </c>
      <c r="B198">
        <v>13</v>
      </c>
      <c r="C198" s="11">
        <v>46177</v>
      </c>
      <c r="D198" t="s">
        <v>20</v>
      </c>
      <c r="E198">
        <v>300</v>
      </c>
      <c r="F198" s="11">
        <v>46207</v>
      </c>
      <c r="G198" t="s">
        <v>39</v>
      </c>
      <c r="H198" t="s">
        <v>19</v>
      </c>
      <c r="I198">
        <v>800</v>
      </c>
      <c r="J198" t="s">
        <v>16</v>
      </c>
      <c r="K198" t="s">
        <v>17</v>
      </c>
      <c r="L198" t="s">
        <v>18</v>
      </c>
      <c r="M198" t="s">
        <v>41</v>
      </c>
      <c r="Q198" s="1"/>
    </row>
    <row r="199" spans="1:17" x14ac:dyDescent="0.3">
      <c r="A199">
        <v>19</v>
      </c>
      <c r="B199">
        <v>9</v>
      </c>
      <c r="C199" s="11">
        <v>46057</v>
      </c>
      <c r="D199" t="s">
        <v>13</v>
      </c>
      <c r="E199">
        <v>200</v>
      </c>
      <c r="F199" s="11">
        <v>46085</v>
      </c>
      <c r="G199" t="s">
        <v>60</v>
      </c>
      <c r="H199" t="s">
        <v>15</v>
      </c>
      <c r="I199">
        <v>300</v>
      </c>
      <c r="J199" t="s">
        <v>16</v>
      </c>
      <c r="K199" t="s">
        <v>33</v>
      </c>
      <c r="L199" t="s">
        <v>18</v>
      </c>
      <c r="M199" t="s">
        <v>19</v>
      </c>
      <c r="Q199" s="1"/>
    </row>
    <row r="200" spans="1:17" x14ac:dyDescent="0.3">
      <c r="A200">
        <v>34</v>
      </c>
      <c r="B200">
        <v>17</v>
      </c>
      <c r="C200" s="11">
        <v>46269</v>
      </c>
      <c r="D200" t="s">
        <v>20</v>
      </c>
      <c r="E200">
        <v>7000</v>
      </c>
      <c r="F200" s="11" t="s">
        <v>81</v>
      </c>
      <c r="G200" t="s">
        <v>35</v>
      </c>
      <c r="H200" t="s">
        <v>19</v>
      </c>
      <c r="I200">
        <v>900</v>
      </c>
      <c r="J200" t="s">
        <v>23</v>
      </c>
      <c r="K200" t="s">
        <v>17</v>
      </c>
      <c r="L200" t="s">
        <v>25</v>
      </c>
      <c r="M200" t="s">
        <v>41</v>
      </c>
      <c r="Q200" s="1"/>
    </row>
    <row r="201" spans="1:17" x14ac:dyDescent="0.3">
      <c r="A201">
        <v>22</v>
      </c>
      <c r="B201">
        <v>11</v>
      </c>
      <c r="C201" s="11">
        <v>46146</v>
      </c>
      <c r="D201" t="s">
        <v>13</v>
      </c>
      <c r="E201">
        <v>1000</v>
      </c>
      <c r="F201" s="11">
        <v>46207</v>
      </c>
      <c r="G201" t="s">
        <v>66</v>
      </c>
      <c r="H201" t="s">
        <v>15</v>
      </c>
      <c r="I201">
        <v>400</v>
      </c>
      <c r="J201" t="s">
        <v>16</v>
      </c>
      <c r="K201" t="s">
        <v>17</v>
      </c>
      <c r="L201" t="s">
        <v>18</v>
      </c>
      <c r="M201" t="s">
        <v>19</v>
      </c>
      <c r="Q201" s="1"/>
    </row>
    <row r="202" spans="1:17" x14ac:dyDescent="0.3">
      <c r="A202">
        <v>16</v>
      </c>
      <c r="B202">
        <v>8</v>
      </c>
      <c r="C202" s="11">
        <v>46237</v>
      </c>
      <c r="D202" t="s">
        <v>20</v>
      </c>
      <c r="E202">
        <v>400</v>
      </c>
      <c r="F202" s="11" t="s">
        <v>64</v>
      </c>
      <c r="G202" t="s">
        <v>31</v>
      </c>
      <c r="H202" t="s">
        <v>30</v>
      </c>
      <c r="I202">
        <v>200</v>
      </c>
      <c r="J202" t="s">
        <v>16</v>
      </c>
      <c r="K202" t="s">
        <v>33</v>
      </c>
      <c r="L202" t="s">
        <v>18</v>
      </c>
      <c r="M202" t="s">
        <v>15</v>
      </c>
      <c r="Q202" s="1"/>
    </row>
    <row r="203" spans="1:17" x14ac:dyDescent="0.3">
      <c r="A203">
        <v>10</v>
      </c>
      <c r="B203">
        <v>5</v>
      </c>
      <c r="C203" s="11">
        <v>46025</v>
      </c>
      <c r="D203" t="s">
        <v>13</v>
      </c>
      <c r="E203">
        <v>5000</v>
      </c>
      <c r="F203" s="11">
        <v>46056</v>
      </c>
      <c r="G203" t="s">
        <v>55</v>
      </c>
      <c r="H203" t="s">
        <v>36</v>
      </c>
      <c r="I203">
        <v>600</v>
      </c>
      <c r="J203" t="s">
        <v>23</v>
      </c>
      <c r="K203" t="s">
        <v>33</v>
      </c>
      <c r="L203" t="s">
        <v>34</v>
      </c>
      <c r="M203" t="s">
        <v>32</v>
      </c>
      <c r="Q203" s="1"/>
    </row>
    <row r="204" spans="1:17" x14ac:dyDescent="0.3">
      <c r="A204">
        <v>27</v>
      </c>
      <c r="B204">
        <v>13</v>
      </c>
      <c r="C204" s="11">
        <v>46177</v>
      </c>
      <c r="D204" t="s">
        <v>13</v>
      </c>
      <c r="E204">
        <v>1000</v>
      </c>
      <c r="F204" s="11">
        <v>46238</v>
      </c>
      <c r="G204" t="s">
        <v>42</v>
      </c>
      <c r="H204" t="s">
        <v>19</v>
      </c>
      <c r="I204">
        <v>800</v>
      </c>
      <c r="J204" t="s">
        <v>16</v>
      </c>
      <c r="K204" t="s">
        <v>33</v>
      </c>
      <c r="L204" t="s">
        <v>18</v>
      </c>
      <c r="M204" t="s">
        <v>41</v>
      </c>
      <c r="Q204" s="1"/>
    </row>
    <row r="205" spans="1:17" x14ac:dyDescent="0.3">
      <c r="A205">
        <v>7</v>
      </c>
      <c r="B205">
        <v>3</v>
      </c>
      <c r="C205" s="11">
        <v>46267</v>
      </c>
      <c r="D205" t="s">
        <v>20</v>
      </c>
      <c r="E205">
        <v>4000</v>
      </c>
      <c r="F205" s="11">
        <v>46025</v>
      </c>
      <c r="G205" t="s">
        <v>57</v>
      </c>
      <c r="H205" t="s">
        <v>36</v>
      </c>
      <c r="I205">
        <v>500</v>
      </c>
      <c r="J205" t="s">
        <v>23</v>
      </c>
      <c r="K205" t="s">
        <v>17</v>
      </c>
      <c r="L205" t="s">
        <v>18</v>
      </c>
      <c r="M205" t="s">
        <v>32</v>
      </c>
      <c r="Q205" s="1"/>
    </row>
    <row r="206" spans="1:17" x14ac:dyDescent="0.3">
      <c r="A206">
        <v>23</v>
      </c>
      <c r="B206">
        <v>11</v>
      </c>
      <c r="C206" s="11">
        <v>46116</v>
      </c>
      <c r="D206" t="s">
        <v>13</v>
      </c>
      <c r="E206">
        <v>800</v>
      </c>
      <c r="F206" s="11">
        <v>46177</v>
      </c>
      <c r="G206" t="s">
        <v>39</v>
      </c>
      <c r="H206" t="s">
        <v>30</v>
      </c>
      <c r="I206">
        <v>400</v>
      </c>
      <c r="J206" t="s">
        <v>16</v>
      </c>
      <c r="K206" t="s">
        <v>33</v>
      </c>
      <c r="L206" t="s">
        <v>18</v>
      </c>
      <c r="M206" t="s">
        <v>15</v>
      </c>
      <c r="Q206" s="1"/>
    </row>
    <row r="207" spans="1:17" x14ac:dyDescent="0.3">
      <c r="A207">
        <v>12</v>
      </c>
      <c r="B207">
        <v>6</v>
      </c>
      <c r="C207" s="11">
        <v>46084</v>
      </c>
      <c r="D207" t="s">
        <v>20</v>
      </c>
      <c r="E207">
        <v>2000</v>
      </c>
      <c r="F207" s="11">
        <v>46145</v>
      </c>
      <c r="G207" t="s">
        <v>66</v>
      </c>
      <c r="H207" t="s">
        <v>63</v>
      </c>
      <c r="I207">
        <v>500</v>
      </c>
      <c r="J207" t="s">
        <v>23</v>
      </c>
      <c r="K207" t="s">
        <v>17</v>
      </c>
      <c r="L207" t="s">
        <v>25</v>
      </c>
      <c r="M207" t="s">
        <v>28</v>
      </c>
      <c r="Q207" s="1"/>
    </row>
    <row r="208" spans="1:17" x14ac:dyDescent="0.3">
      <c r="A208">
        <v>28</v>
      </c>
      <c r="B208">
        <v>14</v>
      </c>
      <c r="C208" s="11">
        <v>46207</v>
      </c>
      <c r="D208" t="s">
        <v>13</v>
      </c>
      <c r="E208">
        <v>100</v>
      </c>
      <c r="F208" s="11">
        <v>46238</v>
      </c>
      <c r="G208" t="s">
        <v>60</v>
      </c>
      <c r="H208" t="s">
        <v>19</v>
      </c>
      <c r="I208">
        <v>800</v>
      </c>
      <c r="J208" t="s">
        <v>16</v>
      </c>
      <c r="K208" t="s">
        <v>17</v>
      </c>
      <c r="L208" t="s">
        <v>25</v>
      </c>
      <c r="M208" t="s">
        <v>41</v>
      </c>
      <c r="Q208" s="1"/>
    </row>
    <row r="209" spans="1:17" x14ac:dyDescent="0.3">
      <c r="A209">
        <v>16</v>
      </c>
      <c r="B209">
        <v>8</v>
      </c>
      <c r="C209" s="11">
        <v>46237</v>
      </c>
      <c r="D209" t="s">
        <v>20</v>
      </c>
      <c r="E209">
        <v>900</v>
      </c>
      <c r="F209" s="11" t="s">
        <v>64</v>
      </c>
      <c r="G209" t="s">
        <v>31</v>
      </c>
      <c r="H209" t="s">
        <v>30</v>
      </c>
      <c r="I209">
        <v>200</v>
      </c>
      <c r="J209" t="s">
        <v>16</v>
      </c>
      <c r="K209" t="s">
        <v>33</v>
      </c>
      <c r="L209" t="s">
        <v>18</v>
      </c>
      <c r="M209" t="s">
        <v>15</v>
      </c>
      <c r="Q209" s="1"/>
    </row>
    <row r="210" spans="1:17" x14ac:dyDescent="0.3">
      <c r="A210">
        <v>8</v>
      </c>
      <c r="B210">
        <v>4</v>
      </c>
      <c r="C210" s="11">
        <v>46056</v>
      </c>
      <c r="D210" t="s">
        <v>13</v>
      </c>
      <c r="E210">
        <v>3000</v>
      </c>
      <c r="F210" s="11">
        <v>46115</v>
      </c>
      <c r="G210" t="s">
        <v>77</v>
      </c>
      <c r="H210" t="s">
        <v>26</v>
      </c>
      <c r="I210">
        <v>400</v>
      </c>
      <c r="J210" t="s">
        <v>16</v>
      </c>
      <c r="K210" t="s">
        <v>17</v>
      </c>
      <c r="L210" t="s">
        <v>18</v>
      </c>
      <c r="M210" t="s">
        <v>43</v>
      </c>
      <c r="Q210" s="1"/>
    </row>
    <row r="211" spans="1:17" x14ac:dyDescent="0.3">
      <c r="A211">
        <v>31</v>
      </c>
      <c r="B211">
        <v>15</v>
      </c>
      <c r="C211" s="11">
        <v>46207</v>
      </c>
      <c r="D211" t="s">
        <v>20</v>
      </c>
      <c r="E211">
        <v>600</v>
      </c>
      <c r="F211" s="11">
        <v>46238</v>
      </c>
      <c r="G211" t="s">
        <v>66</v>
      </c>
      <c r="H211" t="s">
        <v>19</v>
      </c>
      <c r="I211">
        <v>700</v>
      </c>
      <c r="J211" t="s">
        <v>16</v>
      </c>
      <c r="K211" t="s">
        <v>17</v>
      </c>
      <c r="L211" t="s">
        <v>18</v>
      </c>
      <c r="M211" t="s">
        <v>41</v>
      </c>
      <c r="Q211" s="1"/>
    </row>
    <row r="212" spans="1:17" x14ac:dyDescent="0.3">
      <c r="A212">
        <v>20</v>
      </c>
      <c r="B212">
        <v>10</v>
      </c>
      <c r="C212" s="11">
        <v>46085</v>
      </c>
      <c r="D212" t="s">
        <v>13</v>
      </c>
      <c r="E212">
        <v>1000</v>
      </c>
      <c r="F212" s="11">
        <v>46116</v>
      </c>
      <c r="G212" t="s">
        <v>21</v>
      </c>
      <c r="H212" t="s">
        <v>15</v>
      </c>
      <c r="I212">
        <v>300</v>
      </c>
      <c r="J212" t="s">
        <v>16</v>
      </c>
      <c r="K212" t="s">
        <v>33</v>
      </c>
      <c r="L212" t="s">
        <v>18</v>
      </c>
      <c r="M212" t="s">
        <v>19</v>
      </c>
      <c r="Q212" s="1"/>
    </row>
    <row r="213" spans="1:17" x14ac:dyDescent="0.3">
      <c r="A213">
        <v>11</v>
      </c>
      <c r="B213">
        <v>5</v>
      </c>
      <c r="C213" s="11">
        <v>46056</v>
      </c>
      <c r="D213" t="s">
        <v>20</v>
      </c>
      <c r="E213">
        <v>4000</v>
      </c>
      <c r="F213" s="11">
        <v>46115</v>
      </c>
      <c r="G213" t="s">
        <v>69</v>
      </c>
      <c r="H213" t="s">
        <v>32</v>
      </c>
      <c r="I213">
        <v>500</v>
      </c>
      <c r="J213" t="s">
        <v>23</v>
      </c>
      <c r="K213" t="s">
        <v>17</v>
      </c>
      <c r="L213" t="s">
        <v>18</v>
      </c>
      <c r="M213" t="s">
        <v>26</v>
      </c>
      <c r="Q213" s="1"/>
    </row>
    <row r="214" spans="1:17" x14ac:dyDescent="0.3">
      <c r="A214">
        <v>28</v>
      </c>
      <c r="B214">
        <v>14</v>
      </c>
      <c r="C214" s="11">
        <v>46207</v>
      </c>
      <c r="D214" t="s">
        <v>13</v>
      </c>
      <c r="E214">
        <v>200</v>
      </c>
      <c r="F214" s="11">
        <v>46238</v>
      </c>
      <c r="G214" t="s">
        <v>60</v>
      </c>
      <c r="H214" t="s">
        <v>19</v>
      </c>
      <c r="I214">
        <v>800</v>
      </c>
      <c r="J214" t="s">
        <v>16</v>
      </c>
      <c r="K214" t="s">
        <v>17</v>
      </c>
      <c r="L214" t="s">
        <v>25</v>
      </c>
      <c r="M214" t="s">
        <v>41</v>
      </c>
      <c r="Q214" s="1"/>
    </row>
    <row r="215" spans="1:17" x14ac:dyDescent="0.3">
      <c r="A215">
        <v>15</v>
      </c>
      <c r="B215">
        <v>8</v>
      </c>
      <c r="C215" s="11">
        <v>46268</v>
      </c>
      <c r="D215" t="s">
        <v>20</v>
      </c>
      <c r="E215">
        <v>500</v>
      </c>
      <c r="F215" s="11">
        <v>46026</v>
      </c>
      <c r="G215" t="s">
        <v>39</v>
      </c>
      <c r="H215" t="s">
        <v>30</v>
      </c>
      <c r="I215">
        <v>200</v>
      </c>
      <c r="J215" t="s">
        <v>16</v>
      </c>
      <c r="K215" t="s">
        <v>33</v>
      </c>
      <c r="L215" t="s">
        <v>18</v>
      </c>
      <c r="M215" t="s">
        <v>15</v>
      </c>
      <c r="Q215" s="1"/>
    </row>
    <row r="216" spans="1:17" x14ac:dyDescent="0.3">
      <c r="A216">
        <v>9</v>
      </c>
      <c r="B216">
        <v>4</v>
      </c>
      <c r="C216" s="11">
        <v>46267</v>
      </c>
      <c r="D216" t="s">
        <v>13</v>
      </c>
      <c r="E216">
        <v>3000</v>
      </c>
      <c r="F216" s="11">
        <v>46025</v>
      </c>
      <c r="G216" t="s">
        <v>66</v>
      </c>
      <c r="H216" t="s">
        <v>36</v>
      </c>
      <c r="I216">
        <v>600</v>
      </c>
      <c r="J216" t="s">
        <v>23</v>
      </c>
      <c r="K216" t="s">
        <v>17</v>
      </c>
      <c r="L216" t="s">
        <v>18</v>
      </c>
      <c r="M216" t="s">
        <v>32</v>
      </c>
      <c r="Q216" s="1"/>
    </row>
    <row r="217" spans="1:17" x14ac:dyDescent="0.3">
      <c r="A217">
        <v>24</v>
      </c>
      <c r="B217">
        <v>12</v>
      </c>
      <c r="C217" s="11">
        <v>46146</v>
      </c>
      <c r="D217" t="s">
        <v>20</v>
      </c>
      <c r="E217">
        <v>900</v>
      </c>
      <c r="F217" s="11">
        <v>46177</v>
      </c>
      <c r="G217" t="s">
        <v>48</v>
      </c>
      <c r="H217" t="s">
        <v>15</v>
      </c>
      <c r="I217">
        <v>300</v>
      </c>
      <c r="J217" t="s">
        <v>16</v>
      </c>
      <c r="K217" t="s">
        <v>17</v>
      </c>
      <c r="L217" t="s">
        <v>18</v>
      </c>
      <c r="M217" t="s">
        <v>19</v>
      </c>
      <c r="Q217" s="1"/>
    </row>
    <row r="218" spans="1:17" x14ac:dyDescent="0.3">
      <c r="A218">
        <v>13</v>
      </c>
      <c r="B218">
        <v>7</v>
      </c>
      <c r="C218" s="11">
        <v>46206</v>
      </c>
      <c r="D218" t="s">
        <v>13</v>
      </c>
      <c r="E218">
        <v>100</v>
      </c>
      <c r="F218" s="11">
        <v>46237</v>
      </c>
      <c r="G218" t="s">
        <v>78</v>
      </c>
      <c r="H218" t="s">
        <v>28</v>
      </c>
      <c r="I218">
        <v>200</v>
      </c>
      <c r="J218" t="s">
        <v>16</v>
      </c>
      <c r="K218" t="s">
        <v>33</v>
      </c>
      <c r="L218" t="s">
        <v>34</v>
      </c>
      <c r="M218" t="s">
        <v>30</v>
      </c>
      <c r="Q218" s="1"/>
    </row>
    <row r="219" spans="1:17" x14ac:dyDescent="0.3">
      <c r="A219">
        <v>6</v>
      </c>
      <c r="B219">
        <v>3</v>
      </c>
      <c r="C219" s="11">
        <v>46267</v>
      </c>
      <c r="D219" t="s">
        <v>20</v>
      </c>
      <c r="E219">
        <v>6000</v>
      </c>
      <c r="F219" s="11">
        <v>46025</v>
      </c>
      <c r="G219" t="s">
        <v>66</v>
      </c>
      <c r="H219" t="s">
        <v>36</v>
      </c>
      <c r="I219">
        <v>500</v>
      </c>
      <c r="J219" t="s">
        <v>23</v>
      </c>
      <c r="K219" t="s">
        <v>17</v>
      </c>
      <c r="L219" t="s">
        <v>18</v>
      </c>
      <c r="M219" t="s">
        <v>32</v>
      </c>
      <c r="Q219" s="1"/>
    </row>
    <row r="220" spans="1:17" x14ac:dyDescent="0.3">
      <c r="A220">
        <v>21</v>
      </c>
      <c r="B220">
        <v>11</v>
      </c>
      <c r="C220" s="11">
        <v>46116</v>
      </c>
      <c r="D220" t="s">
        <v>13</v>
      </c>
      <c r="E220">
        <v>500</v>
      </c>
      <c r="F220" s="11">
        <v>46177</v>
      </c>
      <c r="G220" t="s">
        <v>73</v>
      </c>
      <c r="H220" t="s">
        <v>30</v>
      </c>
      <c r="I220">
        <v>400</v>
      </c>
      <c r="J220" t="s">
        <v>16</v>
      </c>
      <c r="K220" t="s">
        <v>33</v>
      </c>
      <c r="L220" t="s">
        <v>18</v>
      </c>
      <c r="M220" t="s">
        <v>15</v>
      </c>
      <c r="Q220" s="1"/>
    </row>
    <row r="221" spans="1:17" x14ac:dyDescent="0.3">
      <c r="A221">
        <v>32</v>
      </c>
      <c r="B221">
        <v>16</v>
      </c>
      <c r="C221" s="11">
        <v>46238</v>
      </c>
      <c r="D221" t="s">
        <v>20</v>
      </c>
      <c r="E221">
        <v>2000</v>
      </c>
      <c r="F221" s="11">
        <v>46269</v>
      </c>
      <c r="G221" t="s">
        <v>55</v>
      </c>
      <c r="H221" t="s">
        <v>19</v>
      </c>
      <c r="I221">
        <v>700</v>
      </c>
      <c r="J221" t="s">
        <v>16</v>
      </c>
      <c r="K221" t="s">
        <v>17</v>
      </c>
      <c r="L221" t="s">
        <v>18</v>
      </c>
      <c r="M221" t="s">
        <v>41</v>
      </c>
      <c r="Q221" s="1"/>
    </row>
    <row r="222" spans="1:17" x14ac:dyDescent="0.3">
      <c r="A222">
        <v>17</v>
      </c>
      <c r="B222">
        <v>9</v>
      </c>
      <c r="C222" s="11">
        <v>46026</v>
      </c>
      <c r="D222" t="s">
        <v>13</v>
      </c>
      <c r="E222">
        <v>400</v>
      </c>
      <c r="F222" s="11">
        <v>46057</v>
      </c>
      <c r="G222" t="s">
        <v>27</v>
      </c>
      <c r="H222" t="s">
        <v>15</v>
      </c>
      <c r="I222">
        <v>200</v>
      </c>
      <c r="J222" t="s">
        <v>16</v>
      </c>
      <c r="K222" t="s">
        <v>33</v>
      </c>
      <c r="L222" t="s">
        <v>34</v>
      </c>
      <c r="M222" t="s">
        <v>19</v>
      </c>
      <c r="Q222" s="1"/>
    </row>
    <row r="223" spans="1:17" x14ac:dyDescent="0.3">
      <c r="A223">
        <v>25</v>
      </c>
      <c r="B223">
        <v>13</v>
      </c>
      <c r="C223" s="11">
        <v>46177</v>
      </c>
      <c r="D223" t="s">
        <v>20</v>
      </c>
      <c r="E223">
        <v>300</v>
      </c>
      <c r="F223" s="11">
        <v>46207</v>
      </c>
      <c r="G223" t="s">
        <v>39</v>
      </c>
      <c r="H223" t="s">
        <v>19</v>
      </c>
      <c r="I223">
        <v>800</v>
      </c>
      <c r="J223" t="s">
        <v>16</v>
      </c>
      <c r="K223" t="s">
        <v>17</v>
      </c>
      <c r="L223" t="s">
        <v>18</v>
      </c>
      <c r="M223" t="s">
        <v>41</v>
      </c>
      <c r="Q223" s="1"/>
    </row>
    <row r="224" spans="1:17" x14ac:dyDescent="0.3">
      <c r="A224">
        <v>19</v>
      </c>
      <c r="B224">
        <v>9</v>
      </c>
      <c r="C224" s="11">
        <v>46057</v>
      </c>
      <c r="D224" t="s">
        <v>13</v>
      </c>
      <c r="E224">
        <v>200</v>
      </c>
      <c r="F224" s="11">
        <v>46085</v>
      </c>
      <c r="G224" t="s">
        <v>60</v>
      </c>
      <c r="H224" t="s">
        <v>15</v>
      </c>
      <c r="I224">
        <v>300</v>
      </c>
      <c r="J224" t="s">
        <v>16</v>
      </c>
      <c r="K224" t="s">
        <v>33</v>
      </c>
      <c r="L224" t="s">
        <v>18</v>
      </c>
      <c r="M224" t="s">
        <v>19</v>
      </c>
      <c r="Q224" s="1"/>
    </row>
    <row r="225" spans="1:17" x14ac:dyDescent="0.3">
      <c r="A225">
        <v>34</v>
      </c>
      <c r="B225">
        <v>17</v>
      </c>
      <c r="C225" s="11">
        <v>46269</v>
      </c>
      <c r="D225" t="s">
        <v>20</v>
      </c>
      <c r="E225">
        <v>7000</v>
      </c>
      <c r="F225" s="11" t="s">
        <v>81</v>
      </c>
      <c r="G225" t="s">
        <v>35</v>
      </c>
      <c r="H225" t="s">
        <v>19</v>
      </c>
      <c r="I225">
        <v>900</v>
      </c>
      <c r="J225" t="s">
        <v>23</v>
      </c>
      <c r="K225" t="s">
        <v>17</v>
      </c>
      <c r="L225" t="s">
        <v>25</v>
      </c>
      <c r="M225" t="s">
        <v>41</v>
      </c>
      <c r="Q225" s="1"/>
    </row>
    <row r="226" spans="1:17" x14ac:dyDescent="0.3">
      <c r="A226">
        <v>22</v>
      </c>
      <c r="B226">
        <v>11</v>
      </c>
      <c r="C226" s="11">
        <v>46146</v>
      </c>
      <c r="D226" t="s">
        <v>13</v>
      </c>
      <c r="E226">
        <v>1000</v>
      </c>
      <c r="F226" s="11">
        <v>46207</v>
      </c>
      <c r="G226" t="s">
        <v>66</v>
      </c>
      <c r="H226" t="s">
        <v>15</v>
      </c>
      <c r="I226">
        <v>400</v>
      </c>
      <c r="J226" t="s">
        <v>16</v>
      </c>
      <c r="K226" t="s">
        <v>17</v>
      </c>
      <c r="L226" t="s">
        <v>18</v>
      </c>
      <c r="M226" t="s">
        <v>19</v>
      </c>
      <c r="Q226" s="1"/>
    </row>
    <row r="227" spans="1:17" x14ac:dyDescent="0.3">
      <c r="A227">
        <v>16</v>
      </c>
      <c r="B227">
        <v>8</v>
      </c>
      <c r="C227" s="11">
        <v>46237</v>
      </c>
      <c r="D227" t="s">
        <v>20</v>
      </c>
      <c r="E227">
        <v>400</v>
      </c>
      <c r="F227" s="11" t="s">
        <v>64</v>
      </c>
      <c r="G227" t="s">
        <v>31</v>
      </c>
      <c r="H227" t="s">
        <v>30</v>
      </c>
      <c r="I227">
        <v>200</v>
      </c>
      <c r="J227" t="s">
        <v>16</v>
      </c>
      <c r="K227" t="s">
        <v>33</v>
      </c>
      <c r="L227" t="s">
        <v>18</v>
      </c>
      <c r="M227" t="s">
        <v>15</v>
      </c>
      <c r="Q227" s="1"/>
    </row>
    <row r="228" spans="1:17" x14ac:dyDescent="0.3">
      <c r="A228">
        <v>10</v>
      </c>
      <c r="B228">
        <v>5</v>
      </c>
      <c r="C228" s="11">
        <v>46025</v>
      </c>
      <c r="D228" t="s">
        <v>13</v>
      </c>
      <c r="E228">
        <v>5000</v>
      </c>
      <c r="F228" s="11">
        <v>46056</v>
      </c>
      <c r="G228" t="s">
        <v>55</v>
      </c>
      <c r="H228" t="s">
        <v>36</v>
      </c>
      <c r="I228">
        <v>600</v>
      </c>
      <c r="J228" t="s">
        <v>23</v>
      </c>
      <c r="K228" t="s">
        <v>33</v>
      </c>
      <c r="L228" t="s">
        <v>34</v>
      </c>
      <c r="M228" t="s">
        <v>32</v>
      </c>
      <c r="Q228" s="1"/>
    </row>
    <row r="229" spans="1:17" x14ac:dyDescent="0.3">
      <c r="A229">
        <v>27</v>
      </c>
      <c r="B229">
        <v>13</v>
      </c>
      <c r="C229" s="11">
        <v>46177</v>
      </c>
      <c r="D229" t="s">
        <v>13</v>
      </c>
      <c r="E229">
        <v>1000</v>
      </c>
      <c r="F229" s="11">
        <v>46238</v>
      </c>
      <c r="G229" t="s">
        <v>42</v>
      </c>
      <c r="H229" t="s">
        <v>19</v>
      </c>
      <c r="I229">
        <v>800</v>
      </c>
      <c r="J229" t="s">
        <v>16</v>
      </c>
      <c r="K229" t="s">
        <v>33</v>
      </c>
      <c r="L229" t="s">
        <v>18</v>
      </c>
      <c r="M229" t="s">
        <v>41</v>
      </c>
      <c r="Q229" s="1"/>
    </row>
    <row r="230" spans="1:17" x14ac:dyDescent="0.3">
      <c r="A230">
        <v>7</v>
      </c>
      <c r="B230">
        <v>3</v>
      </c>
      <c r="C230" s="11">
        <v>46267</v>
      </c>
      <c r="D230" t="s">
        <v>20</v>
      </c>
      <c r="E230">
        <v>4000</v>
      </c>
      <c r="F230" s="11">
        <v>46025</v>
      </c>
      <c r="G230" t="s">
        <v>57</v>
      </c>
      <c r="H230" t="s">
        <v>36</v>
      </c>
      <c r="I230">
        <v>500</v>
      </c>
      <c r="J230" t="s">
        <v>23</v>
      </c>
      <c r="K230" t="s">
        <v>17</v>
      </c>
      <c r="L230" t="s">
        <v>18</v>
      </c>
      <c r="M230" t="s">
        <v>32</v>
      </c>
      <c r="Q230" s="1"/>
    </row>
    <row r="231" spans="1:17" x14ac:dyDescent="0.3">
      <c r="A231">
        <v>23</v>
      </c>
      <c r="B231">
        <v>11</v>
      </c>
      <c r="C231" s="11">
        <v>46116</v>
      </c>
      <c r="D231" t="s">
        <v>13</v>
      </c>
      <c r="E231">
        <v>800</v>
      </c>
      <c r="F231" s="11">
        <v>46177</v>
      </c>
      <c r="G231" t="s">
        <v>39</v>
      </c>
      <c r="H231" t="s">
        <v>30</v>
      </c>
      <c r="I231">
        <v>400</v>
      </c>
      <c r="J231" t="s">
        <v>16</v>
      </c>
      <c r="K231" t="s">
        <v>33</v>
      </c>
      <c r="L231" t="s">
        <v>18</v>
      </c>
      <c r="M231" t="s">
        <v>15</v>
      </c>
      <c r="Q231" s="1"/>
    </row>
    <row r="232" spans="1:17" x14ac:dyDescent="0.3">
      <c r="A232">
        <v>12</v>
      </c>
      <c r="B232">
        <v>6</v>
      </c>
      <c r="C232" s="11">
        <v>46084</v>
      </c>
      <c r="D232" t="s">
        <v>20</v>
      </c>
      <c r="E232">
        <v>2000</v>
      </c>
      <c r="F232" s="11">
        <v>46145</v>
      </c>
      <c r="G232" t="s">
        <v>66</v>
      </c>
      <c r="H232" t="s">
        <v>63</v>
      </c>
      <c r="I232">
        <v>500</v>
      </c>
      <c r="J232" t="s">
        <v>23</v>
      </c>
      <c r="K232" t="s">
        <v>17</v>
      </c>
      <c r="L232" t="s">
        <v>25</v>
      </c>
      <c r="M232" t="s">
        <v>28</v>
      </c>
      <c r="Q232" s="1"/>
    </row>
    <row r="233" spans="1:17" x14ac:dyDescent="0.3">
      <c r="A233">
        <v>28</v>
      </c>
      <c r="B233">
        <v>14</v>
      </c>
      <c r="C233" s="11">
        <v>46207</v>
      </c>
      <c r="D233" t="s">
        <v>13</v>
      </c>
      <c r="E233">
        <v>100</v>
      </c>
      <c r="F233" s="11">
        <v>46238</v>
      </c>
      <c r="G233" t="s">
        <v>60</v>
      </c>
      <c r="H233" t="s">
        <v>19</v>
      </c>
      <c r="I233">
        <v>800</v>
      </c>
      <c r="J233" t="s">
        <v>16</v>
      </c>
      <c r="K233" t="s">
        <v>17</v>
      </c>
      <c r="L233" t="s">
        <v>25</v>
      </c>
      <c r="M233" t="s">
        <v>41</v>
      </c>
      <c r="Q233" s="1"/>
    </row>
    <row r="234" spans="1:17" x14ac:dyDescent="0.3">
      <c r="A234">
        <v>16</v>
      </c>
      <c r="B234">
        <v>8</v>
      </c>
      <c r="C234" s="11">
        <v>46237</v>
      </c>
      <c r="D234" t="s">
        <v>20</v>
      </c>
      <c r="E234">
        <v>900</v>
      </c>
      <c r="F234" s="11" t="s">
        <v>64</v>
      </c>
      <c r="G234" t="s">
        <v>31</v>
      </c>
      <c r="H234" t="s">
        <v>30</v>
      </c>
      <c r="I234">
        <v>200</v>
      </c>
      <c r="J234" t="s">
        <v>16</v>
      </c>
      <c r="K234" t="s">
        <v>33</v>
      </c>
      <c r="L234" t="s">
        <v>18</v>
      </c>
      <c r="M234" t="s">
        <v>15</v>
      </c>
      <c r="Q234" s="1"/>
    </row>
    <row r="235" spans="1:17" x14ac:dyDescent="0.3">
      <c r="A235">
        <v>8</v>
      </c>
      <c r="B235">
        <v>4</v>
      </c>
      <c r="C235" s="11">
        <v>46056</v>
      </c>
      <c r="D235" t="s">
        <v>13</v>
      </c>
      <c r="E235">
        <v>3000</v>
      </c>
      <c r="F235" s="11">
        <v>46115</v>
      </c>
      <c r="G235" t="s">
        <v>77</v>
      </c>
      <c r="H235" t="s">
        <v>26</v>
      </c>
      <c r="I235">
        <v>400</v>
      </c>
      <c r="J235" t="s">
        <v>16</v>
      </c>
      <c r="K235" t="s">
        <v>17</v>
      </c>
      <c r="L235" t="s">
        <v>18</v>
      </c>
      <c r="M235" t="s">
        <v>43</v>
      </c>
      <c r="Q235" s="1"/>
    </row>
    <row r="236" spans="1:17" x14ac:dyDescent="0.3">
      <c r="A236">
        <v>31</v>
      </c>
      <c r="B236">
        <v>15</v>
      </c>
      <c r="C236" s="11">
        <v>46207</v>
      </c>
      <c r="D236" t="s">
        <v>20</v>
      </c>
      <c r="E236">
        <v>600</v>
      </c>
      <c r="F236" s="11">
        <v>46238</v>
      </c>
      <c r="G236" t="s">
        <v>66</v>
      </c>
      <c r="H236" t="s">
        <v>19</v>
      </c>
      <c r="I236">
        <v>700</v>
      </c>
      <c r="J236" t="s">
        <v>16</v>
      </c>
      <c r="K236" t="s">
        <v>17</v>
      </c>
      <c r="L236" t="s">
        <v>18</v>
      </c>
      <c r="M236" t="s">
        <v>41</v>
      </c>
      <c r="Q236" s="1"/>
    </row>
    <row r="237" spans="1:17" x14ac:dyDescent="0.3">
      <c r="A237">
        <v>20</v>
      </c>
      <c r="B237">
        <v>10</v>
      </c>
      <c r="C237" s="11">
        <v>46085</v>
      </c>
      <c r="D237" t="s">
        <v>13</v>
      </c>
      <c r="E237">
        <v>1000</v>
      </c>
      <c r="F237" s="11">
        <v>46116</v>
      </c>
      <c r="G237" t="s">
        <v>21</v>
      </c>
      <c r="H237" t="s">
        <v>15</v>
      </c>
      <c r="I237">
        <v>300</v>
      </c>
      <c r="J237" t="s">
        <v>16</v>
      </c>
      <c r="K237" t="s">
        <v>33</v>
      </c>
      <c r="L237" t="s">
        <v>18</v>
      </c>
      <c r="M237" t="s">
        <v>19</v>
      </c>
      <c r="Q237" s="1"/>
    </row>
    <row r="238" spans="1:17" x14ac:dyDescent="0.3">
      <c r="A238">
        <v>11</v>
      </c>
      <c r="B238">
        <v>5</v>
      </c>
      <c r="C238" s="11">
        <v>46056</v>
      </c>
      <c r="D238" t="s">
        <v>20</v>
      </c>
      <c r="E238">
        <v>4000</v>
      </c>
      <c r="F238" s="11">
        <v>46115</v>
      </c>
      <c r="G238" t="s">
        <v>69</v>
      </c>
      <c r="H238" t="s">
        <v>32</v>
      </c>
      <c r="I238">
        <v>500</v>
      </c>
      <c r="J238" t="s">
        <v>23</v>
      </c>
      <c r="K238" t="s">
        <v>17</v>
      </c>
      <c r="L238" t="s">
        <v>18</v>
      </c>
      <c r="M238" t="s">
        <v>26</v>
      </c>
      <c r="Q238" s="1"/>
    </row>
    <row r="239" spans="1:17" x14ac:dyDescent="0.3">
      <c r="A239">
        <v>28</v>
      </c>
      <c r="B239">
        <v>14</v>
      </c>
      <c r="C239" s="11">
        <v>46207</v>
      </c>
      <c r="D239" t="s">
        <v>13</v>
      </c>
      <c r="E239">
        <v>200</v>
      </c>
      <c r="F239" s="11">
        <v>46238</v>
      </c>
      <c r="G239" t="s">
        <v>60</v>
      </c>
      <c r="H239" t="s">
        <v>19</v>
      </c>
      <c r="I239">
        <v>800</v>
      </c>
      <c r="J239" t="s">
        <v>16</v>
      </c>
      <c r="K239" t="s">
        <v>17</v>
      </c>
      <c r="L239" t="s">
        <v>25</v>
      </c>
      <c r="M239" t="s">
        <v>41</v>
      </c>
      <c r="Q239" s="1"/>
    </row>
    <row r="240" spans="1:17" x14ac:dyDescent="0.3">
      <c r="A240">
        <v>15</v>
      </c>
      <c r="B240">
        <v>8</v>
      </c>
      <c r="C240" s="11">
        <v>46268</v>
      </c>
      <c r="D240" t="s">
        <v>20</v>
      </c>
      <c r="E240">
        <v>500</v>
      </c>
      <c r="F240" s="11">
        <v>46026</v>
      </c>
      <c r="G240" t="s">
        <v>39</v>
      </c>
      <c r="H240" t="s">
        <v>30</v>
      </c>
      <c r="I240">
        <v>200</v>
      </c>
      <c r="J240" t="s">
        <v>16</v>
      </c>
      <c r="K240" t="s">
        <v>33</v>
      </c>
      <c r="L240" t="s">
        <v>18</v>
      </c>
      <c r="M240" t="s">
        <v>15</v>
      </c>
      <c r="Q240" s="1"/>
    </row>
    <row r="241" spans="1:17" x14ac:dyDescent="0.3">
      <c r="A241">
        <v>9</v>
      </c>
      <c r="B241">
        <v>4</v>
      </c>
      <c r="C241" s="11">
        <v>46267</v>
      </c>
      <c r="D241" t="s">
        <v>13</v>
      </c>
      <c r="E241">
        <v>3000</v>
      </c>
      <c r="F241" s="11">
        <v>46025</v>
      </c>
      <c r="G241" t="s">
        <v>66</v>
      </c>
      <c r="H241" t="s">
        <v>36</v>
      </c>
      <c r="I241">
        <v>600</v>
      </c>
      <c r="J241" t="s">
        <v>23</v>
      </c>
      <c r="K241" t="s">
        <v>17</v>
      </c>
      <c r="L241" t="s">
        <v>18</v>
      </c>
      <c r="M241" t="s">
        <v>32</v>
      </c>
      <c r="Q241" s="1"/>
    </row>
    <row r="242" spans="1:17" x14ac:dyDescent="0.3">
      <c r="A242">
        <v>24</v>
      </c>
      <c r="B242">
        <v>12</v>
      </c>
      <c r="C242" s="11">
        <v>46146</v>
      </c>
      <c r="D242" t="s">
        <v>20</v>
      </c>
      <c r="E242">
        <v>900</v>
      </c>
      <c r="F242" s="11">
        <v>46177</v>
      </c>
      <c r="G242" t="s">
        <v>48</v>
      </c>
      <c r="H242" t="s">
        <v>15</v>
      </c>
      <c r="I242">
        <v>300</v>
      </c>
      <c r="J242" t="s">
        <v>16</v>
      </c>
      <c r="K242" t="s">
        <v>17</v>
      </c>
      <c r="L242" t="s">
        <v>18</v>
      </c>
      <c r="M242" t="s">
        <v>19</v>
      </c>
      <c r="Q242" s="1"/>
    </row>
    <row r="243" spans="1:17" x14ac:dyDescent="0.3">
      <c r="A243">
        <v>13</v>
      </c>
      <c r="B243">
        <v>7</v>
      </c>
      <c r="C243" s="11">
        <v>46206</v>
      </c>
      <c r="D243" t="s">
        <v>13</v>
      </c>
      <c r="E243">
        <v>100</v>
      </c>
      <c r="F243" s="11">
        <v>46237</v>
      </c>
      <c r="G243" t="s">
        <v>78</v>
      </c>
      <c r="H243" t="s">
        <v>28</v>
      </c>
      <c r="I243">
        <v>200</v>
      </c>
      <c r="J243" t="s">
        <v>16</v>
      </c>
      <c r="K243" t="s">
        <v>33</v>
      </c>
      <c r="L243" t="s">
        <v>34</v>
      </c>
      <c r="M243" t="s">
        <v>30</v>
      </c>
      <c r="Q243" s="1"/>
    </row>
    <row r="244" spans="1:17" x14ac:dyDescent="0.3">
      <c r="A244">
        <v>6</v>
      </c>
      <c r="B244">
        <v>3</v>
      </c>
      <c r="C244" s="11">
        <v>46267</v>
      </c>
      <c r="D244" t="s">
        <v>20</v>
      </c>
      <c r="E244">
        <v>6000</v>
      </c>
      <c r="F244" s="11">
        <v>46025</v>
      </c>
      <c r="G244" t="s">
        <v>66</v>
      </c>
      <c r="H244" t="s">
        <v>36</v>
      </c>
      <c r="I244">
        <v>500</v>
      </c>
      <c r="J244" t="s">
        <v>23</v>
      </c>
      <c r="K244" t="s">
        <v>17</v>
      </c>
      <c r="L244" t="s">
        <v>18</v>
      </c>
      <c r="M244" t="s">
        <v>32</v>
      </c>
      <c r="Q244" s="1"/>
    </row>
    <row r="245" spans="1:17" x14ac:dyDescent="0.3">
      <c r="A245">
        <v>21</v>
      </c>
      <c r="B245">
        <v>11</v>
      </c>
      <c r="C245" s="11">
        <v>46116</v>
      </c>
      <c r="D245" t="s">
        <v>13</v>
      </c>
      <c r="E245">
        <v>500</v>
      </c>
      <c r="F245" s="11">
        <v>46177</v>
      </c>
      <c r="G245" t="s">
        <v>73</v>
      </c>
      <c r="H245" t="s">
        <v>30</v>
      </c>
      <c r="I245">
        <v>400</v>
      </c>
      <c r="J245" t="s">
        <v>16</v>
      </c>
      <c r="K245" t="s">
        <v>33</v>
      </c>
      <c r="L245" t="s">
        <v>18</v>
      </c>
      <c r="M245" t="s">
        <v>15</v>
      </c>
      <c r="Q245" s="1"/>
    </row>
    <row r="246" spans="1:17" x14ac:dyDescent="0.3">
      <c r="A246">
        <v>32</v>
      </c>
      <c r="B246">
        <v>16</v>
      </c>
      <c r="C246" s="11">
        <v>46238</v>
      </c>
      <c r="D246" t="s">
        <v>20</v>
      </c>
      <c r="E246">
        <v>2000</v>
      </c>
      <c r="F246" s="11">
        <v>46269</v>
      </c>
      <c r="G246" t="s">
        <v>55</v>
      </c>
      <c r="H246" t="s">
        <v>19</v>
      </c>
      <c r="I246">
        <v>700</v>
      </c>
      <c r="J246" t="s">
        <v>16</v>
      </c>
      <c r="K246" t="s">
        <v>17</v>
      </c>
      <c r="L246" t="s">
        <v>18</v>
      </c>
      <c r="M246" t="s">
        <v>41</v>
      </c>
      <c r="Q246" s="1"/>
    </row>
    <row r="247" spans="1:17" x14ac:dyDescent="0.3">
      <c r="A247">
        <v>17</v>
      </c>
      <c r="B247">
        <v>9</v>
      </c>
      <c r="C247" s="11">
        <v>46026</v>
      </c>
      <c r="D247" t="s">
        <v>13</v>
      </c>
      <c r="E247">
        <v>400</v>
      </c>
      <c r="F247" s="11">
        <v>46057</v>
      </c>
      <c r="G247" t="s">
        <v>27</v>
      </c>
      <c r="H247" t="s">
        <v>15</v>
      </c>
      <c r="I247">
        <v>200</v>
      </c>
      <c r="J247" t="s">
        <v>16</v>
      </c>
      <c r="K247" t="s">
        <v>33</v>
      </c>
      <c r="L247" t="s">
        <v>34</v>
      </c>
      <c r="M247" t="s">
        <v>19</v>
      </c>
      <c r="Q247" s="1"/>
    </row>
    <row r="248" spans="1:17" x14ac:dyDescent="0.3">
      <c r="A248">
        <v>25</v>
      </c>
      <c r="B248">
        <v>13</v>
      </c>
      <c r="C248" s="11">
        <v>46177</v>
      </c>
      <c r="D248" t="s">
        <v>20</v>
      </c>
      <c r="E248">
        <v>300</v>
      </c>
      <c r="F248" s="11">
        <v>46207</v>
      </c>
      <c r="G248" t="s">
        <v>39</v>
      </c>
      <c r="H248" t="s">
        <v>19</v>
      </c>
      <c r="I248">
        <v>800</v>
      </c>
      <c r="J248" t="s">
        <v>16</v>
      </c>
      <c r="K248" t="s">
        <v>17</v>
      </c>
      <c r="L248" t="s">
        <v>18</v>
      </c>
      <c r="M248" t="s">
        <v>41</v>
      </c>
      <c r="Q248" s="1"/>
    </row>
    <row r="249" spans="1:17" x14ac:dyDescent="0.3">
      <c r="A249">
        <v>19</v>
      </c>
      <c r="B249">
        <v>9</v>
      </c>
      <c r="C249" s="11">
        <v>46057</v>
      </c>
      <c r="D249" t="s">
        <v>13</v>
      </c>
      <c r="E249">
        <v>200</v>
      </c>
      <c r="F249" s="11">
        <v>46085</v>
      </c>
      <c r="G249" t="s">
        <v>60</v>
      </c>
      <c r="H249" t="s">
        <v>15</v>
      </c>
      <c r="I249">
        <v>300</v>
      </c>
      <c r="J249" t="s">
        <v>16</v>
      </c>
      <c r="K249" t="s">
        <v>33</v>
      </c>
      <c r="L249" t="s">
        <v>18</v>
      </c>
      <c r="M249" t="s">
        <v>19</v>
      </c>
      <c r="Q249" s="1"/>
    </row>
    <row r="250" spans="1:17" x14ac:dyDescent="0.3">
      <c r="A250">
        <v>34</v>
      </c>
      <c r="B250">
        <v>17</v>
      </c>
      <c r="C250" s="11">
        <v>46269</v>
      </c>
      <c r="D250" t="s">
        <v>20</v>
      </c>
      <c r="E250">
        <v>7000</v>
      </c>
      <c r="F250" s="11" t="s">
        <v>81</v>
      </c>
      <c r="G250" t="s">
        <v>35</v>
      </c>
      <c r="H250" t="s">
        <v>19</v>
      </c>
      <c r="I250">
        <v>900</v>
      </c>
      <c r="J250" t="s">
        <v>23</v>
      </c>
      <c r="K250" t="s">
        <v>17</v>
      </c>
      <c r="L250" t="s">
        <v>25</v>
      </c>
      <c r="M250" t="s">
        <v>41</v>
      </c>
      <c r="Q250" s="1"/>
    </row>
    <row r="251" spans="1:17" x14ac:dyDescent="0.3">
      <c r="A251">
        <v>22</v>
      </c>
      <c r="B251">
        <v>11</v>
      </c>
      <c r="C251" s="11">
        <v>46146</v>
      </c>
      <c r="D251" t="s">
        <v>13</v>
      </c>
      <c r="E251">
        <v>1000</v>
      </c>
      <c r="F251" s="11">
        <v>46207</v>
      </c>
      <c r="G251" t="s">
        <v>66</v>
      </c>
      <c r="H251" t="s">
        <v>15</v>
      </c>
      <c r="I251">
        <v>400</v>
      </c>
      <c r="J251" t="s">
        <v>16</v>
      </c>
      <c r="K251" t="s">
        <v>17</v>
      </c>
      <c r="L251" t="s">
        <v>18</v>
      </c>
      <c r="M251" t="s">
        <v>19</v>
      </c>
      <c r="Q251" s="1"/>
    </row>
    <row r="252" spans="1:17" x14ac:dyDescent="0.3">
      <c r="A252">
        <v>16</v>
      </c>
      <c r="B252">
        <v>8</v>
      </c>
      <c r="C252" s="11">
        <v>46237</v>
      </c>
      <c r="D252" t="s">
        <v>20</v>
      </c>
      <c r="E252">
        <v>400</v>
      </c>
      <c r="F252" s="11" t="s">
        <v>64</v>
      </c>
      <c r="G252" t="s">
        <v>31</v>
      </c>
      <c r="H252" t="s">
        <v>30</v>
      </c>
      <c r="I252">
        <v>200</v>
      </c>
      <c r="J252" t="s">
        <v>16</v>
      </c>
      <c r="K252" t="s">
        <v>33</v>
      </c>
      <c r="L252" t="s">
        <v>18</v>
      </c>
      <c r="M252" t="s">
        <v>15</v>
      </c>
      <c r="Q252" s="1"/>
    </row>
    <row r="253" spans="1:17" x14ac:dyDescent="0.3">
      <c r="A253">
        <v>10</v>
      </c>
      <c r="B253">
        <v>5</v>
      </c>
      <c r="C253" s="11">
        <v>46025</v>
      </c>
      <c r="D253" t="s">
        <v>13</v>
      </c>
      <c r="E253">
        <v>5000</v>
      </c>
      <c r="F253" s="11">
        <v>46056</v>
      </c>
      <c r="G253" t="s">
        <v>55</v>
      </c>
      <c r="H253" t="s">
        <v>36</v>
      </c>
      <c r="I253">
        <v>600</v>
      </c>
      <c r="J253" t="s">
        <v>23</v>
      </c>
      <c r="K253" t="s">
        <v>33</v>
      </c>
      <c r="L253" t="s">
        <v>34</v>
      </c>
      <c r="M253" t="s">
        <v>32</v>
      </c>
      <c r="Q253" s="1"/>
    </row>
    <row r="254" spans="1:17" x14ac:dyDescent="0.3">
      <c r="A254">
        <v>27</v>
      </c>
      <c r="B254">
        <v>13</v>
      </c>
      <c r="C254" s="11">
        <v>46177</v>
      </c>
      <c r="D254" t="s">
        <v>13</v>
      </c>
      <c r="E254">
        <v>1000</v>
      </c>
      <c r="F254" s="11">
        <v>46238</v>
      </c>
      <c r="G254" t="s">
        <v>42</v>
      </c>
      <c r="H254" t="s">
        <v>19</v>
      </c>
      <c r="I254">
        <v>800</v>
      </c>
      <c r="J254" t="s">
        <v>16</v>
      </c>
      <c r="K254" t="s">
        <v>33</v>
      </c>
      <c r="L254" t="s">
        <v>18</v>
      </c>
      <c r="M254" t="s">
        <v>41</v>
      </c>
      <c r="Q254" s="1"/>
    </row>
    <row r="255" spans="1:17" x14ac:dyDescent="0.3">
      <c r="A255">
        <v>7</v>
      </c>
      <c r="B255">
        <v>3</v>
      </c>
      <c r="C255" s="11">
        <v>46267</v>
      </c>
      <c r="D255" t="s">
        <v>20</v>
      </c>
      <c r="E255">
        <v>4000</v>
      </c>
      <c r="F255" s="11">
        <v>46025</v>
      </c>
      <c r="G255" t="s">
        <v>57</v>
      </c>
      <c r="H255" t="s">
        <v>36</v>
      </c>
      <c r="I255">
        <v>500</v>
      </c>
      <c r="J255" t="s">
        <v>23</v>
      </c>
      <c r="K255" t="s">
        <v>17</v>
      </c>
      <c r="L255" t="s">
        <v>18</v>
      </c>
      <c r="M255" t="s">
        <v>32</v>
      </c>
      <c r="Q255" s="1"/>
    </row>
    <row r="256" spans="1:17" x14ac:dyDescent="0.3">
      <c r="A256">
        <v>23</v>
      </c>
      <c r="B256">
        <v>11</v>
      </c>
      <c r="C256" s="11">
        <v>46116</v>
      </c>
      <c r="D256" t="s">
        <v>13</v>
      </c>
      <c r="E256">
        <v>800</v>
      </c>
      <c r="F256" s="11">
        <v>46177</v>
      </c>
      <c r="G256" t="s">
        <v>39</v>
      </c>
      <c r="H256" t="s">
        <v>30</v>
      </c>
      <c r="I256">
        <v>400</v>
      </c>
      <c r="J256" t="s">
        <v>16</v>
      </c>
      <c r="K256" t="s">
        <v>33</v>
      </c>
      <c r="L256" t="s">
        <v>18</v>
      </c>
      <c r="M256" t="s">
        <v>15</v>
      </c>
      <c r="Q256" s="1"/>
    </row>
    <row r="257" spans="1:17" x14ac:dyDescent="0.3">
      <c r="A257">
        <v>12</v>
      </c>
      <c r="B257">
        <v>6</v>
      </c>
      <c r="C257" s="11">
        <v>46084</v>
      </c>
      <c r="D257" t="s">
        <v>20</v>
      </c>
      <c r="E257">
        <v>2000</v>
      </c>
      <c r="F257" s="11">
        <v>46145</v>
      </c>
      <c r="G257" t="s">
        <v>66</v>
      </c>
      <c r="H257" t="s">
        <v>63</v>
      </c>
      <c r="I257">
        <v>500</v>
      </c>
      <c r="J257" t="s">
        <v>23</v>
      </c>
      <c r="K257" t="s">
        <v>17</v>
      </c>
      <c r="L257" t="s">
        <v>25</v>
      </c>
      <c r="M257" t="s">
        <v>28</v>
      </c>
      <c r="Q257" s="1"/>
    </row>
    <row r="258" spans="1:17" x14ac:dyDescent="0.3">
      <c r="A258">
        <v>28</v>
      </c>
      <c r="B258">
        <v>14</v>
      </c>
      <c r="C258" s="11">
        <v>46207</v>
      </c>
      <c r="D258" t="s">
        <v>13</v>
      </c>
      <c r="E258">
        <v>100</v>
      </c>
      <c r="F258" s="11">
        <v>46238</v>
      </c>
      <c r="G258" t="s">
        <v>60</v>
      </c>
      <c r="H258" t="s">
        <v>19</v>
      </c>
      <c r="I258">
        <v>800</v>
      </c>
      <c r="J258" t="s">
        <v>16</v>
      </c>
      <c r="K258" t="s">
        <v>17</v>
      </c>
      <c r="L258" t="s">
        <v>25</v>
      </c>
      <c r="M258" t="s">
        <v>41</v>
      </c>
      <c r="Q258" s="1"/>
    </row>
    <row r="259" spans="1:17" x14ac:dyDescent="0.3">
      <c r="A259">
        <v>16</v>
      </c>
      <c r="B259">
        <v>8</v>
      </c>
      <c r="C259" s="11">
        <v>46237</v>
      </c>
      <c r="D259" t="s">
        <v>20</v>
      </c>
      <c r="E259">
        <v>900</v>
      </c>
      <c r="F259" s="11" t="s">
        <v>64</v>
      </c>
      <c r="G259" t="s">
        <v>31</v>
      </c>
      <c r="H259" t="s">
        <v>30</v>
      </c>
      <c r="I259">
        <v>200</v>
      </c>
      <c r="J259" t="s">
        <v>16</v>
      </c>
      <c r="K259" t="s">
        <v>33</v>
      </c>
      <c r="L259" t="s">
        <v>18</v>
      </c>
      <c r="M259" t="s">
        <v>15</v>
      </c>
      <c r="Q259" s="1"/>
    </row>
    <row r="260" spans="1:17" x14ac:dyDescent="0.3">
      <c r="A260">
        <v>8</v>
      </c>
      <c r="B260">
        <v>4</v>
      </c>
      <c r="C260" s="11">
        <v>46056</v>
      </c>
      <c r="D260" t="s">
        <v>13</v>
      </c>
      <c r="E260">
        <v>3000</v>
      </c>
      <c r="F260" s="11">
        <v>46115</v>
      </c>
      <c r="G260" t="s">
        <v>77</v>
      </c>
      <c r="H260" t="s">
        <v>26</v>
      </c>
      <c r="I260">
        <v>400</v>
      </c>
      <c r="J260" t="s">
        <v>16</v>
      </c>
      <c r="K260" t="s">
        <v>17</v>
      </c>
      <c r="L260" t="s">
        <v>18</v>
      </c>
      <c r="M260" t="s">
        <v>43</v>
      </c>
      <c r="Q260" s="1"/>
    </row>
    <row r="261" spans="1:17" x14ac:dyDescent="0.3">
      <c r="A261">
        <v>31</v>
      </c>
      <c r="B261">
        <v>15</v>
      </c>
      <c r="C261" s="11">
        <v>46207</v>
      </c>
      <c r="D261" t="s">
        <v>20</v>
      </c>
      <c r="E261">
        <v>600</v>
      </c>
      <c r="F261" s="11">
        <v>46238</v>
      </c>
      <c r="G261" t="s">
        <v>66</v>
      </c>
      <c r="H261" t="s">
        <v>19</v>
      </c>
      <c r="I261">
        <v>700</v>
      </c>
      <c r="J261" t="s">
        <v>16</v>
      </c>
      <c r="K261" t="s">
        <v>17</v>
      </c>
      <c r="L261" t="s">
        <v>18</v>
      </c>
      <c r="M261" t="s">
        <v>41</v>
      </c>
      <c r="Q261" s="1"/>
    </row>
    <row r="262" spans="1:17" x14ac:dyDescent="0.3">
      <c r="A262">
        <v>20</v>
      </c>
      <c r="B262">
        <v>10</v>
      </c>
      <c r="C262" s="11">
        <v>46085</v>
      </c>
      <c r="D262" t="s">
        <v>13</v>
      </c>
      <c r="E262">
        <v>1000</v>
      </c>
      <c r="F262" s="11">
        <v>46116</v>
      </c>
      <c r="G262" t="s">
        <v>21</v>
      </c>
      <c r="H262" t="s">
        <v>15</v>
      </c>
      <c r="I262">
        <v>300</v>
      </c>
      <c r="J262" t="s">
        <v>16</v>
      </c>
      <c r="K262" t="s">
        <v>33</v>
      </c>
      <c r="L262" t="s">
        <v>18</v>
      </c>
      <c r="M262" t="s">
        <v>19</v>
      </c>
      <c r="Q262" s="1"/>
    </row>
    <row r="263" spans="1:17" x14ac:dyDescent="0.3">
      <c r="A263">
        <v>11</v>
      </c>
      <c r="B263">
        <v>5</v>
      </c>
      <c r="C263" s="11">
        <v>46056</v>
      </c>
      <c r="D263" t="s">
        <v>20</v>
      </c>
      <c r="E263">
        <v>4000</v>
      </c>
      <c r="F263" s="11">
        <v>46115</v>
      </c>
      <c r="G263" t="s">
        <v>69</v>
      </c>
      <c r="H263" t="s">
        <v>32</v>
      </c>
      <c r="I263">
        <v>500</v>
      </c>
      <c r="J263" t="s">
        <v>23</v>
      </c>
      <c r="K263" t="s">
        <v>17</v>
      </c>
      <c r="L263" t="s">
        <v>18</v>
      </c>
      <c r="M263" t="s">
        <v>26</v>
      </c>
      <c r="Q263" s="1"/>
    </row>
    <row r="264" spans="1:17" x14ac:dyDescent="0.3">
      <c r="A264">
        <v>28</v>
      </c>
      <c r="B264">
        <v>14</v>
      </c>
      <c r="C264" s="11">
        <v>46207</v>
      </c>
      <c r="D264" t="s">
        <v>13</v>
      </c>
      <c r="E264">
        <v>200</v>
      </c>
      <c r="F264" s="11">
        <v>46238</v>
      </c>
      <c r="G264" t="s">
        <v>60</v>
      </c>
      <c r="H264" t="s">
        <v>19</v>
      </c>
      <c r="I264">
        <v>800</v>
      </c>
      <c r="J264" t="s">
        <v>16</v>
      </c>
      <c r="K264" t="s">
        <v>17</v>
      </c>
      <c r="L264" t="s">
        <v>25</v>
      </c>
      <c r="M264" t="s">
        <v>41</v>
      </c>
      <c r="Q264" s="1"/>
    </row>
    <row r="265" spans="1:17" x14ac:dyDescent="0.3">
      <c r="A265">
        <v>15</v>
      </c>
      <c r="B265">
        <v>8</v>
      </c>
      <c r="C265" s="11">
        <v>46268</v>
      </c>
      <c r="D265" t="s">
        <v>20</v>
      </c>
      <c r="E265">
        <v>500</v>
      </c>
      <c r="F265" s="11">
        <v>46026</v>
      </c>
      <c r="G265" t="s">
        <v>39</v>
      </c>
      <c r="H265" t="s">
        <v>30</v>
      </c>
      <c r="I265">
        <v>200</v>
      </c>
      <c r="J265" t="s">
        <v>16</v>
      </c>
      <c r="K265" t="s">
        <v>33</v>
      </c>
      <c r="L265" t="s">
        <v>18</v>
      </c>
      <c r="M265" t="s">
        <v>15</v>
      </c>
      <c r="Q265" s="1"/>
    </row>
    <row r="266" spans="1:17" x14ac:dyDescent="0.3">
      <c r="A266">
        <v>9</v>
      </c>
      <c r="B266">
        <v>4</v>
      </c>
      <c r="C266" s="11">
        <v>46267</v>
      </c>
      <c r="D266" t="s">
        <v>13</v>
      </c>
      <c r="E266">
        <v>3000</v>
      </c>
      <c r="F266" s="11">
        <v>46025</v>
      </c>
      <c r="G266" t="s">
        <v>66</v>
      </c>
      <c r="H266" t="s">
        <v>36</v>
      </c>
      <c r="I266">
        <v>600</v>
      </c>
      <c r="J266" t="s">
        <v>23</v>
      </c>
      <c r="K266" t="s">
        <v>17</v>
      </c>
      <c r="L266" t="s">
        <v>18</v>
      </c>
      <c r="M266" t="s">
        <v>32</v>
      </c>
      <c r="Q266" s="1"/>
    </row>
    <row r="267" spans="1:17" x14ac:dyDescent="0.3">
      <c r="A267">
        <v>24</v>
      </c>
      <c r="B267">
        <v>12</v>
      </c>
      <c r="C267" s="11">
        <v>46146</v>
      </c>
      <c r="D267" t="s">
        <v>20</v>
      </c>
      <c r="E267">
        <v>900</v>
      </c>
      <c r="F267" s="11">
        <v>46177</v>
      </c>
      <c r="G267" t="s">
        <v>48</v>
      </c>
      <c r="H267" t="s">
        <v>15</v>
      </c>
      <c r="I267">
        <v>300</v>
      </c>
      <c r="J267" t="s">
        <v>16</v>
      </c>
      <c r="K267" t="s">
        <v>17</v>
      </c>
      <c r="L267" t="s">
        <v>18</v>
      </c>
      <c r="M267" t="s">
        <v>19</v>
      </c>
      <c r="Q267" s="1"/>
    </row>
    <row r="268" spans="1:17" x14ac:dyDescent="0.3">
      <c r="A268">
        <v>13</v>
      </c>
      <c r="B268">
        <v>7</v>
      </c>
      <c r="C268" s="11">
        <v>46206</v>
      </c>
      <c r="D268" t="s">
        <v>13</v>
      </c>
      <c r="E268">
        <v>100</v>
      </c>
      <c r="F268" s="11">
        <v>46237</v>
      </c>
      <c r="G268" t="s">
        <v>78</v>
      </c>
      <c r="H268" t="s">
        <v>28</v>
      </c>
      <c r="I268">
        <v>200</v>
      </c>
      <c r="J268" t="s">
        <v>16</v>
      </c>
      <c r="K268" t="s">
        <v>33</v>
      </c>
      <c r="L268" t="s">
        <v>34</v>
      </c>
      <c r="M268" t="s">
        <v>30</v>
      </c>
      <c r="Q268" s="1"/>
    </row>
    <row r="269" spans="1:17" x14ac:dyDescent="0.3">
      <c r="A269">
        <v>6</v>
      </c>
      <c r="B269">
        <v>3</v>
      </c>
      <c r="C269" s="11">
        <v>46267</v>
      </c>
      <c r="D269" t="s">
        <v>20</v>
      </c>
      <c r="E269">
        <v>6000</v>
      </c>
      <c r="F269" s="11">
        <v>46025</v>
      </c>
      <c r="G269" t="s">
        <v>66</v>
      </c>
      <c r="H269" t="s">
        <v>36</v>
      </c>
      <c r="I269">
        <v>500</v>
      </c>
      <c r="J269" t="s">
        <v>23</v>
      </c>
      <c r="K269" t="s">
        <v>17</v>
      </c>
      <c r="L269" t="s">
        <v>18</v>
      </c>
      <c r="M269" t="s">
        <v>32</v>
      </c>
      <c r="Q269" s="1"/>
    </row>
    <row r="270" spans="1:17" x14ac:dyDescent="0.3">
      <c r="A270">
        <v>21</v>
      </c>
      <c r="B270">
        <v>11</v>
      </c>
      <c r="C270" s="11">
        <v>46116</v>
      </c>
      <c r="D270" t="s">
        <v>13</v>
      </c>
      <c r="E270">
        <v>500</v>
      </c>
      <c r="F270" s="11">
        <v>46177</v>
      </c>
      <c r="G270" t="s">
        <v>73</v>
      </c>
      <c r="H270" t="s">
        <v>30</v>
      </c>
      <c r="I270">
        <v>400</v>
      </c>
      <c r="J270" t="s">
        <v>16</v>
      </c>
      <c r="K270" t="s">
        <v>33</v>
      </c>
      <c r="L270" t="s">
        <v>18</v>
      </c>
      <c r="M270" t="s">
        <v>15</v>
      </c>
      <c r="Q270" s="1"/>
    </row>
    <row r="271" spans="1:17" x14ac:dyDescent="0.3">
      <c r="A271">
        <v>32</v>
      </c>
      <c r="B271">
        <v>16</v>
      </c>
      <c r="C271" s="11">
        <v>46238</v>
      </c>
      <c r="D271" t="s">
        <v>20</v>
      </c>
      <c r="E271">
        <v>2000</v>
      </c>
      <c r="F271" s="11">
        <v>46269</v>
      </c>
      <c r="G271" t="s">
        <v>55</v>
      </c>
      <c r="H271" t="s">
        <v>19</v>
      </c>
      <c r="I271">
        <v>700</v>
      </c>
      <c r="J271" t="s">
        <v>16</v>
      </c>
      <c r="K271" t="s">
        <v>17</v>
      </c>
      <c r="L271" t="s">
        <v>18</v>
      </c>
      <c r="M271" t="s">
        <v>41</v>
      </c>
      <c r="Q271" s="1"/>
    </row>
    <row r="272" spans="1:17" x14ac:dyDescent="0.3">
      <c r="A272">
        <v>17</v>
      </c>
      <c r="B272">
        <v>9</v>
      </c>
      <c r="C272" s="11">
        <v>46026</v>
      </c>
      <c r="D272" t="s">
        <v>13</v>
      </c>
      <c r="E272">
        <v>400</v>
      </c>
      <c r="F272" s="11">
        <v>46057</v>
      </c>
      <c r="G272" t="s">
        <v>27</v>
      </c>
      <c r="H272" t="s">
        <v>15</v>
      </c>
      <c r="I272">
        <v>200</v>
      </c>
      <c r="J272" t="s">
        <v>16</v>
      </c>
      <c r="K272" t="s">
        <v>33</v>
      </c>
      <c r="L272" t="s">
        <v>34</v>
      </c>
      <c r="M272" t="s">
        <v>19</v>
      </c>
      <c r="Q272" s="1"/>
    </row>
    <row r="273" spans="1:17" x14ac:dyDescent="0.3">
      <c r="A273">
        <v>25</v>
      </c>
      <c r="B273">
        <v>13</v>
      </c>
      <c r="C273" s="11">
        <v>46177</v>
      </c>
      <c r="D273" t="s">
        <v>20</v>
      </c>
      <c r="E273">
        <v>300</v>
      </c>
      <c r="F273" s="11">
        <v>46207</v>
      </c>
      <c r="G273" t="s">
        <v>39</v>
      </c>
      <c r="H273" t="s">
        <v>19</v>
      </c>
      <c r="I273">
        <v>800</v>
      </c>
      <c r="J273" t="s">
        <v>16</v>
      </c>
      <c r="K273" t="s">
        <v>17</v>
      </c>
      <c r="L273" t="s">
        <v>18</v>
      </c>
      <c r="M273" t="s">
        <v>41</v>
      </c>
      <c r="Q273" s="1"/>
    </row>
    <row r="274" spans="1:17" x14ac:dyDescent="0.3">
      <c r="A274">
        <v>19</v>
      </c>
      <c r="B274">
        <v>9</v>
      </c>
      <c r="C274" s="11">
        <v>46057</v>
      </c>
      <c r="D274" t="s">
        <v>13</v>
      </c>
      <c r="E274">
        <v>200</v>
      </c>
      <c r="F274" s="11">
        <v>46085</v>
      </c>
      <c r="G274" t="s">
        <v>60</v>
      </c>
      <c r="H274" t="s">
        <v>15</v>
      </c>
      <c r="I274">
        <v>300</v>
      </c>
      <c r="J274" t="s">
        <v>16</v>
      </c>
      <c r="K274" t="s">
        <v>33</v>
      </c>
      <c r="L274" t="s">
        <v>18</v>
      </c>
      <c r="M274" t="s">
        <v>19</v>
      </c>
      <c r="Q274" s="1"/>
    </row>
    <row r="275" spans="1:17" x14ac:dyDescent="0.3">
      <c r="A275">
        <v>34</v>
      </c>
      <c r="B275">
        <v>17</v>
      </c>
      <c r="C275" s="11">
        <v>46269</v>
      </c>
      <c r="D275" t="s">
        <v>20</v>
      </c>
      <c r="E275">
        <v>7000</v>
      </c>
      <c r="F275" s="11" t="s">
        <v>81</v>
      </c>
      <c r="G275" t="s">
        <v>35</v>
      </c>
      <c r="H275" t="s">
        <v>19</v>
      </c>
      <c r="I275">
        <v>900</v>
      </c>
      <c r="J275" t="s">
        <v>23</v>
      </c>
      <c r="K275" t="s">
        <v>17</v>
      </c>
      <c r="L275" t="s">
        <v>25</v>
      </c>
      <c r="M275" t="s">
        <v>41</v>
      </c>
      <c r="Q275" s="1"/>
    </row>
    <row r="276" spans="1:17" x14ac:dyDescent="0.3">
      <c r="A276">
        <v>22</v>
      </c>
      <c r="B276">
        <v>11</v>
      </c>
      <c r="C276" s="11">
        <v>46146</v>
      </c>
      <c r="D276" t="s">
        <v>13</v>
      </c>
      <c r="E276">
        <v>1000</v>
      </c>
      <c r="F276" s="11">
        <v>46207</v>
      </c>
      <c r="G276" t="s">
        <v>66</v>
      </c>
      <c r="H276" t="s">
        <v>15</v>
      </c>
      <c r="I276">
        <v>400</v>
      </c>
      <c r="J276" t="s">
        <v>16</v>
      </c>
      <c r="K276" t="s">
        <v>17</v>
      </c>
      <c r="L276" t="s">
        <v>18</v>
      </c>
      <c r="M276" t="s">
        <v>19</v>
      </c>
      <c r="Q276" s="1"/>
    </row>
    <row r="277" spans="1:17" x14ac:dyDescent="0.3">
      <c r="A277">
        <v>16</v>
      </c>
      <c r="B277">
        <v>8</v>
      </c>
      <c r="C277" s="11">
        <v>46237</v>
      </c>
      <c r="D277" t="s">
        <v>20</v>
      </c>
      <c r="E277">
        <v>400</v>
      </c>
      <c r="F277" s="11" t="s">
        <v>64</v>
      </c>
      <c r="G277" t="s">
        <v>31</v>
      </c>
      <c r="H277" t="s">
        <v>30</v>
      </c>
      <c r="I277">
        <v>200</v>
      </c>
      <c r="J277" t="s">
        <v>16</v>
      </c>
      <c r="K277" t="s">
        <v>33</v>
      </c>
      <c r="L277" t="s">
        <v>18</v>
      </c>
      <c r="M277" t="s">
        <v>15</v>
      </c>
      <c r="Q277" s="1"/>
    </row>
    <row r="278" spans="1:17" x14ac:dyDescent="0.3">
      <c r="A278">
        <v>10</v>
      </c>
      <c r="B278">
        <v>5</v>
      </c>
      <c r="C278" s="11">
        <v>46025</v>
      </c>
      <c r="D278" t="s">
        <v>13</v>
      </c>
      <c r="E278">
        <v>5000</v>
      </c>
      <c r="F278" s="11">
        <v>46056</v>
      </c>
      <c r="G278" t="s">
        <v>55</v>
      </c>
      <c r="H278" t="s">
        <v>36</v>
      </c>
      <c r="I278">
        <v>600</v>
      </c>
      <c r="J278" t="s">
        <v>23</v>
      </c>
      <c r="K278" t="s">
        <v>33</v>
      </c>
      <c r="L278" t="s">
        <v>34</v>
      </c>
      <c r="M278" t="s">
        <v>32</v>
      </c>
      <c r="Q278" s="1"/>
    </row>
    <row r="279" spans="1:17" x14ac:dyDescent="0.3">
      <c r="A279">
        <v>27</v>
      </c>
      <c r="B279">
        <v>13</v>
      </c>
      <c r="C279" s="11">
        <v>46177</v>
      </c>
      <c r="D279" t="s">
        <v>13</v>
      </c>
      <c r="E279">
        <v>1000</v>
      </c>
      <c r="F279" s="11">
        <v>46238</v>
      </c>
      <c r="G279" t="s">
        <v>42</v>
      </c>
      <c r="H279" t="s">
        <v>19</v>
      </c>
      <c r="I279">
        <v>800</v>
      </c>
      <c r="J279" t="s">
        <v>16</v>
      </c>
      <c r="K279" t="s">
        <v>33</v>
      </c>
      <c r="L279" t="s">
        <v>18</v>
      </c>
      <c r="M279" t="s">
        <v>41</v>
      </c>
      <c r="Q279" s="1"/>
    </row>
    <row r="280" spans="1:17" x14ac:dyDescent="0.3">
      <c r="A280">
        <v>7</v>
      </c>
      <c r="B280">
        <v>3</v>
      </c>
      <c r="C280" s="11">
        <v>46267</v>
      </c>
      <c r="D280" t="s">
        <v>20</v>
      </c>
      <c r="E280">
        <v>4000</v>
      </c>
      <c r="F280" s="11">
        <v>46025</v>
      </c>
      <c r="G280" t="s">
        <v>57</v>
      </c>
      <c r="H280" t="s">
        <v>36</v>
      </c>
      <c r="I280">
        <v>500</v>
      </c>
      <c r="J280" t="s">
        <v>23</v>
      </c>
      <c r="K280" t="s">
        <v>17</v>
      </c>
      <c r="L280" t="s">
        <v>18</v>
      </c>
      <c r="M280" t="s">
        <v>32</v>
      </c>
      <c r="Q280" s="1"/>
    </row>
    <row r="281" spans="1:17" x14ac:dyDescent="0.3">
      <c r="A281">
        <v>23</v>
      </c>
      <c r="B281">
        <v>11</v>
      </c>
      <c r="C281" s="11">
        <v>46116</v>
      </c>
      <c r="D281" t="s">
        <v>13</v>
      </c>
      <c r="E281">
        <v>800</v>
      </c>
      <c r="F281" s="11">
        <v>46177</v>
      </c>
      <c r="G281" t="s">
        <v>39</v>
      </c>
      <c r="H281" t="s">
        <v>30</v>
      </c>
      <c r="I281">
        <v>400</v>
      </c>
      <c r="J281" t="s">
        <v>16</v>
      </c>
      <c r="K281" t="s">
        <v>33</v>
      </c>
      <c r="L281" t="s">
        <v>18</v>
      </c>
      <c r="M281" t="s">
        <v>15</v>
      </c>
      <c r="Q281" s="1"/>
    </row>
    <row r="282" spans="1:17" x14ac:dyDescent="0.3">
      <c r="A282">
        <v>12</v>
      </c>
      <c r="B282">
        <v>6</v>
      </c>
      <c r="C282" s="11">
        <v>46084</v>
      </c>
      <c r="D282" t="s">
        <v>20</v>
      </c>
      <c r="E282">
        <v>2000</v>
      </c>
      <c r="F282" s="11">
        <v>46145</v>
      </c>
      <c r="G282" t="s">
        <v>66</v>
      </c>
      <c r="H282" t="s">
        <v>63</v>
      </c>
      <c r="I282">
        <v>500</v>
      </c>
      <c r="J282" t="s">
        <v>23</v>
      </c>
      <c r="K282" t="s">
        <v>17</v>
      </c>
      <c r="L282" t="s">
        <v>25</v>
      </c>
      <c r="M282" t="s">
        <v>28</v>
      </c>
      <c r="Q282" s="1"/>
    </row>
    <row r="283" spans="1:17" x14ac:dyDescent="0.3">
      <c r="A283">
        <v>28</v>
      </c>
      <c r="B283">
        <v>14</v>
      </c>
      <c r="C283" s="11">
        <v>46207</v>
      </c>
      <c r="D283" t="s">
        <v>13</v>
      </c>
      <c r="E283">
        <v>100</v>
      </c>
      <c r="F283" s="11">
        <v>46238</v>
      </c>
      <c r="G283" t="s">
        <v>60</v>
      </c>
      <c r="H283" t="s">
        <v>19</v>
      </c>
      <c r="I283">
        <v>800</v>
      </c>
      <c r="J283" t="s">
        <v>16</v>
      </c>
      <c r="K283" t="s">
        <v>17</v>
      </c>
      <c r="L283" t="s">
        <v>25</v>
      </c>
      <c r="M283" t="s">
        <v>41</v>
      </c>
      <c r="Q283" s="1"/>
    </row>
    <row r="284" spans="1:17" x14ac:dyDescent="0.3">
      <c r="A284">
        <v>16</v>
      </c>
      <c r="B284">
        <v>8</v>
      </c>
      <c r="C284" s="11">
        <v>46237</v>
      </c>
      <c r="D284" t="s">
        <v>20</v>
      </c>
      <c r="E284">
        <v>900</v>
      </c>
      <c r="F284" s="11" t="s">
        <v>64</v>
      </c>
      <c r="G284" t="s">
        <v>31</v>
      </c>
      <c r="H284" t="s">
        <v>30</v>
      </c>
      <c r="I284">
        <v>200</v>
      </c>
      <c r="J284" t="s">
        <v>16</v>
      </c>
      <c r="K284" t="s">
        <v>33</v>
      </c>
      <c r="L284" t="s">
        <v>18</v>
      </c>
      <c r="M284" t="s">
        <v>15</v>
      </c>
      <c r="Q284" s="1"/>
    </row>
    <row r="285" spans="1:17" x14ac:dyDescent="0.3">
      <c r="A285">
        <v>8</v>
      </c>
      <c r="B285">
        <v>4</v>
      </c>
      <c r="C285" s="11">
        <v>46056</v>
      </c>
      <c r="D285" t="s">
        <v>13</v>
      </c>
      <c r="E285">
        <v>3000</v>
      </c>
      <c r="F285" s="11">
        <v>46115</v>
      </c>
      <c r="G285" t="s">
        <v>77</v>
      </c>
      <c r="H285" t="s">
        <v>26</v>
      </c>
      <c r="I285">
        <v>400</v>
      </c>
      <c r="J285" t="s">
        <v>16</v>
      </c>
      <c r="K285" t="s">
        <v>17</v>
      </c>
      <c r="L285" t="s">
        <v>18</v>
      </c>
      <c r="M285" t="s">
        <v>43</v>
      </c>
      <c r="Q285" s="1"/>
    </row>
    <row r="286" spans="1:17" x14ac:dyDescent="0.3">
      <c r="A286">
        <v>31</v>
      </c>
      <c r="B286">
        <v>15</v>
      </c>
      <c r="C286" s="11">
        <v>46207</v>
      </c>
      <c r="D286" t="s">
        <v>20</v>
      </c>
      <c r="E286">
        <v>600</v>
      </c>
      <c r="F286" s="11">
        <v>46238</v>
      </c>
      <c r="G286" t="s">
        <v>66</v>
      </c>
      <c r="H286" t="s">
        <v>19</v>
      </c>
      <c r="I286">
        <v>700</v>
      </c>
      <c r="J286" t="s">
        <v>16</v>
      </c>
      <c r="K286" t="s">
        <v>17</v>
      </c>
      <c r="L286" t="s">
        <v>18</v>
      </c>
      <c r="M286" t="s">
        <v>41</v>
      </c>
      <c r="Q286" s="1"/>
    </row>
    <row r="287" spans="1:17" x14ac:dyDescent="0.3">
      <c r="A287">
        <v>20</v>
      </c>
      <c r="B287">
        <v>10</v>
      </c>
      <c r="C287" s="11">
        <v>46085</v>
      </c>
      <c r="D287" t="s">
        <v>13</v>
      </c>
      <c r="E287">
        <v>1000</v>
      </c>
      <c r="F287" s="11">
        <v>46116</v>
      </c>
      <c r="G287" t="s">
        <v>21</v>
      </c>
      <c r="H287" t="s">
        <v>15</v>
      </c>
      <c r="I287">
        <v>300</v>
      </c>
      <c r="J287" t="s">
        <v>16</v>
      </c>
      <c r="K287" t="s">
        <v>33</v>
      </c>
      <c r="L287" t="s">
        <v>18</v>
      </c>
      <c r="M287" t="s">
        <v>19</v>
      </c>
      <c r="Q287" s="1"/>
    </row>
    <row r="288" spans="1:17" x14ac:dyDescent="0.3">
      <c r="A288">
        <v>11</v>
      </c>
      <c r="B288">
        <v>5</v>
      </c>
      <c r="C288" s="11">
        <v>46056</v>
      </c>
      <c r="D288" t="s">
        <v>20</v>
      </c>
      <c r="E288">
        <v>4000</v>
      </c>
      <c r="F288" s="11">
        <v>46115</v>
      </c>
      <c r="G288" t="s">
        <v>69</v>
      </c>
      <c r="H288" t="s">
        <v>32</v>
      </c>
      <c r="I288">
        <v>500</v>
      </c>
      <c r="J288" t="s">
        <v>23</v>
      </c>
      <c r="K288" t="s">
        <v>17</v>
      </c>
      <c r="L288" t="s">
        <v>18</v>
      </c>
      <c r="M288" t="s">
        <v>26</v>
      </c>
      <c r="Q288" s="1"/>
    </row>
    <row r="289" spans="1:17" x14ac:dyDescent="0.3">
      <c r="A289">
        <v>28</v>
      </c>
      <c r="B289">
        <v>14</v>
      </c>
      <c r="C289" s="11">
        <v>46207</v>
      </c>
      <c r="D289" t="s">
        <v>13</v>
      </c>
      <c r="E289">
        <v>200</v>
      </c>
      <c r="F289" s="11">
        <v>46238</v>
      </c>
      <c r="G289" t="s">
        <v>60</v>
      </c>
      <c r="H289" t="s">
        <v>19</v>
      </c>
      <c r="I289">
        <v>800</v>
      </c>
      <c r="J289" t="s">
        <v>16</v>
      </c>
      <c r="K289" t="s">
        <v>17</v>
      </c>
      <c r="L289" t="s">
        <v>25</v>
      </c>
      <c r="M289" t="s">
        <v>41</v>
      </c>
      <c r="Q289" s="1"/>
    </row>
    <row r="290" spans="1:17" x14ac:dyDescent="0.3">
      <c r="A290">
        <v>15</v>
      </c>
      <c r="B290">
        <v>8</v>
      </c>
      <c r="C290" s="11">
        <v>46268</v>
      </c>
      <c r="D290" t="s">
        <v>20</v>
      </c>
      <c r="E290">
        <v>500</v>
      </c>
      <c r="F290" s="11">
        <v>46026</v>
      </c>
      <c r="G290" t="s">
        <v>39</v>
      </c>
      <c r="H290" t="s">
        <v>30</v>
      </c>
      <c r="I290">
        <v>200</v>
      </c>
      <c r="J290" t="s">
        <v>16</v>
      </c>
      <c r="K290" t="s">
        <v>33</v>
      </c>
      <c r="L290" t="s">
        <v>18</v>
      </c>
      <c r="M290" t="s">
        <v>15</v>
      </c>
      <c r="Q290" s="1"/>
    </row>
    <row r="291" spans="1:17" x14ac:dyDescent="0.3">
      <c r="A291">
        <v>9</v>
      </c>
      <c r="B291">
        <v>4</v>
      </c>
      <c r="C291" s="11">
        <v>46267</v>
      </c>
      <c r="D291" t="s">
        <v>13</v>
      </c>
      <c r="E291">
        <v>3000</v>
      </c>
      <c r="F291" s="11">
        <v>46025</v>
      </c>
      <c r="G291" t="s">
        <v>66</v>
      </c>
      <c r="H291" t="s">
        <v>36</v>
      </c>
      <c r="I291">
        <v>600</v>
      </c>
      <c r="J291" t="s">
        <v>23</v>
      </c>
      <c r="K291" t="s">
        <v>17</v>
      </c>
      <c r="L291" t="s">
        <v>18</v>
      </c>
      <c r="M291" t="s">
        <v>32</v>
      </c>
      <c r="Q291" s="1"/>
    </row>
    <row r="292" spans="1:17" x14ac:dyDescent="0.3">
      <c r="A292">
        <v>24</v>
      </c>
      <c r="B292">
        <v>12</v>
      </c>
      <c r="C292" s="11">
        <v>46146</v>
      </c>
      <c r="D292" t="s">
        <v>20</v>
      </c>
      <c r="E292">
        <v>900</v>
      </c>
      <c r="F292" s="11">
        <v>46177</v>
      </c>
      <c r="G292" t="s">
        <v>48</v>
      </c>
      <c r="H292" t="s">
        <v>15</v>
      </c>
      <c r="I292">
        <v>300</v>
      </c>
      <c r="J292" t="s">
        <v>16</v>
      </c>
      <c r="K292" t="s">
        <v>17</v>
      </c>
      <c r="L292" t="s">
        <v>18</v>
      </c>
      <c r="M292" t="s">
        <v>19</v>
      </c>
      <c r="Q292" s="1"/>
    </row>
    <row r="293" spans="1:17" x14ac:dyDescent="0.3">
      <c r="A293">
        <v>13</v>
      </c>
      <c r="B293">
        <v>7</v>
      </c>
      <c r="C293" s="11">
        <v>46206</v>
      </c>
      <c r="D293" t="s">
        <v>13</v>
      </c>
      <c r="E293">
        <v>100</v>
      </c>
      <c r="F293" s="11">
        <v>46237</v>
      </c>
      <c r="G293" t="s">
        <v>78</v>
      </c>
      <c r="H293" t="s">
        <v>28</v>
      </c>
      <c r="I293">
        <v>200</v>
      </c>
      <c r="J293" t="s">
        <v>16</v>
      </c>
      <c r="K293" t="s">
        <v>33</v>
      </c>
      <c r="L293" t="s">
        <v>34</v>
      </c>
      <c r="M293" t="s">
        <v>30</v>
      </c>
      <c r="Q293" s="1"/>
    </row>
    <row r="294" spans="1:17" x14ac:dyDescent="0.3">
      <c r="A294">
        <v>6</v>
      </c>
      <c r="B294">
        <v>3</v>
      </c>
      <c r="C294" s="11">
        <v>46267</v>
      </c>
      <c r="D294" t="s">
        <v>20</v>
      </c>
      <c r="E294">
        <v>6000</v>
      </c>
      <c r="F294" s="11">
        <v>46025</v>
      </c>
      <c r="G294" t="s">
        <v>66</v>
      </c>
      <c r="H294" t="s">
        <v>36</v>
      </c>
      <c r="I294">
        <v>500</v>
      </c>
      <c r="J294" t="s">
        <v>23</v>
      </c>
      <c r="K294" t="s">
        <v>17</v>
      </c>
      <c r="L294" t="s">
        <v>18</v>
      </c>
      <c r="M294" t="s">
        <v>32</v>
      </c>
      <c r="Q294" s="1"/>
    </row>
    <row r="295" spans="1:17" x14ac:dyDescent="0.3">
      <c r="A295">
        <v>21</v>
      </c>
      <c r="B295">
        <v>11</v>
      </c>
      <c r="C295" s="11">
        <v>46116</v>
      </c>
      <c r="D295" t="s">
        <v>13</v>
      </c>
      <c r="E295">
        <v>500</v>
      </c>
      <c r="F295" s="11">
        <v>46177</v>
      </c>
      <c r="G295" t="s">
        <v>73</v>
      </c>
      <c r="H295" t="s">
        <v>30</v>
      </c>
      <c r="I295">
        <v>400</v>
      </c>
      <c r="J295" t="s">
        <v>16</v>
      </c>
      <c r="K295" t="s">
        <v>33</v>
      </c>
      <c r="L295" t="s">
        <v>18</v>
      </c>
      <c r="M295" t="s">
        <v>15</v>
      </c>
      <c r="Q295" s="1"/>
    </row>
    <row r="296" spans="1:17" x14ac:dyDescent="0.3">
      <c r="A296">
        <v>32</v>
      </c>
      <c r="B296">
        <v>16</v>
      </c>
      <c r="C296" s="11">
        <v>46238</v>
      </c>
      <c r="D296" t="s">
        <v>20</v>
      </c>
      <c r="E296">
        <v>2000</v>
      </c>
      <c r="F296" s="11">
        <v>46269</v>
      </c>
      <c r="G296" t="s">
        <v>55</v>
      </c>
      <c r="H296" t="s">
        <v>19</v>
      </c>
      <c r="I296">
        <v>700</v>
      </c>
      <c r="J296" t="s">
        <v>16</v>
      </c>
      <c r="K296" t="s">
        <v>17</v>
      </c>
      <c r="L296" t="s">
        <v>18</v>
      </c>
      <c r="M296" t="s">
        <v>41</v>
      </c>
      <c r="Q296" s="1"/>
    </row>
    <row r="297" spans="1:17" x14ac:dyDescent="0.3">
      <c r="A297">
        <v>17</v>
      </c>
      <c r="B297">
        <v>9</v>
      </c>
      <c r="C297" s="11">
        <v>46026</v>
      </c>
      <c r="D297" t="s">
        <v>13</v>
      </c>
      <c r="E297">
        <v>400</v>
      </c>
      <c r="F297" s="11">
        <v>46057</v>
      </c>
      <c r="G297" t="s">
        <v>27</v>
      </c>
      <c r="H297" t="s">
        <v>15</v>
      </c>
      <c r="I297">
        <v>200</v>
      </c>
      <c r="J297" t="s">
        <v>16</v>
      </c>
      <c r="K297" t="s">
        <v>33</v>
      </c>
      <c r="L297" t="s">
        <v>34</v>
      </c>
      <c r="M297" t="s">
        <v>19</v>
      </c>
      <c r="Q297" s="1"/>
    </row>
    <row r="298" spans="1:17" x14ac:dyDescent="0.3">
      <c r="A298">
        <v>25</v>
      </c>
      <c r="B298">
        <v>13</v>
      </c>
      <c r="C298" s="11">
        <v>46177</v>
      </c>
      <c r="D298" t="s">
        <v>20</v>
      </c>
      <c r="E298">
        <v>300</v>
      </c>
      <c r="F298" s="11">
        <v>46207</v>
      </c>
      <c r="G298" t="s">
        <v>39</v>
      </c>
      <c r="H298" t="s">
        <v>19</v>
      </c>
      <c r="I298">
        <v>800</v>
      </c>
      <c r="J298" t="s">
        <v>16</v>
      </c>
      <c r="K298" t="s">
        <v>17</v>
      </c>
      <c r="L298" t="s">
        <v>18</v>
      </c>
      <c r="M298" t="s">
        <v>41</v>
      </c>
      <c r="Q298" s="1"/>
    </row>
    <row r="299" spans="1:17" x14ac:dyDescent="0.3">
      <c r="A299">
        <v>19</v>
      </c>
      <c r="B299">
        <v>9</v>
      </c>
      <c r="C299" s="11">
        <v>46057</v>
      </c>
      <c r="D299" t="s">
        <v>13</v>
      </c>
      <c r="E299">
        <v>200</v>
      </c>
      <c r="F299" s="11">
        <v>46085</v>
      </c>
      <c r="G299" t="s">
        <v>60</v>
      </c>
      <c r="H299" t="s">
        <v>15</v>
      </c>
      <c r="I299">
        <v>300</v>
      </c>
      <c r="J299" t="s">
        <v>16</v>
      </c>
      <c r="K299" t="s">
        <v>33</v>
      </c>
      <c r="L299" t="s">
        <v>18</v>
      </c>
      <c r="M299" t="s">
        <v>19</v>
      </c>
      <c r="Q299" s="1"/>
    </row>
    <row r="300" spans="1:17" x14ac:dyDescent="0.3">
      <c r="A300">
        <v>34</v>
      </c>
      <c r="B300">
        <v>17</v>
      </c>
      <c r="C300" s="11">
        <v>46269</v>
      </c>
      <c r="D300" t="s">
        <v>20</v>
      </c>
      <c r="E300">
        <v>7000</v>
      </c>
      <c r="F300" s="11" t="s">
        <v>81</v>
      </c>
      <c r="G300" t="s">
        <v>35</v>
      </c>
      <c r="H300" t="s">
        <v>19</v>
      </c>
      <c r="I300">
        <v>900</v>
      </c>
      <c r="J300" t="s">
        <v>23</v>
      </c>
      <c r="K300" t="s">
        <v>17</v>
      </c>
      <c r="L300" t="s">
        <v>25</v>
      </c>
      <c r="M300" t="s">
        <v>41</v>
      </c>
      <c r="Q300" s="1"/>
    </row>
    <row r="301" spans="1:17" x14ac:dyDescent="0.3">
      <c r="A301">
        <v>22</v>
      </c>
      <c r="B301">
        <v>11</v>
      </c>
      <c r="C301" s="11">
        <v>46146</v>
      </c>
      <c r="D301" t="s">
        <v>13</v>
      </c>
      <c r="E301">
        <v>1000</v>
      </c>
      <c r="F301" s="11">
        <v>46207</v>
      </c>
      <c r="G301" t="s">
        <v>66</v>
      </c>
      <c r="H301" t="s">
        <v>15</v>
      </c>
      <c r="I301">
        <v>400</v>
      </c>
      <c r="J301" t="s">
        <v>16</v>
      </c>
      <c r="K301" t="s">
        <v>17</v>
      </c>
      <c r="L301" t="s">
        <v>18</v>
      </c>
      <c r="M301" t="s">
        <v>19</v>
      </c>
      <c r="Q301" s="1"/>
    </row>
    <row r="302" spans="1:17" x14ac:dyDescent="0.3">
      <c r="A302">
        <v>16</v>
      </c>
      <c r="B302">
        <v>8</v>
      </c>
      <c r="C302" s="11">
        <v>46237</v>
      </c>
      <c r="D302" t="s">
        <v>20</v>
      </c>
      <c r="E302">
        <v>400</v>
      </c>
      <c r="F302" s="11" t="s">
        <v>64</v>
      </c>
      <c r="G302" t="s">
        <v>31</v>
      </c>
      <c r="H302" t="s">
        <v>30</v>
      </c>
      <c r="I302">
        <v>200</v>
      </c>
      <c r="J302" t="s">
        <v>16</v>
      </c>
      <c r="K302" t="s">
        <v>33</v>
      </c>
      <c r="L302" t="s">
        <v>18</v>
      </c>
      <c r="M302" t="s">
        <v>15</v>
      </c>
      <c r="Q302" s="1"/>
    </row>
    <row r="303" spans="1:17" x14ac:dyDescent="0.3">
      <c r="A303">
        <v>10</v>
      </c>
      <c r="B303">
        <v>5</v>
      </c>
      <c r="C303" s="11">
        <v>46025</v>
      </c>
      <c r="D303" t="s">
        <v>13</v>
      </c>
      <c r="E303">
        <v>5000</v>
      </c>
      <c r="F303" s="11">
        <v>46056</v>
      </c>
      <c r="G303" t="s">
        <v>55</v>
      </c>
      <c r="H303" t="s">
        <v>36</v>
      </c>
      <c r="I303">
        <v>600</v>
      </c>
      <c r="J303" t="s">
        <v>23</v>
      </c>
      <c r="K303" t="s">
        <v>33</v>
      </c>
      <c r="L303" t="s">
        <v>34</v>
      </c>
      <c r="M303" t="s">
        <v>32</v>
      </c>
      <c r="Q303" s="1"/>
    </row>
    <row r="304" spans="1:17" x14ac:dyDescent="0.3">
      <c r="A304">
        <v>27</v>
      </c>
      <c r="B304">
        <v>13</v>
      </c>
      <c r="C304" s="11">
        <v>46177</v>
      </c>
      <c r="D304" t="s">
        <v>13</v>
      </c>
      <c r="E304">
        <v>1000</v>
      </c>
      <c r="F304" s="11">
        <v>46238</v>
      </c>
      <c r="G304" t="s">
        <v>42</v>
      </c>
      <c r="H304" t="s">
        <v>19</v>
      </c>
      <c r="I304">
        <v>800</v>
      </c>
      <c r="J304" t="s">
        <v>16</v>
      </c>
      <c r="K304" t="s">
        <v>33</v>
      </c>
      <c r="L304" t="s">
        <v>18</v>
      </c>
      <c r="M304" t="s">
        <v>41</v>
      </c>
      <c r="Q304" s="1"/>
    </row>
    <row r="305" spans="1:17" x14ac:dyDescent="0.3">
      <c r="A305">
        <v>7</v>
      </c>
      <c r="B305">
        <v>3</v>
      </c>
      <c r="C305" s="11">
        <v>46267</v>
      </c>
      <c r="D305" t="s">
        <v>20</v>
      </c>
      <c r="E305">
        <v>4000</v>
      </c>
      <c r="F305" s="11">
        <v>46025</v>
      </c>
      <c r="G305" t="s">
        <v>57</v>
      </c>
      <c r="H305" t="s">
        <v>36</v>
      </c>
      <c r="I305">
        <v>500</v>
      </c>
      <c r="J305" t="s">
        <v>23</v>
      </c>
      <c r="K305" t="s">
        <v>17</v>
      </c>
      <c r="L305" t="s">
        <v>18</v>
      </c>
      <c r="M305" t="s">
        <v>32</v>
      </c>
      <c r="Q305" s="1"/>
    </row>
    <row r="306" spans="1:17" x14ac:dyDescent="0.3">
      <c r="A306">
        <v>23</v>
      </c>
      <c r="B306">
        <v>11</v>
      </c>
      <c r="C306" s="11">
        <v>46116</v>
      </c>
      <c r="D306" t="s">
        <v>13</v>
      </c>
      <c r="E306">
        <v>800</v>
      </c>
      <c r="F306" s="11">
        <v>46177</v>
      </c>
      <c r="G306" t="s">
        <v>39</v>
      </c>
      <c r="H306" t="s">
        <v>30</v>
      </c>
      <c r="I306">
        <v>400</v>
      </c>
      <c r="J306" t="s">
        <v>16</v>
      </c>
      <c r="K306" t="s">
        <v>33</v>
      </c>
      <c r="L306" t="s">
        <v>18</v>
      </c>
      <c r="M306" t="s">
        <v>15</v>
      </c>
      <c r="Q306" s="1"/>
    </row>
    <row r="307" spans="1:17" x14ac:dyDescent="0.3">
      <c r="A307">
        <v>12</v>
      </c>
      <c r="B307">
        <v>6</v>
      </c>
      <c r="C307" s="11">
        <v>46084</v>
      </c>
      <c r="D307" t="s">
        <v>20</v>
      </c>
      <c r="E307">
        <v>2000</v>
      </c>
      <c r="F307" s="11">
        <v>46145</v>
      </c>
      <c r="G307" t="s">
        <v>66</v>
      </c>
      <c r="H307" t="s">
        <v>63</v>
      </c>
      <c r="I307">
        <v>500</v>
      </c>
      <c r="J307" t="s">
        <v>23</v>
      </c>
      <c r="K307" t="s">
        <v>17</v>
      </c>
      <c r="L307" t="s">
        <v>25</v>
      </c>
      <c r="M307" t="s">
        <v>28</v>
      </c>
      <c r="Q307" s="1"/>
    </row>
    <row r="308" spans="1:17" x14ac:dyDescent="0.3">
      <c r="A308">
        <v>28</v>
      </c>
      <c r="B308">
        <v>14</v>
      </c>
      <c r="C308" s="11">
        <v>46207</v>
      </c>
      <c r="D308" t="s">
        <v>13</v>
      </c>
      <c r="E308">
        <v>100</v>
      </c>
      <c r="F308" s="11">
        <v>46238</v>
      </c>
      <c r="G308" t="s">
        <v>60</v>
      </c>
      <c r="H308" t="s">
        <v>19</v>
      </c>
      <c r="I308">
        <v>800</v>
      </c>
      <c r="J308" t="s">
        <v>16</v>
      </c>
      <c r="K308" t="s">
        <v>17</v>
      </c>
      <c r="L308" t="s">
        <v>25</v>
      </c>
      <c r="M308" t="s">
        <v>41</v>
      </c>
      <c r="Q308" s="1"/>
    </row>
    <row r="309" spans="1:17" x14ac:dyDescent="0.3">
      <c r="A309">
        <v>16</v>
      </c>
      <c r="B309">
        <v>8</v>
      </c>
      <c r="C309" s="11">
        <v>46237</v>
      </c>
      <c r="D309" t="s">
        <v>20</v>
      </c>
      <c r="E309">
        <v>900</v>
      </c>
      <c r="F309" s="11" t="s">
        <v>64</v>
      </c>
      <c r="G309" t="s">
        <v>31</v>
      </c>
      <c r="H309" t="s">
        <v>30</v>
      </c>
      <c r="I309">
        <v>200</v>
      </c>
      <c r="J309" t="s">
        <v>16</v>
      </c>
      <c r="K309" t="s">
        <v>33</v>
      </c>
      <c r="L309" t="s">
        <v>18</v>
      </c>
      <c r="M309" t="s">
        <v>15</v>
      </c>
      <c r="Q309" s="1"/>
    </row>
    <row r="310" spans="1:17" x14ac:dyDescent="0.3">
      <c r="A310">
        <v>8</v>
      </c>
      <c r="B310">
        <v>4</v>
      </c>
      <c r="C310" s="11">
        <v>46056</v>
      </c>
      <c r="D310" t="s">
        <v>13</v>
      </c>
      <c r="E310">
        <v>3000</v>
      </c>
      <c r="F310" s="11">
        <v>46115</v>
      </c>
      <c r="G310" t="s">
        <v>77</v>
      </c>
      <c r="H310" t="s">
        <v>26</v>
      </c>
      <c r="I310">
        <v>400</v>
      </c>
      <c r="J310" t="s">
        <v>16</v>
      </c>
      <c r="K310" t="s">
        <v>17</v>
      </c>
      <c r="L310" t="s">
        <v>18</v>
      </c>
      <c r="M310" t="s">
        <v>43</v>
      </c>
      <c r="Q310" s="1"/>
    </row>
    <row r="311" spans="1:17" x14ac:dyDescent="0.3">
      <c r="A311">
        <v>31</v>
      </c>
      <c r="B311">
        <v>15</v>
      </c>
      <c r="C311" s="11">
        <v>46207</v>
      </c>
      <c r="D311" t="s">
        <v>20</v>
      </c>
      <c r="E311">
        <v>600</v>
      </c>
      <c r="F311" s="11">
        <v>46238</v>
      </c>
      <c r="G311" t="s">
        <v>66</v>
      </c>
      <c r="H311" t="s">
        <v>19</v>
      </c>
      <c r="I311">
        <v>700</v>
      </c>
      <c r="J311" t="s">
        <v>16</v>
      </c>
      <c r="K311" t="s">
        <v>17</v>
      </c>
      <c r="L311" t="s">
        <v>18</v>
      </c>
      <c r="M311" t="s">
        <v>41</v>
      </c>
      <c r="Q311" s="1"/>
    </row>
    <row r="312" spans="1:17" x14ac:dyDescent="0.3">
      <c r="A312">
        <v>20</v>
      </c>
      <c r="B312">
        <v>10</v>
      </c>
      <c r="C312" s="11">
        <v>46085</v>
      </c>
      <c r="D312" t="s">
        <v>13</v>
      </c>
      <c r="E312">
        <v>1000</v>
      </c>
      <c r="F312" s="11">
        <v>46116</v>
      </c>
      <c r="G312" t="s">
        <v>21</v>
      </c>
      <c r="H312" t="s">
        <v>15</v>
      </c>
      <c r="I312">
        <v>300</v>
      </c>
      <c r="J312" t="s">
        <v>16</v>
      </c>
      <c r="K312" t="s">
        <v>33</v>
      </c>
      <c r="L312" t="s">
        <v>18</v>
      </c>
      <c r="M312" t="s">
        <v>19</v>
      </c>
      <c r="Q312" s="1"/>
    </row>
    <row r="313" spans="1:17" x14ac:dyDescent="0.3">
      <c r="A313">
        <v>11</v>
      </c>
      <c r="B313">
        <v>5</v>
      </c>
      <c r="C313" s="11">
        <v>46056</v>
      </c>
      <c r="D313" t="s">
        <v>20</v>
      </c>
      <c r="E313">
        <v>4000</v>
      </c>
      <c r="F313" s="11">
        <v>46115</v>
      </c>
      <c r="G313" t="s">
        <v>69</v>
      </c>
      <c r="H313" t="s">
        <v>32</v>
      </c>
      <c r="I313">
        <v>500</v>
      </c>
      <c r="J313" t="s">
        <v>23</v>
      </c>
      <c r="K313" t="s">
        <v>17</v>
      </c>
      <c r="L313" t="s">
        <v>18</v>
      </c>
      <c r="M313" t="s">
        <v>26</v>
      </c>
      <c r="Q313" s="1"/>
    </row>
    <row r="314" spans="1:17" x14ac:dyDescent="0.3">
      <c r="A314">
        <v>28</v>
      </c>
      <c r="B314">
        <v>14</v>
      </c>
      <c r="C314" s="11">
        <v>46207</v>
      </c>
      <c r="D314" t="s">
        <v>13</v>
      </c>
      <c r="E314">
        <v>200</v>
      </c>
      <c r="F314" s="11">
        <v>46238</v>
      </c>
      <c r="G314" t="s">
        <v>60</v>
      </c>
      <c r="H314" t="s">
        <v>19</v>
      </c>
      <c r="I314">
        <v>800</v>
      </c>
      <c r="J314" t="s">
        <v>16</v>
      </c>
      <c r="K314" t="s">
        <v>17</v>
      </c>
      <c r="L314" t="s">
        <v>25</v>
      </c>
      <c r="M314" t="s">
        <v>41</v>
      </c>
      <c r="Q314" s="1"/>
    </row>
    <row r="315" spans="1:17" x14ac:dyDescent="0.3">
      <c r="A315">
        <v>15</v>
      </c>
      <c r="B315">
        <v>8</v>
      </c>
      <c r="C315" s="11">
        <v>46268</v>
      </c>
      <c r="D315" t="s">
        <v>20</v>
      </c>
      <c r="E315">
        <v>500</v>
      </c>
      <c r="F315" s="11">
        <v>46026</v>
      </c>
      <c r="G315" t="s">
        <v>39</v>
      </c>
      <c r="H315" t="s">
        <v>30</v>
      </c>
      <c r="I315">
        <v>200</v>
      </c>
      <c r="J315" t="s">
        <v>16</v>
      </c>
      <c r="K315" t="s">
        <v>33</v>
      </c>
      <c r="L315" t="s">
        <v>18</v>
      </c>
      <c r="M315" t="s">
        <v>15</v>
      </c>
      <c r="Q315" s="1"/>
    </row>
    <row r="316" spans="1:17" x14ac:dyDescent="0.3">
      <c r="A316">
        <v>9</v>
      </c>
      <c r="B316">
        <v>4</v>
      </c>
      <c r="C316" s="11">
        <v>46267</v>
      </c>
      <c r="D316" t="s">
        <v>13</v>
      </c>
      <c r="E316">
        <v>3000</v>
      </c>
      <c r="F316" s="11">
        <v>46025</v>
      </c>
      <c r="G316" t="s">
        <v>66</v>
      </c>
      <c r="H316" t="s">
        <v>36</v>
      </c>
      <c r="I316">
        <v>600</v>
      </c>
      <c r="J316" t="s">
        <v>23</v>
      </c>
      <c r="K316" t="s">
        <v>17</v>
      </c>
      <c r="L316" t="s">
        <v>18</v>
      </c>
      <c r="M316" t="s">
        <v>32</v>
      </c>
      <c r="Q316" s="1"/>
    </row>
    <row r="317" spans="1:17" x14ac:dyDescent="0.3">
      <c r="A317">
        <v>24</v>
      </c>
      <c r="B317">
        <v>12</v>
      </c>
      <c r="C317" s="11">
        <v>46146</v>
      </c>
      <c r="D317" t="s">
        <v>20</v>
      </c>
      <c r="E317">
        <v>900</v>
      </c>
      <c r="F317" s="11">
        <v>46177</v>
      </c>
      <c r="G317" t="s">
        <v>48</v>
      </c>
      <c r="H317" t="s">
        <v>15</v>
      </c>
      <c r="I317">
        <v>300</v>
      </c>
      <c r="J317" t="s">
        <v>16</v>
      </c>
      <c r="K317" t="s">
        <v>17</v>
      </c>
      <c r="L317" t="s">
        <v>18</v>
      </c>
      <c r="M317" t="s">
        <v>19</v>
      </c>
      <c r="Q317" s="1"/>
    </row>
    <row r="318" spans="1:17" x14ac:dyDescent="0.3">
      <c r="A318">
        <v>13</v>
      </c>
      <c r="B318">
        <v>7</v>
      </c>
      <c r="C318" s="11">
        <v>46206</v>
      </c>
      <c r="D318" t="s">
        <v>13</v>
      </c>
      <c r="E318">
        <v>100</v>
      </c>
      <c r="F318" s="11">
        <v>46237</v>
      </c>
      <c r="G318" t="s">
        <v>78</v>
      </c>
      <c r="H318" t="s">
        <v>28</v>
      </c>
      <c r="I318">
        <v>200</v>
      </c>
      <c r="J318" t="s">
        <v>16</v>
      </c>
      <c r="K318" t="s">
        <v>33</v>
      </c>
      <c r="L318" t="s">
        <v>34</v>
      </c>
      <c r="M318" t="s">
        <v>30</v>
      </c>
      <c r="Q318" s="1"/>
    </row>
    <row r="319" spans="1:17" x14ac:dyDescent="0.3">
      <c r="A319">
        <v>6</v>
      </c>
      <c r="B319">
        <v>3</v>
      </c>
      <c r="C319" s="11">
        <v>46267</v>
      </c>
      <c r="D319" t="s">
        <v>20</v>
      </c>
      <c r="E319">
        <v>6000</v>
      </c>
      <c r="F319" s="11">
        <v>46025</v>
      </c>
      <c r="G319" t="s">
        <v>66</v>
      </c>
      <c r="H319" t="s">
        <v>36</v>
      </c>
      <c r="I319">
        <v>500</v>
      </c>
      <c r="J319" t="s">
        <v>23</v>
      </c>
      <c r="K319" t="s">
        <v>17</v>
      </c>
      <c r="L319" t="s">
        <v>18</v>
      </c>
      <c r="M319" t="s">
        <v>32</v>
      </c>
      <c r="Q319" s="1"/>
    </row>
    <row r="320" spans="1:17" x14ac:dyDescent="0.3">
      <c r="A320">
        <v>21</v>
      </c>
      <c r="B320">
        <v>11</v>
      </c>
      <c r="C320" s="11">
        <v>46116</v>
      </c>
      <c r="D320" t="s">
        <v>13</v>
      </c>
      <c r="E320">
        <v>500</v>
      </c>
      <c r="F320" s="11">
        <v>46177</v>
      </c>
      <c r="G320" t="s">
        <v>73</v>
      </c>
      <c r="H320" t="s">
        <v>30</v>
      </c>
      <c r="I320">
        <v>400</v>
      </c>
      <c r="J320" t="s">
        <v>16</v>
      </c>
      <c r="K320" t="s">
        <v>33</v>
      </c>
      <c r="L320" t="s">
        <v>18</v>
      </c>
      <c r="M320" t="s">
        <v>15</v>
      </c>
      <c r="Q320" s="1"/>
    </row>
    <row r="321" spans="1:17" x14ac:dyDescent="0.3">
      <c r="A321">
        <v>32</v>
      </c>
      <c r="B321">
        <v>16</v>
      </c>
      <c r="C321" s="11">
        <v>46238</v>
      </c>
      <c r="D321" t="s">
        <v>20</v>
      </c>
      <c r="E321">
        <v>2000</v>
      </c>
      <c r="F321" s="11">
        <v>46269</v>
      </c>
      <c r="G321" t="s">
        <v>55</v>
      </c>
      <c r="H321" t="s">
        <v>19</v>
      </c>
      <c r="I321">
        <v>700</v>
      </c>
      <c r="J321" t="s">
        <v>16</v>
      </c>
      <c r="K321" t="s">
        <v>17</v>
      </c>
      <c r="L321" t="s">
        <v>18</v>
      </c>
      <c r="M321" t="s">
        <v>41</v>
      </c>
      <c r="Q321" s="1"/>
    </row>
    <row r="322" spans="1:17" x14ac:dyDescent="0.3">
      <c r="A322">
        <v>17</v>
      </c>
      <c r="B322">
        <v>9</v>
      </c>
      <c r="C322" s="11">
        <v>46026</v>
      </c>
      <c r="D322" t="s">
        <v>13</v>
      </c>
      <c r="E322">
        <v>400</v>
      </c>
      <c r="F322" s="11">
        <v>46057</v>
      </c>
      <c r="G322" t="s">
        <v>27</v>
      </c>
      <c r="H322" t="s">
        <v>15</v>
      </c>
      <c r="I322">
        <v>200</v>
      </c>
      <c r="J322" t="s">
        <v>16</v>
      </c>
      <c r="K322" t="s">
        <v>33</v>
      </c>
      <c r="L322" t="s">
        <v>34</v>
      </c>
      <c r="M322" t="s">
        <v>19</v>
      </c>
      <c r="Q322" s="1"/>
    </row>
    <row r="323" spans="1:17" x14ac:dyDescent="0.3">
      <c r="A323">
        <v>25</v>
      </c>
      <c r="B323">
        <v>13</v>
      </c>
      <c r="C323" s="11">
        <v>46177</v>
      </c>
      <c r="D323" t="s">
        <v>20</v>
      </c>
      <c r="E323">
        <v>300</v>
      </c>
      <c r="F323" s="11">
        <v>46207</v>
      </c>
      <c r="G323" t="s">
        <v>39</v>
      </c>
      <c r="H323" t="s">
        <v>19</v>
      </c>
      <c r="I323">
        <v>800</v>
      </c>
      <c r="J323" t="s">
        <v>16</v>
      </c>
      <c r="K323" t="s">
        <v>17</v>
      </c>
      <c r="L323" t="s">
        <v>18</v>
      </c>
      <c r="M323" t="s">
        <v>41</v>
      </c>
      <c r="Q323" s="1"/>
    </row>
    <row r="324" spans="1:17" x14ac:dyDescent="0.3">
      <c r="A324">
        <v>19</v>
      </c>
      <c r="B324">
        <v>9</v>
      </c>
      <c r="C324" s="11">
        <v>46057</v>
      </c>
      <c r="D324" t="s">
        <v>13</v>
      </c>
      <c r="E324">
        <v>200</v>
      </c>
      <c r="F324" s="11">
        <v>46085</v>
      </c>
      <c r="G324" t="s">
        <v>60</v>
      </c>
      <c r="H324" t="s">
        <v>15</v>
      </c>
      <c r="I324">
        <v>300</v>
      </c>
      <c r="J324" t="s">
        <v>16</v>
      </c>
      <c r="K324" t="s">
        <v>33</v>
      </c>
      <c r="L324" t="s">
        <v>18</v>
      </c>
      <c r="M324" t="s">
        <v>19</v>
      </c>
      <c r="Q324" s="1"/>
    </row>
    <row r="325" spans="1:17" x14ac:dyDescent="0.3">
      <c r="A325">
        <v>34</v>
      </c>
      <c r="B325">
        <v>17</v>
      </c>
      <c r="C325" s="11">
        <v>46269</v>
      </c>
      <c r="D325" t="s">
        <v>20</v>
      </c>
      <c r="E325">
        <v>7000</v>
      </c>
      <c r="F325" s="11" t="s">
        <v>81</v>
      </c>
      <c r="G325" t="s">
        <v>35</v>
      </c>
      <c r="H325" t="s">
        <v>19</v>
      </c>
      <c r="I325">
        <v>900</v>
      </c>
      <c r="J325" t="s">
        <v>23</v>
      </c>
      <c r="K325" t="s">
        <v>17</v>
      </c>
      <c r="L325" t="s">
        <v>25</v>
      </c>
      <c r="M325" t="s">
        <v>41</v>
      </c>
      <c r="Q325" s="1"/>
    </row>
    <row r="326" spans="1:17" x14ac:dyDescent="0.3">
      <c r="A326">
        <v>22</v>
      </c>
      <c r="B326">
        <v>11</v>
      </c>
      <c r="C326" s="11">
        <v>46146</v>
      </c>
      <c r="D326" t="s">
        <v>13</v>
      </c>
      <c r="E326">
        <v>1000</v>
      </c>
      <c r="F326" s="11">
        <v>46207</v>
      </c>
      <c r="G326" t="s">
        <v>66</v>
      </c>
      <c r="H326" t="s">
        <v>15</v>
      </c>
      <c r="I326">
        <v>400</v>
      </c>
      <c r="J326" t="s">
        <v>16</v>
      </c>
      <c r="K326" t="s">
        <v>17</v>
      </c>
      <c r="L326" t="s">
        <v>18</v>
      </c>
      <c r="M326" t="s">
        <v>19</v>
      </c>
      <c r="Q326" s="1"/>
    </row>
    <row r="327" spans="1:17" x14ac:dyDescent="0.3">
      <c r="A327">
        <v>16</v>
      </c>
      <c r="B327">
        <v>8</v>
      </c>
      <c r="C327" s="11">
        <v>46237</v>
      </c>
      <c r="D327" t="s">
        <v>20</v>
      </c>
      <c r="E327">
        <v>400</v>
      </c>
      <c r="F327" s="11" t="s">
        <v>64</v>
      </c>
      <c r="G327" t="s">
        <v>31</v>
      </c>
      <c r="H327" t="s">
        <v>30</v>
      </c>
      <c r="I327">
        <v>200</v>
      </c>
      <c r="J327" t="s">
        <v>16</v>
      </c>
      <c r="K327" t="s">
        <v>33</v>
      </c>
      <c r="L327" t="s">
        <v>18</v>
      </c>
      <c r="M327" t="s">
        <v>15</v>
      </c>
      <c r="Q327" s="1"/>
    </row>
    <row r="328" spans="1:17" x14ac:dyDescent="0.3">
      <c r="A328">
        <v>10</v>
      </c>
      <c r="B328">
        <v>5</v>
      </c>
      <c r="C328" s="11">
        <v>46025</v>
      </c>
      <c r="D328" t="s">
        <v>13</v>
      </c>
      <c r="E328">
        <v>5000</v>
      </c>
      <c r="F328" s="11">
        <v>46056</v>
      </c>
      <c r="G328" t="s">
        <v>55</v>
      </c>
      <c r="H328" t="s">
        <v>36</v>
      </c>
      <c r="I328">
        <v>600</v>
      </c>
      <c r="J328" t="s">
        <v>23</v>
      </c>
      <c r="K328" t="s">
        <v>33</v>
      </c>
      <c r="L328" t="s">
        <v>34</v>
      </c>
      <c r="M328" t="s">
        <v>32</v>
      </c>
      <c r="Q328" s="1"/>
    </row>
    <row r="329" spans="1:17" x14ac:dyDescent="0.3">
      <c r="A329">
        <v>27</v>
      </c>
      <c r="B329">
        <v>13</v>
      </c>
      <c r="C329" s="11">
        <v>46177</v>
      </c>
      <c r="D329" t="s">
        <v>13</v>
      </c>
      <c r="E329">
        <v>1000</v>
      </c>
      <c r="F329" s="11">
        <v>46238</v>
      </c>
      <c r="G329" t="s">
        <v>42</v>
      </c>
      <c r="H329" t="s">
        <v>19</v>
      </c>
      <c r="I329">
        <v>800</v>
      </c>
      <c r="J329" t="s">
        <v>16</v>
      </c>
      <c r="K329" t="s">
        <v>33</v>
      </c>
      <c r="L329" t="s">
        <v>18</v>
      </c>
      <c r="M329" t="s">
        <v>41</v>
      </c>
      <c r="Q329" s="1"/>
    </row>
    <row r="330" spans="1:17" x14ac:dyDescent="0.3">
      <c r="A330">
        <v>7</v>
      </c>
      <c r="B330">
        <v>3</v>
      </c>
      <c r="C330" s="11">
        <v>46267</v>
      </c>
      <c r="D330" t="s">
        <v>20</v>
      </c>
      <c r="E330">
        <v>4000</v>
      </c>
      <c r="F330" s="11">
        <v>46025</v>
      </c>
      <c r="G330" t="s">
        <v>57</v>
      </c>
      <c r="H330" t="s">
        <v>36</v>
      </c>
      <c r="I330">
        <v>500</v>
      </c>
      <c r="J330" t="s">
        <v>23</v>
      </c>
      <c r="K330" t="s">
        <v>17</v>
      </c>
      <c r="L330" t="s">
        <v>18</v>
      </c>
      <c r="M330" t="s">
        <v>32</v>
      </c>
      <c r="Q330" s="1"/>
    </row>
    <row r="331" spans="1:17" x14ac:dyDescent="0.3">
      <c r="A331">
        <v>23</v>
      </c>
      <c r="B331">
        <v>11</v>
      </c>
      <c r="C331" s="11">
        <v>46116</v>
      </c>
      <c r="D331" t="s">
        <v>13</v>
      </c>
      <c r="E331">
        <v>800</v>
      </c>
      <c r="F331" s="11">
        <v>46177</v>
      </c>
      <c r="G331" t="s">
        <v>39</v>
      </c>
      <c r="H331" t="s">
        <v>30</v>
      </c>
      <c r="I331">
        <v>400</v>
      </c>
      <c r="J331" t="s">
        <v>16</v>
      </c>
      <c r="K331" t="s">
        <v>33</v>
      </c>
      <c r="L331" t="s">
        <v>18</v>
      </c>
      <c r="M331" t="s">
        <v>15</v>
      </c>
      <c r="Q331" s="1"/>
    </row>
    <row r="332" spans="1:17" x14ac:dyDescent="0.3">
      <c r="A332">
        <v>12</v>
      </c>
      <c r="B332">
        <v>6</v>
      </c>
      <c r="C332" s="11">
        <v>46084</v>
      </c>
      <c r="D332" t="s">
        <v>20</v>
      </c>
      <c r="E332">
        <v>2000</v>
      </c>
      <c r="F332" s="11">
        <v>46145</v>
      </c>
      <c r="G332" t="s">
        <v>66</v>
      </c>
      <c r="H332" t="s">
        <v>63</v>
      </c>
      <c r="I332">
        <v>500</v>
      </c>
      <c r="J332" t="s">
        <v>23</v>
      </c>
      <c r="K332" t="s">
        <v>17</v>
      </c>
      <c r="L332" t="s">
        <v>25</v>
      </c>
      <c r="M332" t="s">
        <v>28</v>
      </c>
      <c r="Q332" s="1"/>
    </row>
    <row r="333" spans="1:17" x14ac:dyDescent="0.3">
      <c r="A333">
        <v>28</v>
      </c>
      <c r="B333">
        <v>14</v>
      </c>
      <c r="C333" s="11">
        <v>46207</v>
      </c>
      <c r="D333" t="s">
        <v>13</v>
      </c>
      <c r="E333">
        <v>100</v>
      </c>
      <c r="F333" s="11">
        <v>46238</v>
      </c>
      <c r="G333" t="s">
        <v>60</v>
      </c>
      <c r="H333" t="s">
        <v>19</v>
      </c>
      <c r="I333">
        <v>800</v>
      </c>
      <c r="J333" t="s">
        <v>16</v>
      </c>
      <c r="K333" t="s">
        <v>17</v>
      </c>
      <c r="L333" t="s">
        <v>25</v>
      </c>
      <c r="M333" t="s">
        <v>41</v>
      </c>
      <c r="Q333" s="1"/>
    </row>
    <row r="334" spans="1:17" x14ac:dyDescent="0.3">
      <c r="A334">
        <v>16</v>
      </c>
      <c r="B334">
        <v>8</v>
      </c>
      <c r="C334" s="11">
        <v>46237</v>
      </c>
      <c r="D334" t="s">
        <v>20</v>
      </c>
      <c r="E334">
        <v>900</v>
      </c>
      <c r="F334" s="11" t="s">
        <v>64</v>
      </c>
      <c r="G334" t="s">
        <v>31</v>
      </c>
      <c r="H334" t="s">
        <v>30</v>
      </c>
      <c r="I334">
        <v>200</v>
      </c>
      <c r="J334" t="s">
        <v>16</v>
      </c>
      <c r="K334" t="s">
        <v>33</v>
      </c>
      <c r="L334" t="s">
        <v>18</v>
      </c>
      <c r="M334" t="s">
        <v>15</v>
      </c>
      <c r="Q334" s="1"/>
    </row>
    <row r="335" spans="1:17" x14ac:dyDescent="0.3">
      <c r="A335">
        <v>8</v>
      </c>
      <c r="B335">
        <v>4</v>
      </c>
      <c r="C335" s="11">
        <v>46056</v>
      </c>
      <c r="D335" t="s">
        <v>13</v>
      </c>
      <c r="E335">
        <v>3000</v>
      </c>
      <c r="F335" s="11">
        <v>46115</v>
      </c>
      <c r="G335" t="s">
        <v>77</v>
      </c>
      <c r="H335" t="s">
        <v>26</v>
      </c>
      <c r="I335">
        <v>400</v>
      </c>
      <c r="J335" t="s">
        <v>16</v>
      </c>
      <c r="K335" t="s">
        <v>17</v>
      </c>
      <c r="L335" t="s">
        <v>18</v>
      </c>
      <c r="M335" t="s">
        <v>43</v>
      </c>
      <c r="Q335" s="1"/>
    </row>
    <row r="336" spans="1:17" x14ac:dyDescent="0.3">
      <c r="A336">
        <v>31</v>
      </c>
      <c r="B336">
        <v>15</v>
      </c>
      <c r="C336" s="11">
        <v>46207</v>
      </c>
      <c r="D336" t="s">
        <v>20</v>
      </c>
      <c r="E336">
        <v>600</v>
      </c>
      <c r="F336" s="11">
        <v>46238</v>
      </c>
      <c r="G336" t="s">
        <v>66</v>
      </c>
      <c r="H336" t="s">
        <v>19</v>
      </c>
      <c r="I336">
        <v>700</v>
      </c>
      <c r="J336" t="s">
        <v>16</v>
      </c>
      <c r="K336" t="s">
        <v>17</v>
      </c>
      <c r="L336" t="s">
        <v>18</v>
      </c>
      <c r="M336" t="s">
        <v>41</v>
      </c>
      <c r="Q336" s="1"/>
    </row>
    <row r="337" spans="1:17" x14ac:dyDescent="0.3">
      <c r="A337">
        <v>20</v>
      </c>
      <c r="B337">
        <v>10</v>
      </c>
      <c r="C337" s="11">
        <v>46085</v>
      </c>
      <c r="D337" t="s">
        <v>13</v>
      </c>
      <c r="E337">
        <v>1000</v>
      </c>
      <c r="F337" s="11">
        <v>46116</v>
      </c>
      <c r="G337" t="s">
        <v>21</v>
      </c>
      <c r="H337" t="s">
        <v>15</v>
      </c>
      <c r="I337">
        <v>300</v>
      </c>
      <c r="J337" t="s">
        <v>16</v>
      </c>
      <c r="K337" t="s">
        <v>33</v>
      </c>
      <c r="L337" t="s">
        <v>18</v>
      </c>
      <c r="M337" t="s">
        <v>19</v>
      </c>
      <c r="Q337" s="1"/>
    </row>
    <row r="338" spans="1:17" x14ac:dyDescent="0.3">
      <c r="A338">
        <v>11</v>
      </c>
      <c r="B338">
        <v>5</v>
      </c>
      <c r="C338" s="11">
        <v>46056</v>
      </c>
      <c r="D338" t="s">
        <v>20</v>
      </c>
      <c r="E338">
        <v>4000</v>
      </c>
      <c r="F338" s="11">
        <v>46115</v>
      </c>
      <c r="G338" t="s">
        <v>69</v>
      </c>
      <c r="H338" t="s">
        <v>32</v>
      </c>
      <c r="I338">
        <v>500</v>
      </c>
      <c r="J338" t="s">
        <v>23</v>
      </c>
      <c r="K338" t="s">
        <v>17</v>
      </c>
      <c r="L338" t="s">
        <v>18</v>
      </c>
      <c r="M338" t="s">
        <v>26</v>
      </c>
      <c r="Q338" s="1"/>
    </row>
    <row r="339" spans="1:17" x14ac:dyDescent="0.3">
      <c r="A339">
        <v>28</v>
      </c>
      <c r="B339">
        <v>14</v>
      </c>
      <c r="C339" s="11">
        <v>46207</v>
      </c>
      <c r="D339" t="s">
        <v>13</v>
      </c>
      <c r="E339">
        <v>200</v>
      </c>
      <c r="F339" s="11">
        <v>46238</v>
      </c>
      <c r="G339" t="s">
        <v>60</v>
      </c>
      <c r="H339" t="s">
        <v>19</v>
      </c>
      <c r="I339">
        <v>800</v>
      </c>
      <c r="J339" t="s">
        <v>16</v>
      </c>
      <c r="K339" t="s">
        <v>17</v>
      </c>
      <c r="L339" t="s">
        <v>25</v>
      </c>
      <c r="M339" t="s">
        <v>41</v>
      </c>
      <c r="Q339" s="1"/>
    </row>
    <row r="340" spans="1:17" x14ac:dyDescent="0.3">
      <c r="A340">
        <v>15</v>
      </c>
      <c r="B340">
        <v>8</v>
      </c>
      <c r="C340" s="11">
        <v>46268</v>
      </c>
      <c r="D340" t="s">
        <v>20</v>
      </c>
      <c r="E340">
        <v>500</v>
      </c>
      <c r="F340" s="11">
        <v>46026</v>
      </c>
      <c r="G340" t="s">
        <v>39</v>
      </c>
      <c r="H340" t="s">
        <v>30</v>
      </c>
      <c r="I340">
        <v>200</v>
      </c>
      <c r="J340" t="s">
        <v>16</v>
      </c>
      <c r="K340" t="s">
        <v>33</v>
      </c>
      <c r="L340" t="s">
        <v>18</v>
      </c>
      <c r="M340" t="s">
        <v>15</v>
      </c>
      <c r="Q340" s="1"/>
    </row>
    <row r="341" spans="1:17" x14ac:dyDescent="0.3">
      <c r="A341">
        <v>9</v>
      </c>
      <c r="B341">
        <v>4</v>
      </c>
      <c r="C341" s="11">
        <v>46267</v>
      </c>
      <c r="D341" t="s">
        <v>13</v>
      </c>
      <c r="E341">
        <v>3000</v>
      </c>
      <c r="F341" s="11">
        <v>46025</v>
      </c>
      <c r="G341" t="s">
        <v>66</v>
      </c>
      <c r="H341" t="s">
        <v>36</v>
      </c>
      <c r="I341">
        <v>600</v>
      </c>
      <c r="J341" t="s">
        <v>23</v>
      </c>
      <c r="K341" t="s">
        <v>17</v>
      </c>
      <c r="L341" t="s">
        <v>18</v>
      </c>
      <c r="M341" t="s">
        <v>32</v>
      </c>
      <c r="Q341" s="1"/>
    </row>
    <row r="342" spans="1:17" x14ac:dyDescent="0.3">
      <c r="A342">
        <v>24</v>
      </c>
      <c r="B342">
        <v>12</v>
      </c>
      <c r="C342" s="11">
        <v>46146</v>
      </c>
      <c r="D342" t="s">
        <v>20</v>
      </c>
      <c r="E342">
        <v>900</v>
      </c>
      <c r="F342" s="11">
        <v>46177</v>
      </c>
      <c r="G342" t="s">
        <v>48</v>
      </c>
      <c r="H342" t="s">
        <v>15</v>
      </c>
      <c r="I342">
        <v>300</v>
      </c>
      <c r="J342" t="s">
        <v>16</v>
      </c>
      <c r="K342" t="s">
        <v>17</v>
      </c>
      <c r="L342" t="s">
        <v>18</v>
      </c>
      <c r="M342" t="s">
        <v>19</v>
      </c>
      <c r="Q342" s="1"/>
    </row>
    <row r="343" spans="1:17" x14ac:dyDescent="0.3">
      <c r="A343">
        <v>13</v>
      </c>
      <c r="B343">
        <v>7</v>
      </c>
      <c r="C343" s="11">
        <v>46206</v>
      </c>
      <c r="D343" t="s">
        <v>13</v>
      </c>
      <c r="E343">
        <v>100</v>
      </c>
      <c r="F343" s="11">
        <v>46237</v>
      </c>
      <c r="G343" t="s">
        <v>78</v>
      </c>
      <c r="H343" t="s">
        <v>28</v>
      </c>
      <c r="I343">
        <v>200</v>
      </c>
      <c r="J343" t="s">
        <v>16</v>
      </c>
      <c r="K343" t="s">
        <v>33</v>
      </c>
      <c r="L343" t="s">
        <v>34</v>
      </c>
      <c r="M343" t="s">
        <v>30</v>
      </c>
      <c r="Q343" s="1"/>
    </row>
    <row r="344" spans="1:17" x14ac:dyDescent="0.3">
      <c r="A344">
        <v>6</v>
      </c>
      <c r="B344">
        <v>3</v>
      </c>
      <c r="C344" s="11">
        <v>46267</v>
      </c>
      <c r="D344" t="s">
        <v>20</v>
      </c>
      <c r="E344">
        <v>6000</v>
      </c>
      <c r="F344" s="11">
        <v>46025</v>
      </c>
      <c r="G344" t="s">
        <v>66</v>
      </c>
      <c r="H344" t="s">
        <v>36</v>
      </c>
      <c r="I344">
        <v>500</v>
      </c>
      <c r="J344" t="s">
        <v>23</v>
      </c>
      <c r="K344" t="s">
        <v>17</v>
      </c>
      <c r="L344" t="s">
        <v>18</v>
      </c>
      <c r="M344" t="s">
        <v>32</v>
      </c>
      <c r="Q344" s="1"/>
    </row>
    <row r="345" spans="1:17" x14ac:dyDescent="0.3">
      <c r="A345">
        <v>21</v>
      </c>
      <c r="B345">
        <v>11</v>
      </c>
      <c r="C345" s="11">
        <v>46116</v>
      </c>
      <c r="D345" t="s">
        <v>13</v>
      </c>
      <c r="E345">
        <v>500</v>
      </c>
      <c r="F345" s="11">
        <v>46177</v>
      </c>
      <c r="G345" t="s">
        <v>73</v>
      </c>
      <c r="H345" t="s">
        <v>30</v>
      </c>
      <c r="I345">
        <v>400</v>
      </c>
      <c r="J345" t="s">
        <v>16</v>
      </c>
      <c r="K345" t="s">
        <v>33</v>
      </c>
      <c r="L345" t="s">
        <v>18</v>
      </c>
      <c r="M345" t="s">
        <v>15</v>
      </c>
      <c r="Q345" s="1"/>
    </row>
    <row r="346" spans="1:17" x14ac:dyDescent="0.3">
      <c r="A346">
        <v>32</v>
      </c>
      <c r="B346">
        <v>16</v>
      </c>
      <c r="C346" s="11">
        <v>46238</v>
      </c>
      <c r="D346" t="s">
        <v>20</v>
      </c>
      <c r="E346">
        <v>2000</v>
      </c>
      <c r="F346" s="11">
        <v>46269</v>
      </c>
      <c r="G346" t="s">
        <v>55</v>
      </c>
      <c r="H346" t="s">
        <v>19</v>
      </c>
      <c r="I346">
        <v>700</v>
      </c>
      <c r="J346" t="s">
        <v>16</v>
      </c>
      <c r="K346" t="s">
        <v>17</v>
      </c>
      <c r="L346" t="s">
        <v>18</v>
      </c>
      <c r="M346" t="s">
        <v>41</v>
      </c>
      <c r="Q346" s="1"/>
    </row>
    <row r="347" spans="1:17" x14ac:dyDescent="0.3">
      <c r="A347">
        <v>17</v>
      </c>
      <c r="B347">
        <v>9</v>
      </c>
      <c r="C347" s="11">
        <v>46026</v>
      </c>
      <c r="D347" t="s">
        <v>13</v>
      </c>
      <c r="E347">
        <v>400</v>
      </c>
      <c r="F347" s="11">
        <v>46057</v>
      </c>
      <c r="G347" t="s">
        <v>27</v>
      </c>
      <c r="H347" t="s">
        <v>15</v>
      </c>
      <c r="I347">
        <v>200</v>
      </c>
      <c r="J347" t="s">
        <v>16</v>
      </c>
      <c r="K347" t="s">
        <v>33</v>
      </c>
      <c r="L347" t="s">
        <v>34</v>
      </c>
      <c r="M347" t="s">
        <v>19</v>
      </c>
      <c r="Q347" s="1"/>
    </row>
    <row r="348" spans="1:17" x14ac:dyDescent="0.3">
      <c r="A348">
        <v>25</v>
      </c>
      <c r="B348">
        <v>13</v>
      </c>
      <c r="C348" s="11">
        <v>46177</v>
      </c>
      <c r="D348" t="s">
        <v>20</v>
      </c>
      <c r="E348">
        <v>300</v>
      </c>
      <c r="F348" s="11">
        <v>46207</v>
      </c>
      <c r="G348" t="s">
        <v>39</v>
      </c>
      <c r="H348" t="s">
        <v>19</v>
      </c>
      <c r="I348">
        <v>800</v>
      </c>
      <c r="J348" t="s">
        <v>16</v>
      </c>
      <c r="K348" t="s">
        <v>17</v>
      </c>
      <c r="L348" t="s">
        <v>18</v>
      </c>
      <c r="M348" t="s">
        <v>41</v>
      </c>
      <c r="Q348" s="1"/>
    </row>
    <row r="349" spans="1:17" x14ac:dyDescent="0.3">
      <c r="A349">
        <v>19</v>
      </c>
      <c r="B349">
        <v>9</v>
      </c>
      <c r="C349" s="11">
        <v>46057</v>
      </c>
      <c r="D349" t="s">
        <v>13</v>
      </c>
      <c r="E349">
        <v>200</v>
      </c>
      <c r="F349" s="11">
        <v>46085</v>
      </c>
      <c r="G349" t="s">
        <v>60</v>
      </c>
      <c r="H349" t="s">
        <v>15</v>
      </c>
      <c r="I349">
        <v>300</v>
      </c>
      <c r="J349" t="s">
        <v>16</v>
      </c>
      <c r="K349" t="s">
        <v>33</v>
      </c>
      <c r="L349" t="s">
        <v>18</v>
      </c>
      <c r="M349" t="s">
        <v>19</v>
      </c>
      <c r="Q349" s="1"/>
    </row>
    <row r="350" spans="1:17" x14ac:dyDescent="0.3">
      <c r="A350">
        <v>34</v>
      </c>
      <c r="B350">
        <v>17</v>
      </c>
      <c r="C350" s="11">
        <v>46269</v>
      </c>
      <c r="D350" t="s">
        <v>20</v>
      </c>
      <c r="E350">
        <v>7000</v>
      </c>
      <c r="F350" s="11" t="s">
        <v>81</v>
      </c>
      <c r="G350" t="s">
        <v>35</v>
      </c>
      <c r="H350" t="s">
        <v>19</v>
      </c>
      <c r="I350">
        <v>900</v>
      </c>
      <c r="J350" t="s">
        <v>23</v>
      </c>
      <c r="K350" t="s">
        <v>17</v>
      </c>
      <c r="L350" t="s">
        <v>25</v>
      </c>
      <c r="M350" t="s">
        <v>41</v>
      </c>
      <c r="Q350" s="1"/>
    </row>
    <row r="351" spans="1:17" x14ac:dyDescent="0.3">
      <c r="A351">
        <v>22</v>
      </c>
      <c r="B351">
        <v>11</v>
      </c>
      <c r="C351" s="11">
        <v>46146</v>
      </c>
      <c r="D351" t="s">
        <v>13</v>
      </c>
      <c r="E351">
        <v>1000</v>
      </c>
      <c r="F351" s="11">
        <v>46207</v>
      </c>
      <c r="G351" t="s">
        <v>66</v>
      </c>
      <c r="H351" t="s">
        <v>15</v>
      </c>
      <c r="I351">
        <v>400</v>
      </c>
      <c r="J351" t="s">
        <v>16</v>
      </c>
      <c r="K351" t="s">
        <v>17</v>
      </c>
      <c r="L351" t="s">
        <v>18</v>
      </c>
      <c r="M351" t="s">
        <v>19</v>
      </c>
      <c r="Q351" s="1"/>
    </row>
    <row r="352" spans="1:17" x14ac:dyDescent="0.3">
      <c r="A352">
        <v>16</v>
      </c>
      <c r="B352">
        <v>8</v>
      </c>
      <c r="C352" s="11">
        <v>46237</v>
      </c>
      <c r="D352" t="s">
        <v>20</v>
      </c>
      <c r="E352">
        <v>400</v>
      </c>
      <c r="F352" s="11" t="s">
        <v>64</v>
      </c>
      <c r="G352" t="s">
        <v>31</v>
      </c>
      <c r="H352" t="s">
        <v>30</v>
      </c>
      <c r="I352">
        <v>200</v>
      </c>
      <c r="J352" t="s">
        <v>16</v>
      </c>
      <c r="K352" t="s">
        <v>33</v>
      </c>
      <c r="L352" t="s">
        <v>18</v>
      </c>
      <c r="M352" t="s">
        <v>15</v>
      </c>
      <c r="Q352" s="1"/>
    </row>
    <row r="353" spans="1:17" x14ac:dyDescent="0.3">
      <c r="A353">
        <v>10</v>
      </c>
      <c r="B353">
        <v>5</v>
      </c>
      <c r="C353" s="11">
        <v>46025</v>
      </c>
      <c r="D353" t="s">
        <v>13</v>
      </c>
      <c r="E353">
        <v>5000</v>
      </c>
      <c r="F353" s="11">
        <v>46056</v>
      </c>
      <c r="G353" t="s">
        <v>55</v>
      </c>
      <c r="H353" t="s">
        <v>36</v>
      </c>
      <c r="I353">
        <v>600</v>
      </c>
      <c r="J353" t="s">
        <v>23</v>
      </c>
      <c r="K353" t="s">
        <v>33</v>
      </c>
      <c r="L353" t="s">
        <v>34</v>
      </c>
      <c r="M353" t="s">
        <v>32</v>
      </c>
      <c r="Q353" s="1"/>
    </row>
    <row r="354" spans="1:17" x14ac:dyDescent="0.3">
      <c r="A354">
        <v>27</v>
      </c>
      <c r="B354">
        <v>13</v>
      </c>
      <c r="C354" s="11">
        <v>46177</v>
      </c>
      <c r="D354" t="s">
        <v>13</v>
      </c>
      <c r="E354">
        <v>1000</v>
      </c>
      <c r="F354" s="11">
        <v>46238</v>
      </c>
      <c r="G354" t="s">
        <v>42</v>
      </c>
      <c r="H354" t="s">
        <v>19</v>
      </c>
      <c r="I354">
        <v>800</v>
      </c>
      <c r="J354" t="s">
        <v>16</v>
      </c>
      <c r="K354" t="s">
        <v>33</v>
      </c>
      <c r="L354" t="s">
        <v>18</v>
      </c>
      <c r="M354" t="s">
        <v>41</v>
      </c>
      <c r="Q354" s="1"/>
    </row>
    <row r="355" spans="1:17" x14ac:dyDescent="0.3">
      <c r="A355">
        <v>7</v>
      </c>
      <c r="B355">
        <v>3</v>
      </c>
      <c r="C355" s="11">
        <v>46267</v>
      </c>
      <c r="D355" t="s">
        <v>20</v>
      </c>
      <c r="E355">
        <v>4000</v>
      </c>
      <c r="F355" s="11">
        <v>46025</v>
      </c>
      <c r="G355" t="s">
        <v>57</v>
      </c>
      <c r="H355" t="s">
        <v>36</v>
      </c>
      <c r="I355">
        <v>500</v>
      </c>
      <c r="J355" t="s">
        <v>23</v>
      </c>
      <c r="K355" t="s">
        <v>17</v>
      </c>
      <c r="L355" t="s">
        <v>18</v>
      </c>
      <c r="M355" t="s">
        <v>32</v>
      </c>
      <c r="Q355" s="1"/>
    </row>
    <row r="356" spans="1:17" x14ac:dyDescent="0.3">
      <c r="A356">
        <v>23</v>
      </c>
      <c r="B356">
        <v>11</v>
      </c>
      <c r="C356" s="11">
        <v>46116</v>
      </c>
      <c r="D356" t="s">
        <v>13</v>
      </c>
      <c r="E356">
        <v>800</v>
      </c>
      <c r="F356" s="11">
        <v>46177</v>
      </c>
      <c r="G356" t="s">
        <v>39</v>
      </c>
      <c r="H356" t="s">
        <v>30</v>
      </c>
      <c r="I356">
        <v>400</v>
      </c>
      <c r="J356" t="s">
        <v>16</v>
      </c>
      <c r="K356" t="s">
        <v>33</v>
      </c>
      <c r="L356" t="s">
        <v>18</v>
      </c>
      <c r="M356" t="s">
        <v>15</v>
      </c>
      <c r="Q356" s="1"/>
    </row>
    <row r="357" spans="1:17" x14ac:dyDescent="0.3">
      <c r="A357">
        <v>12</v>
      </c>
      <c r="B357">
        <v>6</v>
      </c>
      <c r="C357" s="11">
        <v>46084</v>
      </c>
      <c r="D357" t="s">
        <v>20</v>
      </c>
      <c r="E357">
        <v>2000</v>
      </c>
      <c r="F357" s="11">
        <v>46145</v>
      </c>
      <c r="G357" t="s">
        <v>66</v>
      </c>
      <c r="H357" t="s">
        <v>63</v>
      </c>
      <c r="I357">
        <v>500</v>
      </c>
      <c r="J357" t="s">
        <v>23</v>
      </c>
      <c r="K357" t="s">
        <v>17</v>
      </c>
      <c r="L357" t="s">
        <v>25</v>
      </c>
      <c r="M357" t="s">
        <v>28</v>
      </c>
      <c r="Q357" s="1"/>
    </row>
    <row r="358" spans="1:17" x14ac:dyDescent="0.3">
      <c r="A358">
        <v>28</v>
      </c>
      <c r="B358">
        <v>14</v>
      </c>
      <c r="C358" s="11">
        <v>46207</v>
      </c>
      <c r="D358" t="s">
        <v>13</v>
      </c>
      <c r="E358">
        <v>100</v>
      </c>
      <c r="F358" s="11">
        <v>46238</v>
      </c>
      <c r="G358" t="s">
        <v>60</v>
      </c>
      <c r="H358" t="s">
        <v>19</v>
      </c>
      <c r="I358">
        <v>800</v>
      </c>
      <c r="J358" t="s">
        <v>16</v>
      </c>
      <c r="K358" t="s">
        <v>17</v>
      </c>
      <c r="L358" t="s">
        <v>25</v>
      </c>
      <c r="M358" t="s">
        <v>41</v>
      </c>
      <c r="Q358" s="1"/>
    </row>
    <row r="359" spans="1:17" x14ac:dyDescent="0.3">
      <c r="A359">
        <v>16</v>
      </c>
      <c r="B359">
        <v>8</v>
      </c>
      <c r="C359" s="11">
        <v>46237</v>
      </c>
      <c r="D359" t="s">
        <v>20</v>
      </c>
      <c r="E359">
        <v>900</v>
      </c>
      <c r="F359" s="11" t="s">
        <v>64</v>
      </c>
      <c r="G359" t="s">
        <v>31</v>
      </c>
      <c r="H359" t="s">
        <v>30</v>
      </c>
      <c r="I359">
        <v>200</v>
      </c>
      <c r="J359" t="s">
        <v>16</v>
      </c>
      <c r="K359" t="s">
        <v>33</v>
      </c>
      <c r="L359" t="s">
        <v>18</v>
      </c>
      <c r="M359" t="s">
        <v>15</v>
      </c>
      <c r="Q359" s="1"/>
    </row>
    <row r="360" spans="1:17" x14ac:dyDescent="0.3">
      <c r="A360">
        <v>8</v>
      </c>
      <c r="B360">
        <v>4</v>
      </c>
      <c r="C360" s="11">
        <v>46056</v>
      </c>
      <c r="D360" t="s">
        <v>13</v>
      </c>
      <c r="E360">
        <v>3000</v>
      </c>
      <c r="F360" s="11">
        <v>46115</v>
      </c>
      <c r="G360" t="s">
        <v>77</v>
      </c>
      <c r="H360" t="s">
        <v>26</v>
      </c>
      <c r="I360">
        <v>400</v>
      </c>
      <c r="J360" t="s">
        <v>16</v>
      </c>
      <c r="K360" t="s">
        <v>17</v>
      </c>
      <c r="L360" t="s">
        <v>18</v>
      </c>
      <c r="M360" t="s">
        <v>43</v>
      </c>
      <c r="Q360" s="1"/>
    </row>
    <row r="361" spans="1:17" x14ac:dyDescent="0.3">
      <c r="A361">
        <v>31</v>
      </c>
      <c r="B361">
        <v>15</v>
      </c>
      <c r="C361" s="11">
        <v>46207</v>
      </c>
      <c r="D361" t="s">
        <v>20</v>
      </c>
      <c r="E361">
        <v>600</v>
      </c>
      <c r="F361" s="11">
        <v>46238</v>
      </c>
      <c r="G361" t="s">
        <v>66</v>
      </c>
      <c r="H361" t="s">
        <v>19</v>
      </c>
      <c r="I361">
        <v>700</v>
      </c>
      <c r="J361" t="s">
        <v>16</v>
      </c>
      <c r="K361" t="s">
        <v>17</v>
      </c>
      <c r="L361" t="s">
        <v>18</v>
      </c>
      <c r="M361" t="s">
        <v>41</v>
      </c>
      <c r="Q361" s="1"/>
    </row>
    <row r="362" spans="1:17" x14ac:dyDescent="0.3">
      <c r="A362">
        <v>20</v>
      </c>
      <c r="B362">
        <v>10</v>
      </c>
      <c r="C362" s="11">
        <v>46085</v>
      </c>
      <c r="D362" t="s">
        <v>13</v>
      </c>
      <c r="E362">
        <v>1000</v>
      </c>
      <c r="F362" s="11">
        <v>46116</v>
      </c>
      <c r="G362" t="s">
        <v>21</v>
      </c>
      <c r="H362" t="s">
        <v>15</v>
      </c>
      <c r="I362">
        <v>300</v>
      </c>
      <c r="J362" t="s">
        <v>16</v>
      </c>
      <c r="K362" t="s">
        <v>33</v>
      </c>
      <c r="L362" t="s">
        <v>18</v>
      </c>
      <c r="M362" t="s">
        <v>19</v>
      </c>
      <c r="Q362" s="1"/>
    </row>
    <row r="363" spans="1:17" x14ac:dyDescent="0.3">
      <c r="A363">
        <v>11</v>
      </c>
      <c r="B363">
        <v>5</v>
      </c>
      <c r="C363" s="11">
        <v>46056</v>
      </c>
      <c r="D363" t="s">
        <v>20</v>
      </c>
      <c r="E363">
        <v>4000</v>
      </c>
      <c r="F363" s="11">
        <v>46115</v>
      </c>
      <c r="G363" t="s">
        <v>69</v>
      </c>
      <c r="H363" t="s">
        <v>32</v>
      </c>
      <c r="I363">
        <v>500</v>
      </c>
      <c r="J363" t="s">
        <v>23</v>
      </c>
      <c r="K363" t="s">
        <v>17</v>
      </c>
      <c r="L363" t="s">
        <v>18</v>
      </c>
      <c r="M363" t="s">
        <v>26</v>
      </c>
      <c r="Q363" s="1"/>
    </row>
    <row r="364" spans="1:17" x14ac:dyDescent="0.3">
      <c r="A364">
        <v>28</v>
      </c>
      <c r="B364">
        <v>14</v>
      </c>
      <c r="C364" s="11">
        <v>46207</v>
      </c>
      <c r="D364" t="s">
        <v>13</v>
      </c>
      <c r="E364">
        <v>200</v>
      </c>
      <c r="F364" s="11">
        <v>46238</v>
      </c>
      <c r="G364" t="s">
        <v>60</v>
      </c>
      <c r="H364" t="s">
        <v>19</v>
      </c>
      <c r="I364">
        <v>800</v>
      </c>
      <c r="J364" t="s">
        <v>16</v>
      </c>
      <c r="K364" t="s">
        <v>17</v>
      </c>
      <c r="L364" t="s">
        <v>25</v>
      </c>
      <c r="M364" t="s">
        <v>41</v>
      </c>
      <c r="Q364" s="1"/>
    </row>
    <row r="365" spans="1:17" x14ac:dyDescent="0.3">
      <c r="A365">
        <v>15</v>
      </c>
      <c r="B365">
        <v>8</v>
      </c>
      <c r="C365" s="11">
        <v>46268</v>
      </c>
      <c r="D365" t="s">
        <v>20</v>
      </c>
      <c r="E365">
        <v>500</v>
      </c>
      <c r="F365" s="11">
        <v>46026</v>
      </c>
      <c r="G365" t="s">
        <v>39</v>
      </c>
      <c r="H365" t="s">
        <v>30</v>
      </c>
      <c r="I365">
        <v>200</v>
      </c>
      <c r="J365" t="s">
        <v>16</v>
      </c>
      <c r="K365" t="s">
        <v>33</v>
      </c>
      <c r="L365" t="s">
        <v>18</v>
      </c>
      <c r="M365" t="s">
        <v>15</v>
      </c>
      <c r="Q365" s="1"/>
    </row>
    <row r="366" spans="1:17" x14ac:dyDescent="0.3">
      <c r="A366">
        <v>9</v>
      </c>
      <c r="B366">
        <v>4</v>
      </c>
      <c r="C366" s="11">
        <v>46267</v>
      </c>
      <c r="D366" t="s">
        <v>13</v>
      </c>
      <c r="E366">
        <v>3000</v>
      </c>
      <c r="F366" s="11">
        <v>46025</v>
      </c>
      <c r="G366" t="s">
        <v>66</v>
      </c>
      <c r="H366" t="s">
        <v>36</v>
      </c>
      <c r="I366">
        <v>600</v>
      </c>
      <c r="J366" t="s">
        <v>23</v>
      </c>
      <c r="K366" t="s">
        <v>17</v>
      </c>
      <c r="L366" t="s">
        <v>18</v>
      </c>
      <c r="M366" t="s">
        <v>32</v>
      </c>
      <c r="Q366" s="1"/>
    </row>
    <row r="367" spans="1:17" x14ac:dyDescent="0.3">
      <c r="A367">
        <v>24</v>
      </c>
      <c r="B367">
        <v>12</v>
      </c>
      <c r="C367" s="11">
        <v>46146</v>
      </c>
      <c r="D367" t="s">
        <v>20</v>
      </c>
      <c r="E367">
        <v>900</v>
      </c>
      <c r="F367" s="11">
        <v>46177</v>
      </c>
      <c r="G367" t="s">
        <v>48</v>
      </c>
      <c r="H367" t="s">
        <v>15</v>
      </c>
      <c r="I367">
        <v>300</v>
      </c>
      <c r="J367" t="s">
        <v>16</v>
      </c>
      <c r="K367" t="s">
        <v>17</v>
      </c>
      <c r="L367" t="s">
        <v>18</v>
      </c>
      <c r="M367" t="s">
        <v>19</v>
      </c>
      <c r="Q367" s="1"/>
    </row>
    <row r="368" spans="1:17" x14ac:dyDescent="0.3">
      <c r="A368">
        <v>13</v>
      </c>
      <c r="B368">
        <v>7</v>
      </c>
      <c r="C368" s="11">
        <v>46206</v>
      </c>
      <c r="D368" t="s">
        <v>13</v>
      </c>
      <c r="E368">
        <v>100</v>
      </c>
      <c r="F368" s="11">
        <v>46237</v>
      </c>
      <c r="G368" t="s">
        <v>78</v>
      </c>
      <c r="H368" t="s">
        <v>28</v>
      </c>
      <c r="I368">
        <v>200</v>
      </c>
      <c r="J368" t="s">
        <v>16</v>
      </c>
      <c r="K368" t="s">
        <v>33</v>
      </c>
      <c r="L368" t="s">
        <v>34</v>
      </c>
      <c r="M368" t="s">
        <v>30</v>
      </c>
      <c r="Q368" s="1"/>
    </row>
    <row r="369" spans="1:17" x14ac:dyDescent="0.3">
      <c r="A369">
        <v>6</v>
      </c>
      <c r="B369">
        <v>3</v>
      </c>
      <c r="C369" s="11">
        <v>46267</v>
      </c>
      <c r="D369" t="s">
        <v>20</v>
      </c>
      <c r="E369">
        <v>6000</v>
      </c>
      <c r="F369" s="11">
        <v>46025</v>
      </c>
      <c r="G369" t="s">
        <v>66</v>
      </c>
      <c r="H369" t="s">
        <v>36</v>
      </c>
      <c r="I369">
        <v>500</v>
      </c>
      <c r="J369" t="s">
        <v>23</v>
      </c>
      <c r="K369" t="s">
        <v>17</v>
      </c>
      <c r="L369" t="s">
        <v>18</v>
      </c>
      <c r="M369" t="s">
        <v>32</v>
      </c>
      <c r="Q369" s="1"/>
    </row>
    <row r="370" spans="1:17" x14ac:dyDescent="0.3">
      <c r="A370">
        <v>21</v>
      </c>
      <c r="B370">
        <v>11</v>
      </c>
      <c r="C370" s="11">
        <v>46116</v>
      </c>
      <c r="D370" t="s">
        <v>13</v>
      </c>
      <c r="E370">
        <v>500</v>
      </c>
      <c r="F370" s="11">
        <v>46177</v>
      </c>
      <c r="G370" t="s">
        <v>73</v>
      </c>
      <c r="H370" t="s">
        <v>30</v>
      </c>
      <c r="I370">
        <v>400</v>
      </c>
      <c r="J370" t="s">
        <v>16</v>
      </c>
      <c r="K370" t="s">
        <v>33</v>
      </c>
      <c r="L370" t="s">
        <v>18</v>
      </c>
      <c r="M370" t="s">
        <v>15</v>
      </c>
      <c r="Q370" s="1"/>
    </row>
    <row r="371" spans="1:17" x14ac:dyDescent="0.3">
      <c r="A371">
        <v>32</v>
      </c>
      <c r="B371">
        <v>16</v>
      </c>
      <c r="C371" s="11">
        <v>46238</v>
      </c>
      <c r="D371" t="s">
        <v>20</v>
      </c>
      <c r="E371">
        <v>2000</v>
      </c>
      <c r="F371" s="11">
        <v>46269</v>
      </c>
      <c r="G371" t="s">
        <v>55</v>
      </c>
      <c r="H371" t="s">
        <v>19</v>
      </c>
      <c r="I371">
        <v>700</v>
      </c>
      <c r="J371" t="s">
        <v>16</v>
      </c>
      <c r="K371" t="s">
        <v>17</v>
      </c>
      <c r="L371" t="s">
        <v>18</v>
      </c>
      <c r="M371" t="s">
        <v>41</v>
      </c>
      <c r="Q371" s="1"/>
    </row>
    <row r="372" spans="1:17" x14ac:dyDescent="0.3">
      <c r="A372">
        <v>17</v>
      </c>
      <c r="B372">
        <v>9</v>
      </c>
      <c r="C372" s="11">
        <v>46026</v>
      </c>
      <c r="D372" t="s">
        <v>13</v>
      </c>
      <c r="E372">
        <v>400</v>
      </c>
      <c r="F372" s="11">
        <v>46057</v>
      </c>
      <c r="G372" t="s">
        <v>27</v>
      </c>
      <c r="H372" t="s">
        <v>15</v>
      </c>
      <c r="I372">
        <v>200</v>
      </c>
      <c r="J372" t="s">
        <v>16</v>
      </c>
      <c r="K372" t="s">
        <v>33</v>
      </c>
      <c r="L372" t="s">
        <v>34</v>
      </c>
      <c r="M372" t="s">
        <v>19</v>
      </c>
      <c r="Q372" s="1"/>
    </row>
    <row r="373" spans="1:17" x14ac:dyDescent="0.3">
      <c r="A373">
        <v>25</v>
      </c>
      <c r="B373">
        <v>13</v>
      </c>
      <c r="C373" s="11">
        <v>46177</v>
      </c>
      <c r="D373" t="s">
        <v>20</v>
      </c>
      <c r="E373">
        <v>300</v>
      </c>
      <c r="F373" s="11">
        <v>46207</v>
      </c>
      <c r="G373" t="s">
        <v>39</v>
      </c>
      <c r="H373" t="s">
        <v>19</v>
      </c>
      <c r="I373">
        <v>800</v>
      </c>
      <c r="J373" t="s">
        <v>16</v>
      </c>
      <c r="K373" t="s">
        <v>17</v>
      </c>
      <c r="L373" t="s">
        <v>18</v>
      </c>
      <c r="M373" t="s">
        <v>41</v>
      </c>
      <c r="Q373" s="1"/>
    </row>
    <row r="374" spans="1:17" x14ac:dyDescent="0.3">
      <c r="A374">
        <v>19</v>
      </c>
      <c r="B374">
        <v>9</v>
      </c>
      <c r="C374" s="11">
        <v>46057</v>
      </c>
      <c r="D374" t="s">
        <v>13</v>
      </c>
      <c r="E374">
        <v>200</v>
      </c>
      <c r="F374" s="11">
        <v>46085</v>
      </c>
      <c r="G374" t="s">
        <v>60</v>
      </c>
      <c r="H374" t="s">
        <v>15</v>
      </c>
      <c r="I374">
        <v>300</v>
      </c>
      <c r="J374" t="s">
        <v>16</v>
      </c>
      <c r="K374" t="s">
        <v>33</v>
      </c>
      <c r="L374" t="s">
        <v>18</v>
      </c>
      <c r="M374" t="s">
        <v>19</v>
      </c>
      <c r="Q374" s="1"/>
    </row>
    <row r="375" spans="1:17" x14ac:dyDescent="0.3">
      <c r="A375">
        <v>34</v>
      </c>
      <c r="B375">
        <v>17</v>
      </c>
      <c r="C375" s="11">
        <v>46269</v>
      </c>
      <c r="D375" t="s">
        <v>20</v>
      </c>
      <c r="E375">
        <v>7000</v>
      </c>
      <c r="F375" s="11" t="s">
        <v>81</v>
      </c>
      <c r="G375" t="s">
        <v>35</v>
      </c>
      <c r="H375" t="s">
        <v>19</v>
      </c>
      <c r="I375">
        <v>900</v>
      </c>
      <c r="J375" t="s">
        <v>23</v>
      </c>
      <c r="K375" t="s">
        <v>17</v>
      </c>
      <c r="L375" t="s">
        <v>25</v>
      </c>
      <c r="M375" t="s">
        <v>41</v>
      </c>
      <c r="Q375" s="1"/>
    </row>
    <row r="376" spans="1:17" x14ac:dyDescent="0.3">
      <c r="A376">
        <v>22</v>
      </c>
      <c r="B376">
        <v>11</v>
      </c>
      <c r="C376" s="11">
        <v>46146</v>
      </c>
      <c r="D376" t="s">
        <v>13</v>
      </c>
      <c r="E376">
        <v>1000</v>
      </c>
      <c r="F376" s="11">
        <v>46207</v>
      </c>
      <c r="G376" t="s">
        <v>66</v>
      </c>
      <c r="H376" t="s">
        <v>15</v>
      </c>
      <c r="I376">
        <v>400</v>
      </c>
      <c r="J376" t="s">
        <v>16</v>
      </c>
      <c r="K376" t="s">
        <v>17</v>
      </c>
      <c r="L376" t="s">
        <v>18</v>
      </c>
      <c r="M376" t="s">
        <v>19</v>
      </c>
      <c r="Q376" s="1"/>
    </row>
    <row r="377" spans="1:17" x14ac:dyDescent="0.3">
      <c r="A377">
        <v>16</v>
      </c>
      <c r="B377">
        <v>8</v>
      </c>
      <c r="C377" s="11">
        <v>46237</v>
      </c>
      <c r="D377" t="s">
        <v>20</v>
      </c>
      <c r="E377">
        <v>400</v>
      </c>
      <c r="F377" s="11" t="s">
        <v>64</v>
      </c>
      <c r="G377" t="s">
        <v>31</v>
      </c>
      <c r="H377" t="s">
        <v>30</v>
      </c>
      <c r="I377">
        <v>200</v>
      </c>
      <c r="J377" t="s">
        <v>16</v>
      </c>
      <c r="K377" t="s">
        <v>33</v>
      </c>
      <c r="L377" t="s">
        <v>18</v>
      </c>
      <c r="M377" t="s">
        <v>15</v>
      </c>
      <c r="Q377" s="1"/>
    </row>
    <row r="378" spans="1:17" x14ac:dyDescent="0.3">
      <c r="A378">
        <v>10</v>
      </c>
      <c r="B378">
        <v>5</v>
      </c>
      <c r="C378" s="11">
        <v>46025</v>
      </c>
      <c r="D378" t="s">
        <v>13</v>
      </c>
      <c r="E378">
        <v>5000</v>
      </c>
      <c r="F378" s="11">
        <v>46056</v>
      </c>
      <c r="G378" t="s">
        <v>55</v>
      </c>
      <c r="H378" t="s">
        <v>36</v>
      </c>
      <c r="I378">
        <v>600</v>
      </c>
      <c r="J378" t="s">
        <v>23</v>
      </c>
      <c r="K378" t="s">
        <v>33</v>
      </c>
      <c r="L378" t="s">
        <v>34</v>
      </c>
      <c r="M378" t="s">
        <v>32</v>
      </c>
      <c r="Q378" s="1"/>
    </row>
    <row r="379" spans="1:17" x14ac:dyDescent="0.3">
      <c r="A379">
        <v>27</v>
      </c>
      <c r="B379">
        <v>13</v>
      </c>
      <c r="C379" s="11">
        <v>46177</v>
      </c>
      <c r="D379" t="s">
        <v>13</v>
      </c>
      <c r="E379">
        <v>1000</v>
      </c>
      <c r="F379" s="11">
        <v>46238</v>
      </c>
      <c r="G379" t="s">
        <v>42</v>
      </c>
      <c r="H379" t="s">
        <v>19</v>
      </c>
      <c r="I379">
        <v>800</v>
      </c>
      <c r="J379" t="s">
        <v>16</v>
      </c>
      <c r="K379" t="s">
        <v>33</v>
      </c>
      <c r="L379" t="s">
        <v>18</v>
      </c>
      <c r="M379" t="s">
        <v>41</v>
      </c>
      <c r="Q379" s="1"/>
    </row>
    <row r="380" spans="1:17" x14ac:dyDescent="0.3">
      <c r="A380">
        <v>7</v>
      </c>
      <c r="B380">
        <v>3</v>
      </c>
      <c r="C380" s="11">
        <v>46267</v>
      </c>
      <c r="D380" t="s">
        <v>20</v>
      </c>
      <c r="E380">
        <v>4000</v>
      </c>
      <c r="F380" s="11">
        <v>46025</v>
      </c>
      <c r="G380" t="s">
        <v>57</v>
      </c>
      <c r="H380" t="s">
        <v>36</v>
      </c>
      <c r="I380">
        <v>500</v>
      </c>
      <c r="J380" t="s">
        <v>23</v>
      </c>
      <c r="K380" t="s">
        <v>17</v>
      </c>
      <c r="L380" t="s">
        <v>18</v>
      </c>
      <c r="M380" t="s">
        <v>32</v>
      </c>
      <c r="Q380" s="1"/>
    </row>
    <row r="381" spans="1:17" x14ac:dyDescent="0.3">
      <c r="A381">
        <v>23</v>
      </c>
      <c r="B381">
        <v>11</v>
      </c>
      <c r="C381" s="11">
        <v>46116</v>
      </c>
      <c r="D381" t="s">
        <v>13</v>
      </c>
      <c r="E381">
        <v>800</v>
      </c>
      <c r="F381" s="11">
        <v>46177</v>
      </c>
      <c r="G381" t="s">
        <v>39</v>
      </c>
      <c r="H381" t="s">
        <v>30</v>
      </c>
      <c r="I381">
        <v>400</v>
      </c>
      <c r="J381" t="s">
        <v>16</v>
      </c>
      <c r="K381" t="s">
        <v>33</v>
      </c>
      <c r="L381" t="s">
        <v>18</v>
      </c>
      <c r="M381" t="s">
        <v>15</v>
      </c>
      <c r="Q381" s="1"/>
    </row>
    <row r="382" spans="1:17" x14ac:dyDescent="0.3">
      <c r="A382">
        <v>12</v>
      </c>
      <c r="B382">
        <v>6</v>
      </c>
      <c r="C382" s="11">
        <v>46084</v>
      </c>
      <c r="D382" t="s">
        <v>20</v>
      </c>
      <c r="E382">
        <v>2000</v>
      </c>
      <c r="F382" s="11">
        <v>46145</v>
      </c>
      <c r="G382" t="s">
        <v>66</v>
      </c>
      <c r="H382" t="s">
        <v>63</v>
      </c>
      <c r="I382">
        <v>500</v>
      </c>
      <c r="J382" t="s">
        <v>23</v>
      </c>
      <c r="K382" t="s">
        <v>17</v>
      </c>
      <c r="L382" t="s">
        <v>25</v>
      </c>
      <c r="M382" t="s">
        <v>28</v>
      </c>
      <c r="Q382" s="1"/>
    </row>
    <row r="383" spans="1:17" x14ac:dyDescent="0.3">
      <c r="A383">
        <v>28</v>
      </c>
      <c r="B383">
        <v>14</v>
      </c>
      <c r="C383" s="11">
        <v>46207</v>
      </c>
      <c r="D383" t="s">
        <v>13</v>
      </c>
      <c r="E383">
        <v>100</v>
      </c>
      <c r="F383" s="11">
        <v>46238</v>
      </c>
      <c r="G383" t="s">
        <v>60</v>
      </c>
      <c r="H383" t="s">
        <v>19</v>
      </c>
      <c r="I383">
        <v>800</v>
      </c>
      <c r="J383" t="s">
        <v>16</v>
      </c>
      <c r="K383" t="s">
        <v>17</v>
      </c>
      <c r="L383" t="s">
        <v>25</v>
      </c>
      <c r="M383" t="s">
        <v>41</v>
      </c>
      <c r="Q383" s="1"/>
    </row>
    <row r="384" spans="1:17" x14ac:dyDescent="0.3">
      <c r="A384">
        <v>16</v>
      </c>
      <c r="B384">
        <v>8</v>
      </c>
      <c r="C384" s="11">
        <v>46237</v>
      </c>
      <c r="D384" t="s">
        <v>20</v>
      </c>
      <c r="E384">
        <v>900</v>
      </c>
      <c r="F384" s="11" t="s">
        <v>64</v>
      </c>
      <c r="G384" t="s">
        <v>31</v>
      </c>
      <c r="H384" t="s">
        <v>30</v>
      </c>
      <c r="I384">
        <v>200</v>
      </c>
      <c r="J384" t="s">
        <v>16</v>
      </c>
      <c r="K384" t="s">
        <v>33</v>
      </c>
      <c r="L384" t="s">
        <v>18</v>
      </c>
      <c r="M384" t="s">
        <v>15</v>
      </c>
      <c r="Q384" s="1"/>
    </row>
    <row r="385" spans="1:17" x14ac:dyDescent="0.3">
      <c r="A385">
        <v>8</v>
      </c>
      <c r="B385">
        <v>4</v>
      </c>
      <c r="C385" s="11">
        <v>46056</v>
      </c>
      <c r="D385" t="s">
        <v>13</v>
      </c>
      <c r="E385">
        <v>3000</v>
      </c>
      <c r="F385" s="11">
        <v>46115</v>
      </c>
      <c r="G385" t="s">
        <v>77</v>
      </c>
      <c r="H385" t="s">
        <v>26</v>
      </c>
      <c r="I385">
        <v>400</v>
      </c>
      <c r="J385" t="s">
        <v>16</v>
      </c>
      <c r="K385" t="s">
        <v>17</v>
      </c>
      <c r="L385" t="s">
        <v>18</v>
      </c>
      <c r="M385" t="s">
        <v>43</v>
      </c>
      <c r="Q385" s="1"/>
    </row>
    <row r="386" spans="1:17" x14ac:dyDescent="0.3">
      <c r="A386">
        <v>31</v>
      </c>
      <c r="B386">
        <v>15</v>
      </c>
      <c r="C386" s="11">
        <v>46207</v>
      </c>
      <c r="D386" t="s">
        <v>20</v>
      </c>
      <c r="E386">
        <v>600</v>
      </c>
      <c r="F386" s="11">
        <v>46238</v>
      </c>
      <c r="G386" t="s">
        <v>66</v>
      </c>
      <c r="H386" t="s">
        <v>19</v>
      </c>
      <c r="I386">
        <v>700</v>
      </c>
      <c r="J386" t="s">
        <v>16</v>
      </c>
      <c r="K386" t="s">
        <v>17</v>
      </c>
      <c r="L386" t="s">
        <v>18</v>
      </c>
      <c r="M386" t="s">
        <v>41</v>
      </c>
      <c r="Q386" s="1"/>
    </row>
    <row r="387" spans="1:17" x14ac:dyDescent="0.3">
      <c r="A387">
        <v>20</v>
      </c>
      <c r="B387">
        <v>10</v>
      </c>
      <c r="C387" s="11">
        <v>46085</v>
      </c>
      <c r="D387" t="s">
        <v>13</v>
      </c>
      <c r="E387">
        <v>1000</v>
      </c>
      <c r="F387" s="11">
        <v>46116</v>
      </c>
      <c r="G387" t="s">
        <v>21</v>
      </c>
      <c r="H387" t="s">
        <v>15</v>
      </c>
      <c r="I387">
        <v>300</v>
      </c>
      <c r="J387" t="s">
        <v>16</v>
      </c>
      <c r="K387" t="s">
        <v>33</v>
      </c>
      <c r="L387" t="s">
        <v>18</v>
      </c>
      <c r="M387" t="s">
        <v>19</v>
      </c>
      <c r="Q387" s="1"/>
    </row>
    <row r="388" spans="1:17" x14ac:dyDescent="0.3">
      <c r="A388">
        <v>11</v>
      </c>
      <c r="B388">
        <v>5</v>
      </c>
      <c r="C388" s="11">
        <v>46056</v>
      </c>
      <c r="D388" t="s">
        <v>20</v>
      </c>
      <c r="E388">
        <v>4000</v>
      </c>
      <c r="F388" s="11">
        <v>46115</v>
      </c>
      <c r="G388" t="s">
        <v>69</v>
      </c>
      <c r="H388" t="s">
        <v>32</v>
      </c>
      <c r="I388">
        <v>500</v>
      </c>
      <c r="J388" t="s">
        <v>23</v>
      </c>
      <c r="K388" t="s">
        <v>17</v>
      </c>
      <c r="L388" t="s">
        <v>18</v>
      </c>
      <c r="M388" t="s">
        <v>26</v>
      </c>
      <c r="Q388" s="1"/>
    </row>
    <row r="389" spans="1:17" x14ac:dyDescent="0.3">
      <c r="A389">
        <v>28</v>
      </c>
      <c r="B389">
        <v>14</v>
      </c>
      <c r="C389" s="11">
        <v>46207</v>
      </c>
      <c r="D389" t="s">
        <v>13</v>
      </c>
      <c r="E389">
        <v>200</v>
      </c>
      <c r="F389" s="11">
        <v>46238</v>
      </c>
      <c r="G389" t="s">
        <v>60</v>
      </c>
      <c r="H389" t="s">
        <v>19</v>
      </c>
      <c r="I389">
        <v>800</v>
      </c>
      <c r="J389" t="s">
        <v>16</v>
      </c>
      <c r="K389" t="s">
        <v>17</v>
      </c>
      <c r="L389" t="s">
        <v>25</v>
      </c>
      <c r="M389" t="s">
        <v>41</v>
      </c>
      <c r="Q389" s="1"/>
    </row>
    <row r="390" spans="1:17" x14ac:dyDescent="0.3">
      <c r="A390">
        <v>15</v>
      </c>
      <c r="B390">
        <v>8</v>
      </c>
      <c r="C390" s="11">
        <v>46268</v>
      </c>
      <c r="D390" t="s">
        <v>20</v>
      </c>
      <c r="E390">
        <v>500</v>
      </c>
      <c r="F390" s="11">
        <v>46026</v>
      </c>
      <c r="G390" t="s">
        <v>39</v>
      </c>
      <c r="H390" t="s">
        <v>30</v>
      </c>
      <c r="I390">
        <v>200</v>
      </c>
      <c r="J390" t="s">
        <v>16</v>
      </c>
      <c r="K390" t="s">
        <v>33</v>
      </c>
      <c r="L390" t="s">
        <v>18</v>
      </c>
      <c r="M390" t="s">
        <v>15</v>
      </c>
      <c r="Q390" s="1"/>
    </row>
    <row r="391" spans="1:17" x14ac:dyDescent="0.3">
      <c r="A391">
        <v>9</v>
      </c>
      <c r="B391">
        <v>4</v>
      </c>
      <c r="C391" s="11">
        <v>46267</v>
      </c>
      <c r="D391" t="s">
        <v>13</v>
      </c>
      <c r="E391">
        <v>3000</v>
      </c>
      <c r="F391" s="11">
        <v>46025</v>
      </c>
      <c r="G391" t="s">
        <v>66</v>
      </c>
      <c r="H391" t="s">
        <v>36</v>
      </c>
      <c r="I391">
        <v>600</v>
      </c>
      <c r="J391" t="s">
        <v>23</v>
      </c>
      <c r="K391" t="s">
        <v>17</v>
      </c>
      <c r="L391" t="s">
        <v>18</v>
      </c>
      <c r="M391" t="s">
        <v>32</v>
      </c>
      <c r="Q391" s="1"/>
    </row>
    <row r="392" spans="1:17" x14ac:dyDescent="0.3">
      <c r="A392">
        <v>24</v>
      </c>
      <c r="B392">
        <v>12</v>
      </c>
      <c r="C392" s="11">
        <v>46146</v>
      </c>
      <c r="D392" t="s">
        <v>20</v>
      </c>
      <c r="E392">
        <v>900</v>
      </c>
      <c r="F392" s="11">
        <v>46177</v>
      </c>
      <c r="G392" t="s">
        <v>48</v>
      </c>
      <c r="H392" t="s">
        <v>15</v>
      </c>
      <c r="I392">
        <v>300</v>
      </c>
      <c r="J392" t="s">
        <v>16</v>
      </c>
      <c r="K392" t="s">
        <v>17</v>
      </c>
      <c r="L392" t="s">
        <v>18</v>
      </c>
      <c r="M392" t="s">
        <v>19</v>
      </c>
      <c r="Q392" s="1"/>
    </row>
    <row r="393" spans="1:17" x14ac:dyDescent="0.3">
      <c r="A393">
        <v>13</v>
      </c>
      <c r="B393">
        <v>7</v>
      </c>
      <c r="C393" s="11">
        <v>46206</v>
      </c>
      <c r="D393" t="s">
        <v>13</v>
      </c>
      <c r="E393">
        <v>100</v>
      </c>
      <c r="F393" s="11">
        <v>46237</v>
      </c>
      <c r="G393" t="s">
        <v>78</v>
      </c>
      <c r="H393" t="s">
        <v>28</v>
      </c>
      <c r="I393">
        <v>200</v>
      </c>
      <c r="J393" t="s">
        <v>16</v>
      </c>
      <c r="K393" t="s">
        <v>33</v>
      </c>
      <c r="L393" t="s">
        <v>34</v>
      </c>
      <c r="M393" t="s">
        <v>30</v>
      </c>
      <c r="Q393" s="1"/>
    </row>
    <row r="394" spans="1:17" x14ac:dyDescent="0.3">
      <c r="A394">
        <v>6</v>
      </c>
      <c r="B394">
        <v>3</v>
      </c>
      <c r="C394" s="11">
        <v>46267</v>
      </c>
      <c r="D394" t="s">
        <v>20</v>
      </c>
      <c r="E394">
        <v>6000</v>
      </c>
      <c r="F394" s="11">
        <v>46025</v>
      </c>
      <c r="G394" t="s">
        <v>66</v>
      </c>
      <c r="H394" t="s">
        <v>36</v>
      </c>
      <c r="I394">
        <v>500</v>
      </c>
      <c r="J394" t="s">
        <v>23</v>
      </c>
      <c r="K394" t="s">
        <v>17</v>
      </c>
      <c r="L394" t="s">
        <v>18</v>
      </c>
      <c r="M394" t="s">
        <v>32</v>
      </c>
      <c r="Q394" s="1"/>
    </row>
    <row r="395" spans="1:17" x14ac:dyDescent="0.3">
      <c r="A395">
        <v>21</v>
      </c>
      <c r="B395">
        <v>11</v>
      </c>
      <c r="C395" s="11">
        <v>46116</v>
      </c>
      <c r="D395" t="s">
        <v>13</v>
      </c>
      <c r="E395">
        <v>500</v>
      </c>
      <c r="F395" s="11">
        <v>46177</v>
      </c>
      <c r="G395" t="s">
        <v>73</v>
      </c>
      <c r="H395" t="s">
        <v>30</v>
      </c>
      <c r="I395">
        <v>400</v>
      </c>
      <c r="J395" t="s">
        <v>16</v>
      </c>
      <c r="K395" t="s">
        <v>33</v>
      </c>
      <c r="L395" t="s">
        <v>18</v>
      </c>
      <c r="M395" t="s">
        <v>15</v>
      </c>
      <c r="Q395" s="1"/>
    </row>
    <row r="396" spans="1:17" x14ac:dyDescent="0.3">
      <c r="A396">
        <v>32</v>
      </c>
      <c r="B396">
        <v>16</v>
      </c>
      <c r="C396" s="11">
        <v>46238</v>
      </c>
      <c r="D396" t="s">
        <v>20</v>
      </c>
      <c r="E396">
        <v>2000</v>
      </c>
      <c r="F396" s="11">
        <v>46269</v>
      </c>
      <c r="G396" t="s">
        <v>55</v>
      </c>
      <c r="H396" t="s">
        <v>19</v>
      </c>
      <c r="I396">
        <v>700</v>
      </c>
      <c r="J396" t="s">
        <v>16</v>
      </c>
      <c r="K396" t="s">
        <v>17</v>
      </c>
      <c r="L396" t="s">
        <v>18</v>
      </c>
      <c r="M396" t="s">
        <v>41</v>
      </c>
      <c r="Q396" s="1"/>
    </row>
    <row r="397" spans="1:17" x14ac:dyDescent="0.3">
      <c r="A397">
        <v>17</v>
      </c>
      <c r="B397">
        <v>9</v>
      </c>
      <c r="C397" s="11">
        <v>46026</v>
      </c>
      <c r="D397" t="s">
        <v>13</v>
      </c>
      <c r="E397">
        <v>400</v>
      </c>
      <c r="F397" s="11">
        <v>46057</v>
      </c>
      <c r="G397" t="s">
        <v>27</v>
      </c>
      <c r="H397" t="s">
        <v>15</v>
      </c>
      <c r="I397">
        <v>200</v>
      </c>
      <c r="J397" t="s">
        <v>16</v>
      </c>
      <c r="K397" t="s">
        <v>33</v>
      </c>
      <c r="L397" t="s">
        <v>34</v>
      </c>
      <c r="M397" t="s">
        <v>19</v>
      </c>
      <c r="Q397" s="1"/>
    </row>
    <row r="398" spans="1:17" x14ac:dyDescent="0.3">
      <c r="A398">
        <v>25</v>
      </c>
      <c r="B398">
        <v>13</v>
      </c>
      <c r="C398" s="11">
        <v>46177</v>
      </c>
      <c r="D398" t="s">
        <v>20</v>
      </c>
      <c r="E398">
        <v>300</v>
      </c>
      <c r="F398" s="11">
        <v>46207</v>
      </c>
      <c r="G398" t="s">
        <v>39</v>
      </c>
      <c r="H398" t="s">
        <v>19</v>
      </c>
      <c r="I398">
        <v>800</v>
      </c>
      <c r="J398" t="s">
        <v>16</v>
      </c>
      <c r="K398" t="s">
        <v>17</v>
      </c>
      <c r="L398" t="s">
        <v>18</v>
      </c>
      <c r="M398" t="s">
        <v>41</v>
      </c>
      <c r="Q398" s="1"/>
    </row>
    <row r="399" spans="1:17" x14ac:dyDescent="0.3">
      <c r="A399">
        <v>19</v>
      </c>
      <c r="B399">
        <v>9</v>
      </c>
      <c r="C399" s="11">
        <v>46057</v>
      </c>
      <c r="D399" t="s">
        <v>13</v>
      </c>
      <c r="E399">
        <v>200</v>
      </c>
      <c r="F399" s="11">
        <v>46085</v>
      </c>
      <c r="G399" t="s">
        <v>60</v>
      </c>
      <c r="H399" t="s">
        <v>15</v>
      </c>
      <c r="I399">
        <v>300</v>
      </c>
      <c r="J399" t="s">
        <v>16</v>
      </c>
      <c r="K399" t="s">
        <v>33</v>
      </c>
      <c r="L399" t="s">
        <v>18</v>
      </c>
      <c r="M399" t="s">
        <v>19</v>
      </c>
      <c r="Q399" s="1"/>
    </row>
    <row r="400" spans="1:17" x14ac:dyDescent="0.3">
      <c r="A400">
        <v>34</v>
      </c>
      <c r="B400">
        <v>17</v>
      </c>
      <c r="C400" s="11">
        <v>46269</v>
      </c>
      <c r="D400" t="s">
        <v>20</v>
      </c>
      <c r="E400">
        <v>7000</v>
      </c>
      <c r="F400" s="11" t="s">
        <v>81</v>
      </c>
      <c r="G400" t="s">
        <v>35</v>
      </c>
      <c r="H400" t="s">
        <v>19</v>
      </c>
      <c r="I400">
        <v>900</v>
      </c>
      <c r="J400" t="s">
        <v>23</v>
      </c>
      <c r="K400" t="s">
        <v>17</v>
      </c>
      <c r="L400" t="s">
        <v>25</v>
      </c>
      <c r="M400" t="s">
        <v>41</v>
      </c>
      <c r="Q400" s="1"/>
    </row>
    <row r="401" spans="1:17" x14ac:dyDescent="0.3">
      <c r="A401">
        <v>22</v>
      </c>
      <c r="B401">
        <v>11</v>
      </c>
      <c r="C401" s="11">
        <v>46146</v>
      </c>
      <c r="D401" t="s">
        <v>13</v>
      </c>
      <c r="E401">
        <v>1000</v>
      </c>
      <c r="F401" s="11">
        <v>46207</v>
      </c>
      <c r="G401" t="s">
        <v>66</v>
      </c>
      <c r="H401" t="s">
        <v>15</v>
      </c>
      <c r="I401">
        <v>400</v>
      </c>
      <c r="J401" t="s">
        <v>16</v>
      </c>
      <c r="K401" t="s">
        <v>17</v>
      </c>
      <c r="L401" t="s">
        <v>18</v>
      </c>
      <c r="M401" t="s">
        <v>19</v>
      </c>
      <c r="Q401" s="1"/>
    </row>
    <row r="402" spans="1:17" x14ac:dyDescent="0.3">
      <c r="A402">
        <v>16</v>
      </c>
      <c r="B402">
        <v>8</v>
      </c>
      <c r="C402" s="11">
        <v>46237</v>
      </c>
      <c r="D402" t="s">
        <v>20</v>
      </c>
      <c r="E402">
        <v>400</v>
      </c>
      <c r="F402" s="11" t="s">
        <v>64</v>
      </c>
      <c r="G402" t="s">
        <v>31</v>
      </c>
      <c r="H402" t="s">
        <v>30</v>
      </c>
      <c r="I402">
        <v>200</v>
      </c>
      <c r="J402" t="s">
        <v>16</v>
      </c>
      <c r="K402" t="s">
        <v>33</v>
      </c>
      <c r="L402" t="s">
        <v>18</v>
      </c>
      <c r="M402" t="s">
        <v>15</v>
      </c>
      <c r="Q402" s="1"/>
    </row>
    <row r="403" spans="1:17" x14ac:dyDescent="0.3">
      <c r="A403">
        <v>10</v>
      </c>
      <c r="B403">
        <v>5</v>
      </c>
      <c r="C403" s="11">
        <v>46025</v>
      </c>
      <c r="D403" t="s">
        <v>13</v>
      </c>
      <c r="E403">
        <v>5000</v>
      </c>
      <c r="F403" s="11">
        <v>46056</v>
      </c>
      <c r="G403" t="s">
        <v>55</v>
      </c>
      <c r="H403" t="s">
        <v>36</v>
      </c>
      <c r="I403">
        <v>600</v>
      </c>
      <c r="J403" t="s">
        <v>23</v>
      </c>
      <c r="K403" t="s">
        <v>33</v>
      </c>
      <c r="L403" t="s">
        <v>34</v>
      </c>
      <c r="M403" t="s">
        <v>32</v>
      </c>
      <c r="Q403" s="1"/>
    </row>
    <row r="404" spans="1:17" x14ac:dyDescent="0.3">
      <c r="A404">
        <v>27</v>
      </c>
      <c r="B404">
        <v>13</v>
      </c>
      <c r="C404" s="11">
        <v>46177</v>
      </c>
      <c r="D404" t="s">
        <v>13</v>
      </c>
      <c r="E404">
        <v>1000</v>
      </c>
      <c r="F404" s="11">
        <v>46238</v>
      </c>
      <c r="G404" t="s">
        <v>42</v>
      </c>
      <c r="H404" t="s">
        <v>19</v>
      </c>
      <c r="I404">
        <v>800</v>
      </c>
      <c r="J404" t="s">
        <v>16</v>
      </c>
      <c r="K404" t="s">
        <v>33</v>
      </c>
      <c r="L404" t="s">
        <v>18</v>
      </c>
      <c r="M404" t="s">
        <v>41</v>
      </c>
      <c r="Q404" s="1"/>
    </row>
    <row r="405" spans="1:17" x14ac:dyDescent="0.3">
      <c r="A405">
        <v>7</v>
      </c>
      <c r="B405">
        <v>3</v>
      </c>
      <c r="C405" s="11">
        <v>46267</v>
      </c>
      <c r="D405" t="s">
        <v>20</v>
      </c>
      <c r="E405">
        <v>4000</v>
      </c>
      <c r="F405" s="11">
        <v>46025</v>
      </c>
      <c r="G405" t="s">
        <v>57</v>
      </c>
      <c r="H405" t="s">
        <v>36</v>
      </c>
      <c r="I405">
        <v>500</v>
      </c>
      <c r="J405" t="s">
        <v>23</v>
      </c>
      <c r="K405" t="s">
        <v>17</v>
      </c>
      <c r="L405" t="s">
        <v>18</v>
      </c>
      <c r="M405" t="s">
        <v>32</v>
      </c>
      <c r="Q405" s="1"/>
    </row>
    <row r="406" spans="1:17" x14ac:dyDescent="0.3">
      <c r="A406">
        <v>23</v>
      </c>
      <c r="B406">
        <v>11</v>
      </c>
      <c r="C406" s="11">
        <v>46116</v>
      </c>
      <c r="D406" t="s">
        <v>13</v>
      </c>
      <c r="E406">
        <v>800</v>
      </c>
      <c r="F406" s="11">
        <v>46177</v>
      </c>
      <c r="G406" t="s">
        <v>39</v>
      </c>
      <c r="H406" t="s">
        <v>30</v>
      </c>
      <c r="I406">
        <v>400</v>
      </c>
      <c r="J406" t="s">
        <v>16</v>
      </c>
      <c r="K406" t="s">
        <v>33</v>
      </c>
      <c r="L406" t="s">
        <v>18</v>
      </c>
      <c r="M406" t="s">
        <v>15</v>
      </c>
      <c r="Q406" s="1"/>
    </row>
    <row r="407" spans="1:17" x14ac:dyDescent="0.3">
      <c r="A407">
        <v>12</v>
      </c>
      <c r="B407">
        <v>6</v>
      </c>
      <c r="C407" s="11">
        <v>46084</v>
      </c>
      <c r="D407" t="s">
        <v>20</v>
      </c>
      <c r="E407">
        <v>2000</v>
      </c>
      <c r="F407" s="11">
        <v>46145</v>
      </c>
      <c r="G407" t="s">
        <v>66</v>
      </c>
      <c r="H407" t="s">
        <v>63</v>
      </c>
      <c r="I407">
        <v>500</v>
      </c>
      <c r="J407" t="s">
        <v>23</v>
      </c>
      <c r="K407" t="s">
        <v>17</v>
      </c>
      <c r="L407" t="s">
        <v>25</v>
      </c>
      <c r="M407" t="s">
        <v>28</v>
      </c>
      <c r="Q407" s="1"/>
    </row>
    <row r="408" spans="1:17" x14ac:dyDescent="0.3">
      <c r="A408">
        <v>28</v>
      </c>
      <c r="B408">
        <v>14</v>
      </c>
      <c r="C408" s="11">
        <v>46207</v>
      </c>
      <c r="D408" t="s">
        <v>13</v>
      </c>
      <c r="E408">
        <v>100</v>
      </c>
      <c r="F408" s="11">
        <v>46238</v>
      </c>
      <c r="G408" t="s">
        <v>60</v>
      </c>
      <c r="H408" t="s">
        <v>19</v>
      </c>
      <c r="I408">
        <v>800</v>
      </c>
      <c r="J408" t="s">
        <v>16</v>
      </c>
      <c r="K408" t="s">
        <v>17</v>
      </c>
      <c r="L408" t="s">
        <v>25</v>
      </c>
      <c r="M408" t="s">
        <v>41</v>
      </c>
      <c r="Q408" s="1"/>
    </row>
    <row r="409" spans="1:17" x14ac:dyDescent="0.3">
      <c r="A409">
        <v>16</v>
      </c>
      <c r="B409">
        <v>8</v>
      </c>
      <c r="C409" s="11">
        <v>46237</v>
      </c>
      <c r="D409" t="s">
        <v>20</v>
      </c>
      <c r="E409">
        <v>900</v>
      </c>
      <c r="F409" s="11" t="s">
        <v>64</v>
      </c>
      <c r="G409" t="s">
        <v>31</v>
      </c>
      <c r="H409" t="s">
        <v>30</v>
      </c>
      <c r="I409">
        <v>200</v>
      </c>
      <c r="J409" t="s">
        <v>16</v>
      </c>
      <c r="K409" t="s">
        <v>33</v>
      </c>
      <c r="L409" t="s">
        <v>18</v>
      </c>
      <c r="M409" t="s">
        <v>15</v>
      </c>
      <c r="Q409" s="1"/>
    </row>
    <row r="410" spans="1:17" x14ac:dyDescent="0.3">
      <c r="A410">
        <v>8</v>
      </c>
      <c r="B410">
        <v>4</v>
      </c>
      <c r="C410" s="11">
        <v>46056</v>
      </c>
      <c r="D410" t="s">
        <v>13</v>
      </c>
      <c r="E410">
        <v>3000</v>
      </c>
      <c r="F410" s="11">
        <v>46115</v>
      </c>
      <c r="G410" t="s">
        <v>77</v>
      </c>
      <c r="H410" t="s">
        <v>26</v>
      </c>
      <c r="I410">
        <v>400</v>
      </c>
      <c r="J410" t="s">
        <v>16</v>
      </c>
      <c r="K410" t="s">
        <v>17</v>
      </c>
      <c r="L410" t="s">
        <v>18</v>
      </c>
      <c r="M410" t="s">
        <v>43</v>
      </c>
      <c r="Q410" s="1"/>
    </row>
    <row r="411" spans="1:17" x14ac:dyDescent="0.3">
      <c r="A411">
        <v>31</v>
      </c>
      <c r="B411">
        <v>15</v>
      </c>
      <c r="C411" s="11">
        <v>46207</v>
      </c>
      <c r="D411" t="s">
        <v>20</v>
      </c>
      <c r="E411">
        <v>600</v>
      </c>
      <c r="F411" s="11">
        <v>46238</v>
      </c>
      <c r="G411" t="s">
        <v>66</v>
      </c>
      <c r="H411" t="s">
        <v>19</v>
      </c>
      <c r="I411">
        <v>700</v>
      </c>
      <c r="J411" t="s">
        <v>16</v>
      </c>
      <c r="K411" t="s">
        <v>17</v>
      </c>
      <c r="L411" t="s">
        <v>18</v>
      </c>
      <c r="M411" t="s">
        <v>41</v>
      </c>
      <c r="Q411" s="1"/>
    </row>
    <row r="412" spans="1:17" x14ac:dyDescent="0.3">
      <c r="A412">
        <v>20</v>
      </c>
      <c r="B412">
        <v>10</v>
      </c>
      <c r="C412" s="11">
        <v>46085</v>
      </c>
      <c r="D412" t="s">
        <v>13</v>
      </c>
      <c r="E412">
        <v>1000</v>
      </c>
      <c r="F412" s="11">
        <v>46116</v>
      </c>
      <c r="G412" t="s">
        <v>21</v>
      </c>
      <c r="H412" t="s">
        <v>15</v>
      </c>
      <c r="I412">
        <v>300</v>
      </c>
      <c r="J412" t="s">
        <v>16</v>
      </c>
      <c r="K412" t="s">
        <v>33</v>
      </c>
      <c r="L412" t="s">
        <v>18</v>
      </c>
      <c r="M412" t="s">
        <v>19</v>
      </c>
      <c r="Q412" s="1"/>
    </row>
    <row r="413" spans="1:17" x14ac:dyDescent="0.3">
      <c r="A413">
        <v>11</v>
      </c>
      <c r="B413">
        <v>5</v>
      </c>
      <c r="C413" s="11">
        <v>46056</v>
      </c>
      <c r="D413" t="s">
        <v>20</v>
      </c>
      <c r="E413">
        <v>4000</v>
      </c>
      <c r="F413" s="11">
        <v>46115</v>
      </c>
      <c r="G413" t="s">
        <v>69</v>
      </c>
      <c r="H413" t="s">
        <v>32</v>
      </c>
      <c r="I413">
        <v>500</v>
      </c>
      <c r="J413" t="s">
        <v>23</v>
      </c>
      <c r="K413" t="s">
        <v>17</v>
      </c>
      <c r="L413" t="s">
        <v>18</v>
      </c>
      <c r="M413" t="s">
        <v>26</v>
      </c>
      <c r="Q413" s="1"/>
    </row>
    <row r="414" spans="1:17" x14ac:dyDescent="0.3">
      <c r="A414">
        <v>28</v>
      </c>
      <c r="B414">
        <v>14</v>
      </c>
      <c r="C414" s="11">
        <v>46207</v>
      </c>
      <c r="D414" t="s">
        <v>13</v>
      </c>
      <c r="E414">
        <v>200</v>
      </c>
      <c r="F414" s="11">
        <v>46238</v>
      </c>
      <c r="G414" t="s">
        <v>60</v>
      </c>
      <c r="H414" t="s">
        <v>19</v>
      </c>
      <c r="I414">
        <v>800</v>
      </c>
      <c r="J414" t="s">
        <v>16</v>
      </c>
      <c r="K414" t="s">
        <v>17</v>
      </c>
      <c r="L414" t="s">
        <v>25</v>
      </c>
      <c r="M414" t="s">
        <v>41</v>
      </c>
      <c r="Q414" s="1"/>
    </row>
    <row r="415" spans="1:17" x14ac:dyDescent="0.3">
      <c r="A415">
        <v>15</v>
      </c>
      <c r="B415">
        <v>8</v>
      </c>
      <c r="C415" s="11">
        <v>46268</v>
      </c>
      <c r="D415" t="s">
        <v>20</v>
      </c>
      <c r="E415">
        <v>500</v>
      </c>
      <c r="F415" s="11">
        <v>46026</v>
      </c>
      <c r="G415" t="s">
        <v>39</v>
      </c>
      <c r="H415" t="s">
        <v>30</v>
      </c>
      <c r="I415">
        <v>200</v>
      </c>
      <c r="J415" t="s">
        <v>16</v>
      </c>
      <c r="K415" t="s">
        <v>33</v>
      </c>
      <c r="L415" t="s">
        <v>18</v>
      </c>
      <c r="M415" t="s">
        <v>15</v>
      </c>
      <c r="Q415" s="1"/>
    </row>
    <row r="416" spans="1:17" x14ac:dyDescent="0.3">
      <c r="A416">
        <v>9</v>
      </c>
      <c r="B416">
        <v>4</v>
      </c>
      <c r="C416" s="11">
        <v>46267</v>
      </c>
      <c r="D416" t="s">
        <v>13</v>
      </c>
      <c r="E416">
        <v>3000</v>
      </c>
      <c r="F416" s="11">
        <v>46025</v>
      </c>
      <c r="G416" t="s">
        <v>66</v>
      </c>
      <c r="H416" t="s">
        <v>36</v>
      </c>
      <c r="I416">
        <v>600</v>
      </c>
      <c r="J416" t="s">
        <v>23</v>
      </c>
      <c r="K416" t="s">
        <v>17</v>
      </c>
      <c r="L416" t="s">
        <v>18</v>
      </c>
      <c r="M416" t="s">
        <v>32</v>
      </c>
      <c r="Q416" s="1"/>
    </row>
    <row r="417" spans="1:17" x14ac:dyDescent="0.3">
      <c r="A417">
        <v>24</v>
      </c>
      <c r="B417">
        <v>12</v>
      </c>
      <c r="C417" s="11">
        <v>46146</v>
      </c>
      <c r="D417" t="s">
        <v>20</v>
      </c>
      <c r="E417">
        <v>900</v>
      </c>
      <c r="F417" s="11">
        <v>46177</v>
      </c>
      <c r="G417" t="s">
        <v>48</v>
      </c>
      <c r="H417" t="s">
        <v>15</v>
      </c>
      <c r="I417">
        <v>300</v>
      </c>
      <c r="J417" t="s">
        <v>16</v>
      </c>
      <c r="K417" t="s">
        <v>17</v>
      </c>
      <c r="L417" t="s">
        <v>18</v>
      </c>
      <c r="M417" t="s">
        <v>19</v>
      </c>
      <c r="Q417" s="1"/>
    </row>
    <row r="418" spans="1:17" x14ac:dyDescent="0.3">
      <c r="A418">
        <v>13</v>
      </c>
      <c r="B418">
        <v>7</v>
      </c>
      <c r="C418" s="11">
        <v>46206</v>
      </c>
      <c r="D418" t="s">
        <v>13</v>
      </c>
      <c r="E418">
        <v>100</v>
      </c>
      <c r="F418" s="11">
        <v>46237</v>
      </c>
      <c r="G418" t="s">
        <v>78</v>
      </c>
      <c r="H418" t="s">
        <v>28</v>
      </c>
      <c r="I418">
        <v>200</v>
      </c>
      <c r="J418" t="s">
        <v>16</v>
      </c>
      <c r="K418" t="s">
        <v>33</v>
      </c>
      <c r="L418" t="s">
        <v>34</v>
      </c>
      <c r="M418" t="s">
        <v>30</v>
      </c>
      <c r="Q418" s="1"/>
    </row>
    <row r="419" spans="1:17" x14ac:dyDescent="0.3">
      <c r="A419">
        <v>6</v>
      </c>
      <c r="B419">
        <v>3</v>
      </c>
      <c r="C419" s="11">
        <v>46267</v>
      </c>
      <c r="D419" t="s">
        <v>20</v>
      </c>
      <c r="E419">
        <v>6000</v>
      </c>
      <c r="F419" s="11">
        <v>46025</v>
      </c>
      <c r="G419" t="s">
        <v>66</v>
      </c>
      <c r="H419" t="s">
        <v>36</v>
      </c>
      <c r="I419">
        <v>500</v>
      </c>
      <c r="J419" t="s">
        <v>23</v>
      </c>
      <c r="K419" t="s">
        <v>17</v>
      </c>
      <c r="L419" t="s">
        <v>18</v>
      </c>
      <c r="M419" t="s">
        <v>32</v>
      </c>
      <c r="Q419" s="1"/>
    </row>
    <row r="420" spans="1:17" x14ac:dyDescent="0.3">
      <c r="A420">
        <v>21</v>
      </c>
      <c r="B420">
        <v>11</v>
      </c>
      <c r="C420" s="11">
        <v>46116</v>
      </c>
      <c r="D420" t="s">
        <v>13</v>
      </c>
      <c r="E420">
        <v>500</v>
      </c>
      <c r="F420" s="11">
        <v>46177</v>
      </c>
      <c r="G420" t="s">
        <v>73</v>
      </c>
      <c r="H420" t="s">
        <v>30</v>
      </c>
      <c r="I420">
        <v>400</v>
      </c>
      <c r="J420" t="s">
        <v>16</v>
      </c>
      <c r="K420" t="s">
        <v>33</v>
      </c>
      <c r="L420" t="s">
        <v>18</v>
      </c>
      <c r="M420" t="s">
        <v>15</v>
      </c>
      <c r="Q420" s="1"/>
    </row>
    <row r="421" spans="1:17" x14ac:dyDescent="0.3">
      <c r="A421">
        <v>32</v>
      </c>
      <c r="B421">
        <v>16</v>
      </c>
      <c r="C421" s="11">
        <v>46238</v>
      </c>
      <c r="D421" t="s">
        <v>20</v>
      </c>
      <c r="E421">
        <v>2000</v>
      </c>
      <c r="F421" s="11">
        <v>46269</v>
      </c>
      <c r="G421" t="s">
        <v>55</v>
      </c>
      <c r="H421" t="s">
        <v>19</v>
      </c>
      <c r="I421">
        <v>700</v>
      </c>
      <c r="J421" t="s">
        <v>16</v>
      </c>
      <c r="K421" t="s">
        <v>17</v>
      </c>
      <c r="L421" t="s">
        <v>18</v>
      </c>
      <c r="M421" t="s">
        <v>41</v>
      </c>
      <c r="Q421" s="1"/>
    </row>
    <row r="422" spans="1:17" x14ac:dyDescent="0.3">
      <c r="A422">
        <v>17</v>
      </c>
      <c r="B422">
        <v>9</v>
      </c>
      <c r="C422" s="11">
        <v>46026</v>
      </c>
      <c r="D422" t="s">
        <v>13</v>
      </c>
      <c r="E422">
        <v>400</v>
      </c>
      <c r="F422" s="11">
        <v>46057</v>
      </c>
      <c r="G422" t="s">
        <v>27</v>
      </c>
      <c r="H422" t="s">
        <v>15</v>
      </c>
      <c r="I422">
        <v>200</v>
      </c>
      <c r="J422" t="s">
        <v>16</v>
      </c>
      <c r="K422" t="s">
        <v>33</v>
      </c>
      <c r="L422" t="s">
        <v>34</v>
      </c>
      <c r="M422" t="s">
        <v>19</v>
      </c>
      <c r="Q422" s="1"/>
    </row>
    <row r="423" spans="1:17" x14ac:dyDescent="0.3">
      <c r="A423">
        <v>25</v>
      </c>
      <c r="B423">
        <v>13</v>
      </c>
      <c r="C423" s="11">
        <v>46177</v>
      </c>
      <c r="D423" t="s">
        <v>20</v>
      </c>
      <c r="E423">
        <v>300</v>
      </c>
      <c r="F423" s="11">
        <v>46207</v>
      </c>
      <c r="G423" t="s">
        <v>39</v>
      </c>
      <c r="H423" t="s">
        <v>19</v>
      </c>
      <c r="I423">
        <v>800</v>
      </c>
      <c r="J423" t="s">
        <v>16</v>
      </c>
      <c r="K423" t="s">
        <v>17</v>
      </c>
      <c r="L423" t="s">
        <v>18</v>
      </c>
      <c r="M423" t="s">
        <v>41</v>
      </c>
      <c r="Q423" s="1"/>
    </row>
    <row r="424" spans="1:17" x14ac:dyDescent="0.3">
      <c r="A424">
        <v>19</v>
      </c>
      <c r="B424">
        <v>9</v>
      </c>
      <c r="C424" s="11">
        <v>46057</v>
      </c>
      <c r="D424" t="s">
        <v>13</v>
      </c>
      <c r="E424">
        <v>200</v>
      </c>
      <c r="F424" s="11">
        <v>46085</v>
      </c>
      <c r="G424" t="s">
        <v>60</v>
      </c>
      <c r="H424" t="s">
        <v>15</v>
      </c>
      <c r="I424">
        <v>300</v>
      </c>
      <c r="J424" t="s">
        <v>16</v>
      </c>
      <c r="K424" t="s">
        <v>33</v>
      </c>
      <c r="L424" t="s">
        <v>18</v>
      </c>
      <c r="M424" t="s">
        <v>19</v>
      </c>
      <c r="Q424" s="1"/>
    </row>
    <row r="425" spans="1:17" x14ac:dyDescent="0.3">
      <c r="A425">
        <v>34</v>
      </c>
      <c r="B425">
        <v>17</v>
      </c>
      <c r="C425" s="11">
        <v>46269</v>
      </c>
      <c r="D425" t="s">
        <v>20</v>
      </c>
      <c r="E425">
        <v>7000</v>
      </c>
      <c r="F425" s="11" t="s">
        <v>81</v>
      </c>
      <c r="G425" t="s">
        <v>35</v>
      </c>
      <c r="H425" t="s">
        <v>19</v>
      </c>
      <c r="I425">
        <v>900</v>
      </c>
      <c r="J425" t="s">
        <v>23</v>
      </c>
      <c r="K425" t="s">
        <v>17</v>
      </c>
      <c r="L425" t="s">
        <v>25</v>
      </c>
      <c r="M425" t="s">
        <v>41</v>
      </c>
      <c r="Q425" s="1"/>
    </row>
    <row r="426" spans="1:17" x14ac:dyDescent="0.3">
      <c r="A426">
        <v>22</v>
      </c>
      <c r="B426">
        <v>11</v>
      </c>
      <c r="C426" s="11">
        <v>46146</v>
      </c>
      <c r="D426" t="s">
        <v>13</v>
      </c>
      <c r="E426">
        <v>1000</v>
      </c>
      <c r="F426" s="11">
        <v>46207</v>
      </c>
      <c r="G426" t="s">
        <v>66</v>
      </c>
      <c r="H426" t="s">
        <v>15</v>
      </c>
      <c r="I426">
        <v>400</v>
      </c>
      <c r="J426" t="s">
        <v>16</v>
      </c>
      <c r="K426" t="s">
        <v>17</v>
      </c>
      <c r="L426" t="s">
        <v>18</v>
      </c>
      <c r="M426" t="s">
        <v>19</v>
      </c>
      <c r="Q426" s="1"/>
    </row>
    <row r="427" spans="1:17" x14ac:dyDescent="0.3">
      <c r="A427">
        <v>16</v>
      </c>
      <c r="B427">
        <v>8</v>
      </c>
      <c r="C427" s="11">
        <v>46237</v>
      </c>
      <c r="D427" t="s">
        <v>20</v>
      </c>
      <c r="E427">
        <v>400</v>
      </c>
      <c r="F427" s="11" t="s">
        <v>64</v>
      </c>
      <c r="G427" t="s">
        <v>31</v>
      </c>
      <c r="H427" t="s">
        <v>30</v>
      </c>
      <c r="I427">
        <v>200</v>
      </c>
      <c r="J427" t="s">
        <v>16</v>
      </c>
      <c r="K427" t="s">
        <v>33</v>
      </c>
      <c r="L427" t="s">
        <v>18</v>
      </c>
      <c r="M427" t="s">
        <v>15</v>
      </c>
      <c r="Q427" s="1"/>
    </row>
    <row r="428" spans="1:17" x14ac:dyDescent="0.3">
      <c r="A428">
        <v>10</v>
      </c>
      <c r="B428">
        <v>5</v>
      </c>
      <c r="C428" s="11">
        <v>46025</v>
      </c>
      <c r="D428" t="s">
        <v>13</v>
      </c>
      <c r="E428">
        <v>5000</v>
      </c>
      <c r="F428" s="11">
        <v>46056</v>
      </c>
      <c r="G428" t="s">
        <v>55</v>
      </c>
      <c r="H428" t="s">
        <v>36</v>
      </c>
      <c r="I428">
        <v>600</v>
      </c>
      <c r="J428" t="s">
        <v>23</v>
      </c>
      <c r="K428" t="s">
        <v>33</v>
      </c>
      <c r="L428" t="s">
        <v>34</v>
      </c>
      <c r="M428" t="s">
        <v>32</v>
      </c>
      <c r="Q428" s="1"/>
    </row>
    <row r="429" spans="1:17" x14ac:dyDescent="0.3">
      <c r="A429">
        <v>27</v>
      </c>
      <c r="B429">
        <v>13</v>
      </c>
      <c r="C429" s="11">
        <v>46177</v>
      </c>
      <c r="D429" t="s">
        <v>13</v>
      </c>
      <c r="E429">
        <v>1000</v>
      </c>
      <c r="F429" s="11">
        <v>46238</v>
      </c>
      <c r="G429" t="s">
        <v>42</v>
      </c>
      <c r="H429" t="s">
        <v>19</v>
      </c>
      <c r="I429">
        <v>800</v>
      </c>
      <c r="J429" t="s">
        <v>16</v>
      </c>
      <c r="K429" t="s">
        <v>33</v>
      </c>
      <c r="L429" t="s">
        <v>18</v>
      </c>
      <c r="M429" t="s">
        <v>41</v>
      </c>
      <c r="Q429" s="1"/>
    </row>
    <row r="430" spans="1:17" x14ac:dyDescent="0.3">
      <c r="A430">
        <v>7</v>
      </c>
      <c r="B430">
        <v>3</v>
      </c>
      <c r="C430" s="11">
        <v>46267</v>
      </c>
      <c r="D430" t="s">
        <v>20</v>
      </c>
      <c r="E430">
        <v>4000</v>
      </c>
      <c r="F430" s="11">
        <v>46025</v>
      </c>
      <c r="G430" t="s">
        <v>57</v>
      </c>
      <c r="H430" t="s">
        <v>36</v>
      </c>
      <c r="I430">
        <v>500</v>
      </c>
      <c r="J430" t="s">
        <v>23</v>
      </c>
      <c r="K430" t="s">
        <v>17</v>
      </c>
      <c r="L430" t="s">
        <v>18</v>
      </c>
      <c r="M430" t="s">
        <v>32</v>
      </c>
      <c r="Q430" s="1"/>
    </row>
    <row r="431" spans="1:17" x14ac:dyDescent="0.3">
      <c r="A431">
        <v>23</v>
      </c>
      <c r="B431">
        <v>11</v>
      </c>
      <c r="C431" s="11">
        <v>46116</v>
      </c>
      <c r="D431" t="s">
        <v>13</v>
      </c>
      <c r="E431">
        <v>800</v>
      </c>
      <c r="F431" s="11">
        <v>46177</v>
      </c>
      <c r="G431" t="s">
        <v>39</v>
      </c>
      <c r="H431" t="s">
        <v>30</v>
      </c>
      <c r="I431">
        <v>400</v>
      </c>
      <c r="J431" t="s">
        <v>16</v>
      </c>
      <c r="K431" t="s">
        <v>33</v>
      </c>
      <c r="L431" t="s">
        <v>18</v>
      </c>
      <c r="M431" t="s">
        <v>15</v>
      </c>
      <c r="Q431" s="1"/>
    </row>
    <row r="432" spans="1:17" x14ac:dyDescent="0.3">
      <c r="A432">
        <v>12</v>
      </c>
      <c r="B432">
        <v>6</v>
      </c>
      <c r="C432" s="11">
        <v>46084</v>
      </c>
      <c r="D432" t="s">
        <v>20</v>
      </c>
      <c r="E432">
        <v>2000</v>
      </c>
      <c r="F432" s="11">
        <v>46145</v>
      </c>
      <c r="G432" t="s">
        <v>66</v>
      </c>
      <c r="H432" t="s">
        <v>63</v>
      </c>
      <c r="I432">
        <v>500</v>
      </c>
      <c r="J432" t="s">
        <v>23</v>
      </c>
      <c r="K432" t="s">
        <v>17</v>
      </c>
      <c r="L432" t="s">
        <v>25</v>
      </c>
      <c r="M432" t="s">
        <v>28</v>
      </c>
      <c r="Q432" s="1"/>
    </row>
    <row r="433" spans="1:17" x14ac:dyDescent="0.3">
      <c r="A433">
        <v>28</v>
      </c>
      <c r="B433">
        <v>14</v>
      </c>
      <c r="C433" s="11">
        <v>46207</v>
      </c>
      <c r="D433" t="s">
        <v>13</v>
      </c>
      <c r="E433">
        <v>100</v>
      </c>
      <c r="F433" s="11">
        <v>46238</v>
      </c>
      <c r="G433" t="s">
        <v>60</v>
      </c>
      <c r="H433" t="s">
        <v>19</v>
      </c>
      <c r="I433">
        <v>800</v>
      </c>
      <c r="J433" t="s">
        <v>16</v>
      </c>
      <c r="K433" t="s">
        <v>17</v>
      </c>
      <c r="L433" t="s">
        <v>25</v>
      </c>
      <c r="M433" t="s">
        <v>41</v>
      </c>
      <c r="Q433" s="1"/>
    </row>
    <row r="434" spans="1:17" x14ac:dyDescent="0.3">
      <c r="A434">
        <v>16</v>
      </c>
      <c r="B434">
        <v>8</v>
      </c>
      <c r="C434" s="11">
        <v>46237</v>
      </c>
      <c r="D434" t="s">
        <v>20</v>
      </c>
      <c r="E434">
        <v>900</v>
      </c>
      <c r="F434" s="11" t="s">
        <v>64</v>
      </c>
      <c r="G434" t="s">
        <v>31</v>
      </c>
      <c r="H434" t="s">
        <v>30</v>
      </c>
      <c r="I434">
        <v>200</v>
      </c>
      <c r="J434" t="s">
        <v>16</v>
      </c>
      <c r="K434" t="s">
        <v>33</v>
      </c>
      <c r="L434" t="s">
        <v>18</v>
      </c>
      <c r="M434" t="s">
        <v>15</v>
      </c>
      <c r="Q434" s="1"/>
    </row>
    <row r="435" spans="1:17" x14ac:dyDescent="0.3">
      <c r="A435">
        <v>8</v>
      </c>
      <c r="B435">
        <v>4</v>
      </c>
      <c r="C435" s="11">
        <v>46056</v>
      </c>
      <c r="D435" t="s">
        <v>13</v>
      </c>
      <c r="E435">
        <v>3000</v>
      </c>
      <c r="F435" s="11">
        <v>46115</v>
      </c>
      <c r="G435" t="s">
        <v>77</v>
      </c>
      <c r="H435" t="s">
        <v>26</v>
      </c>
      <c r="I435">
        <v>400</v>
      </c>
      <c r="J435" t="s">
        <v>16</v>
      </c>
      <c r="K435" t="s">
        <v>17</v>
      </c>
      <c r="L435" t="s">
        <v>18</v>
      </c>
      <c r="M435" t="s">
        <v>43</v>
      </c>
      <c r="Q435" s="1"/>
    </row>
    <row r="436" spans="1:17" x14ac:dyDescent="0.3">
      <c r="A436">
        <v>31</v>
      </c>
      <c r="B436">
        <v>15</v>
      </c>
      <c r="C436" s="11">
        <v>46207</v>
      </c>
      <c r="D436" t="s">
        <v>20</v>
      </c>
      <c r="E436">
        <v>600</v>
      </c>
      <c r="F436" s="11">
        <v>46238</v>
      </c>
      <c r="G436" t="s">
        <v>66</v>
      </c>
      <c r="H436" t="s">
        <v>19</v>
      </c>
      <c r="I436">
        <v>700</v>
      </c>
      <c r="J436" t="s">
        <v>16</v>
      </c>
      <c r="K436" t="s">
        <v>17</v>
      </c>
      <c r="L436" t="s">
        <v>18</v>
      </c>
      <c r="M436" t="s">
        <v>41</v>
      </c>
      <c r="Q436" s="1"/>
    </row>
    <row r="437" spans="1:17" x14ac:dyDescent="0.3">
      <c r="A437">
        <v>20</v>
      </c>
      <c r="B437">
        <v>10</v>
      </c>
      <c r="C437" s="11">
        <v>46085</v>
      </c>
      <c r="D437" t="s">
        <v>13</v>
      </c>
      <c r="E437">
        <v>1000</v>
      </c>
      <c r="F437" s="11">
        <v>46116</v>
      </c>
      <c r="G437" t="s">
        <v>21</v>
      </c>
      <c r="H437" t="s">
        <v>15</v>
      </c>
      <c r="I437">
        <v>300</v>
      </c>
      <c r="J437" t="s">
        <v>16</v>
      </c>
      <c r="K437" t="s">
        <v>33</v>
      </c>
      <c r="L437" t="s">
        <v>18</v>
      </c>
      <c r="M437" t="s">
        <v>19</v>
      </c>
      <c r="Q437" s="1"/>
    </row>
    <row r="438" spans="1:17" x14ac:dyDescent="0.3">
      <c r="A438">
        <v>11</v>
      </c>
      <c r="B438">
        <v>5</v>
      </c>
      <c r="C438" s="11">
        <v>46056</v>
      </c>
      <c r="D438" t="s">
        <v>20</v>
      </c>
      <c r="E438">
        <v>4000</v>
      </c>
      <c r="F438" s="11">
        <v>46115</v>
      </c>
      <c r="G438" t="s">
        <v>69</v>
      </c>
      <c r="H438" t="s">
        <v>32</v>
      </c>
      <c r="I438">
        <v>500</v>
      </c>
      <c r="J438" t="s">
        <v>23</v>
      </c>
      <c r="K438" t="s">
        <v>17</v>
      </c>
      <c r="L438" t="s">
        <v>18</v>
      </c>
      <c r="M438" t="s">
        <v>26</v>
      </c>
      <c r="Q438" s="1"/>
    </row>
    <row r="439" spans="1:17" x14ac:dyDescent="0.3">
      <c r="A439">
        <v>28</v>
      </c>
      <c r="B439">
        <v>14</v>
      </c>
      <c r="C439" s="11">
        <v>46207</v>
      </c>
      <c r="D439" t="s">
        <v>13</v>
      </c>
      <c r="E439">
        <v>200</v>
      </c>
      <c r="F439" s="11">
        <v>46238</v>
      </c>
      <c r="G439" t="s">
        <v>60</v>
      </c>
      <c r="H439" t="s">
        <v>19</v>
      </c>
      <c r="I439">
        <v>800</v>
      </c>
      <c r="J439" t="s">
        <v>16</v>
      </c>
      <c r="K439" t="s">
        <v>17</v>
      </c>
      <c r="L439" t="s">
        <v>25</v>
      </c>
      <c r="M439" t="s">
        <v>41</v>
      </c>
      <c r="Q439" s="1"/>
    </row>
    <row r="440" spans="1:17" x14ac:dyDescent="0.3">
      <c r="A440">
        <v>15</v>
      </c>
      <c r="B440">
        <v>8</v>
      </c>
      <c r="C440" s="11">
        <v>46268</v>
      </c>
      <c r="D440" t="s">
        <v>20</v>
      </c>
      <c r="E440">
        <v>500</v>
      </c>
      <c r="F440" s="11">
        <v>46026</v>
      </c>
      <c r="G440" t="s">
        <v>39</v>
      </c>
      <c r="H440" t="s">
        <v>30</v>
      </c>
      <c r="I440">
        <v>200</v>
      </c>
      <c r="J440" t="s">
        <v>16</v>
      </c>
      <c r="K440" t="s">
        <v>33</v>
      </c>
      <c r="L440" t="s">
        <v>18</v>
      </c>
      <c r="M440" t="s">
        <v>15</v>
      </c>
      <c r="Q440" s="1"/>
    </row>
    <row r="441" spans="1:17" x14ac:dyDescent="0.3">
      <c r="A441">
        <v>9</v>
      </c>
      <c r="B441">
        <v>4</v>
      </c>
      <c r="C441" s="11">
        <v>46267</v>
      </c>
      <c r="D441" t="s">
        <v>13</v>
      </c>
      <c r="E441">
        <v>3000</v>
      </c>
      <c r="F441" s="11">
        <v>46025</v>
      </c>
      <c r="G441" t="s">
        <v>66</v>
      </c>
      <c r="H441" t="s">
        <v>36</v>
      </c>
      <c r="I441">
        <v>600</v>
      </c>
      <c r="J441" t="s">
        <v>23</v>
      </c>
      <c r="K441" t="s">
        <v>17</v>
      </c>
      <c r="L441" t="s">
        <v>18</v>
      </c>
      <c r="M441" t="s">
        <v>32</v>
      </c>
      <c r="Q441" s="1"/>
    </row>
    <row r="442" spans="1:17" x14ac:dyDescent="0.3">
      <c r="A442">
        <v>24</v>
      </c>
      <c r="B442">
        <v>12</v>
      </c>
      <c r="C442" s="11">
        <v>46146</v>
      </c>
      <c r="D442" t="s">
        <v>20</v>
      </c>
      <c r="E442">
        <v>900</v>
      </c>
      <c r="F442" s="11">
        <v>46177</v>
      </c>
      <c r="G442" t="s">
        <v>48</v>
      </c>
      <c r="H442" t="s">
        <v>15</v>
      </c>
      <c r="I442">
        <v>300</v>
      </c>
      <c r="J442" t="s">
        <v>16</v>
      </c>
      <c r="K442" t="s">
        <v>17</v>
      </c>
      <c r="L442" t="s">
        <v>18</v>
      </c>
      <c r="M442" t="s">
        <v>19</v>
      </c>
      <c r="Q442" s="1"/>
    </row>
    <row r="443" spans="1:17" x14ac:dyDescent="0.3">
      <c r="A443">
        <v>13</v>
      </c>
      <c r="B443">
        <v>7</v>
      </c>
      <c r="C443" s="11">
        <v>46206</v>
      </c>
      <c r="D443" t="s">
        <v>13</v>
      </c>
      <c r="E443">
        <v>100</v>
      </c>
      <c r="F443" s="11">
        <v>46237</v>
      </c>
      <c r="G443" t="s">
        <v>78</v>
      </c>
      <c r="H443" t="s">
        <v>28</v>
      </c>
      <c r="I443">
        <v>200</v>
      </c>
      <c r="J443" t="s">
        <v>16</v>
      </c>
      <c r="K443" t="s">
        <v>33</v>
      </c>
      <c r="L443" t="s">
        <v>34</v>
      </c>
      <c r="M443" t="s">
        <v>30</v>
      </c>
      <c r="Q443" s="1"/>
    </row>
    <row r="444" spans="1:17" x14ac:dyDescent="0.3">
      <c r="A444">
        <v>6</v>
      </c>
      <c r="B444">
        <v>3</v>
      </c>
      <c r="C444" s="11">
        <v>46267</v>
      </c>
      <c r="D444" t="s">
        <v>20</v>
      </c>
      <c r="E444">
        <v>6000</v>
      </c>
      <c r="F444" s="11">
        <v>46025</v>
      </c>
      <c r="G444" t="s">
        <v>66</v>
      </c>
      <c r="H444" t="s">
        <v>36</v>
      </c>
      <c r="I444">
        <v>500</v>
      </c>
      <c r="J444" t="s">
        <v>23</v>
      </c>
      <c r="K444" t="s">
        <v>17</v>
      </c>
      <c r="L444" t="s">
        <v>18</v>
      </c>
      <c r="M444" t="s">
        <v>32</v>
      </c>
      <c r="Q444" s="1"/>
    </row>
    <row r="445" spans="1:17" x14ac:dyDescent="0.3">
      <c r="A445">
        <v>21</v>
      </c>
      <c r="B445">
        <v>11</v>
      </c>
      <c r="C445" s="11">
        <v>46116</v>
      </c>
      <c r="D445" t="s">
        <v>13</v>
      </c>
      <c r="E445">
        <v>500</v>
      </c>
      <c r="F445" s="11">
        <v>46177</v>
      </c>
      <c r="G445" t="s">
        <v>73</v>
      </c>
      <c r="H445" t="s">
        <v>30</v>
      </c>
      <c r="I445">
        <v>400</v>
      </c>
      <c r="J445" t="s">
        <v>16</v>
      </c>
      <c r="K445" t="s">
        <v>33</v>
      </c>
      <c r="L445" t="s">
        <v>18</v>
      </c>
      <c r="M445" t="s">
        <v>15</v>
      </c>
      <c r="Q445" s="1"/>
    </row>
    <row r="446" spans="1:17" x14ac:dyDescent="0.3">
      <c r="A446">
        <v>32</v>
      </c>
      <c r="B446">
        <v>16</v>
      </c>
      <c r="C446" s="11">
        <v>46238</v>
      </c>
      <c r="D446" t="s">
        <v>20</v>
      </c>
      <c r="E446">
        <v>2000</v>
      </c>
      <c r="F446" s="11">
        <v>46269</v>
      </c>
      <c r="G446" t="s">
        <v>55</v>
      </c>
      <c r="H446" t="s">
        <v>19</v>
      </c>
      <c r="I446">
        <v>700</v>
      </c>
      <c r="J446" t="s">
        <v>16</v>
      </c>
      <c r="K446" t="s">
        <v>17</v>
      </c>
      <c r="L446" t="s">
        <v>18</v>
      </c>
      <c r="M446" t="s">
        <v>41</v>
      </c>
      <c r="Q446" s="1"/>
    </row>
    <row r="447" spans="1:17" x14ac:dyDescent="0.3">
      <c r="A447">
        <v>17</v>
      </c>
      <c r="B447">
        <v>9</v>
      </c>
      <c r="C447" s="11">
        <v>46026</v>
      </c>
      <c r="D447" t="s">
        <v>13</v>
      </c>
      <c r="E447">
        <v>400</v>
      </c>
      <c r="F447" s="11">
        <v>46057</v>
      </c>
      <c r="G447" t="s">
        <v>27</v>
      </c>
      <c r="H447" t="s">
        <v>15</v>
      </c>
      <c r="I447">
        <v>200</v>
      </c>
      <c r="J447" t="s">
        <v>16</v>
      </c>
      <c r="K447" t="s">
        <v>33</v>
      </c>
      <c r="L447" t="s">
        <v>34</v>
      </c>
      <c r="M447" t="s">
        <v>19</v>
      </c>
      <c r="Q447" s="1"/>
    </row>
    <row r="448" spans="1:17" x14ac:dyDescent="0.3">
      <c r="A448">
        <v>25</v>
      </c>
      <c r="B448">
        <v>13</v>
      </c>
      <c r="C448" s="11">
        <v>46177</v>
      </c>
      <c r="D448" t="s">
        <v>20</v>
      </c>
      <c r="E448">
        <v>300</v>
      </c>
      <c r="F448" s="11">
        <v>46207</v>
      </c>
      <c r="G448" t="s">
        <v>39</v>
      </c>
      <c r="H448" t="s">
        <v>19</v>
      </c>
      <c r="I448">
        <v>800</v>
      </c>
      <c r="J448" t="s">
        <v>16</v>
      </c>
      <c r="K448" t="s">
        <v>17</v>
      </c>
      <c r="L448" t="s">
        <v>18</v>
      </c>
      <c r="M448" t="s">
        <v>41</v>
      </c>
      <c r="Q448" s="1"/>
    </row>
    <row r="449" spans="1:17" x14ac:dyDescent="0.3">
      <c r="A449">
        <v>19</v>
      </c>
      <c r="B449">
        <v>9</v>
      </c>
      <c r="C449" s="11">
        <v>46057</v>
      </c>
      <c r="D449" t="s">
        <v>13</v>
      </c>
      <c r="E449">
        <v>200</v>
      </c>
      <c r="F449" s="11">
        <v>46085</v>
      </c>
      <c r="G449" t="s">
        <v>60</v>
      </c>
      <c r="H449" t="s">
        <v>15</v>
      </c>
      <c r="I449">
        <v>300</v>
      </c>
      <c r="J449" t="s">
        <v>16</v>
      </c>
      <c r="K449" t="s">
        <v>33</v>
      </c>
      <c r="L449" t="s">
        <v>18</v>
      </c>
      <c r="M449" t="s">
        <v>19</v>
      </c>
      <c r="Q449" s="1"/>
    </row>
    <row r="450" spans="1:17" x14ac:dyDescent="0.3">
      <c r="A450">
        <v>34</v>
      </c>
      <c r="B450">
        <v>17</v>
      </c>
      <c r="C450" s="11">
        <v>46269</v>
      </c>
      <c r="D450" t="s">
        <v>20</v>
      </c>
      <c r="E450">
        <v>7000</v>
      </c>
      <c r="F450" s="11" t="s">
        <v>81</v>
      </c>
      <c r="G450" t="s">
        <v>35</v>
      </c>
      <c r="H450" t="s">
        <v>19</v>
      </c>
      <c r="I450">
        <v>900</v>
      </c>
      <c r="J450" t="s">
        <v>23</v>
      </c>
      <c r="K450" t="s">
        <v>17</v>
      </c>
      <c r="L450" t="s">
        <v>25</v>
      </c>
      <c r="M450" t="s">
        <v>41</v>
      </c>
      <c r="Q450" s="1"/>
    </row>
    <row r="451" spans="1:17" x14ac:dyDescent="0.3">
      <c r="A451">
        <v>22</v>
      </c>
      <c r="B451">
        <v>11</v>
      </c>
      <c r="C451" s="11">
        <v>46146</v>
      </c>
      <c r="D451" t="s">
        <v>13</v>
      </c>
      <c r="E451">
        <v>1000</v>
      </c>
      <c r="F451" s="11">
        <v>46207</v>
      </c>
      <c r="G451" t="s">
        <v>66</v>
      </c>
      <c r="H451" t="s">
        <v>15</v>
      </c>
      <c r="I451">
        <v>400</v>
      </c>
      <c r="J451" t="s">
        <v>16</v>
      </c>
      <c r="K451" t="s">
        <v>17</v>
      </c>
      <c r="L451" t="s">
        <v>18</v>
      </c>
      <c r="M451" t="s">
        <v>19</v>
      </c>
      <c r="Q451" s="1"/>
    </row>
    <row r="452" spans="1:17" x14ac:dyDescent="0.3">
      <c r="A452">
        <v>16</v>
      </c>
      <c r="B452">
        <v>8</v>
      </c>
      <c r="C452" s="11">
        <v>46237</v>
      </c>
      <c r="D452" t="s">
        <v>20</v>
      </c>
      <c r="E452">
        <v>400</v>
      </c>
      <c r="F452" s="11" t="s">
        <v>64</v>
      </c>
      <c r="G452" t="s">
        <v>31</v>
      </c>
      <c r="H452" t="s">
        <v>30</v>
      </c>
      <c r="I452">
        <v>200</v>
      </c>
      <c r="J452" t="s">
        <v>16</v>
      </c>
      <c r="K452" t="s">
        <v>33</v>
      </c>
      <c r="L452" t="s">
        <v>18</v>
      </c>
      <c r="M452" t="s">
        <v>15</v>
      </c>
      <c r="Q452" s="1"/>
    </row>
    <row r="453" spans="1:17" x14ac:dyDescent="0.3">
      <c r="A453">
        <v>10</v>
      </c>
      <c r="B453">
        <v>5</v>
      </c>
      <c r="C453" s="11">
        <v>46025</v>
      </c>
      <c r="D453" t="s">
        <v>13</v>
      </c>
      <c r="E453">
        <v>5000</v>
      </c>
      <c r="F453" s="11">
        <v>46056</v>
      </c>
      <c r="G453" t="s">
        <v>55</v>
      </c>
      <c r="H453" t="s">
        <v>36</v>
      </c>
      <c r="I453">
        <v>600</v>
      </c>
      <c r="J453" t="s">
        <v>23</v>
      </c>
      <c r="K453" t="s">
        <v>33</v>
      </c>
      <c r="L453" t="s">
        <v>34</v>
      </c>
      <c r="M453" t="s">
        <v>32</v>
      </c>
      <c r="Q453" s="1"/>
    </row>
    <row r="454" spans="1:17" x14ac:dyDescent="0.3">
      <c r="A454">
        <v>27</v>
      </c>
      <c r="B454">
        <v>13</v>
      </c>
      <c r="C454" s="11">
        <v>46177</v>
      </c>
      <c r="D454" t="s">
        <v>13</v>
      </c>
      <c r="E454">
        <v>1000</v>
      </c>
      <c r="F454" s="11">
        <v>46238</v>
      </c>
      <c r="G454" t="s">
        <v>42</v>
      </c>
      <c r="H454" t="s">
        <v>19</v>
      </c>
      <c r="I454">
        <v>800</v>
      </c>
      <c r="J454" t="s">
        <v>16</v>
      </c>
      <c r="K454" t="s">
        <v>33</v>
      </c>
      <c r="L454" t="s">
        <v>18</v>
      </c>
      <c r="M454" t="s">
        <v>41</v>
      </c>
      <c r="Q454" s="1"/>
    </row>
    <row r="455" spans="1:17" x14ac:dyDescent="0.3">
      <c r="A455">
        <v>7</v>
      </c>
      <c r="B455">
        <v>3</v>
      </c>
      <c r="C455" s="11">
        <v>46267</v>
      </c>
      <c r="D455" t="s">
        <v>20</v>
      </c>
      <c r="E455">
        <v>4000</v>
      </c>
      <c r="F455" s="11">
        <v>46025</v>
      </c>
      <c r="G455" t="s">
        <v>57</v>
      </c>
      <c r="H455" t="s">
        <v>36</v>
      </c>
      <c r="I455">
        <v>500</v>
      </c>
      <c r="J455" t="s">
        <v>23</v>
      </c>
      <c r="K455" t="s">
        <v>17</v>
      </c>
      <c r="L455" t="s">
        <v>18</v>
      </c>
      <c r="M455" t="s">
        <v>32</v>
      </c>
      <c r="Q455" s="1"/>
    </row>
    <row r="456" spans="1:17" x14ac:dyDescent="0.3">
      <c r="A456">
        <v>23</v>
      </c>
      <c r="B456">
        <v>11</v>
      </c>
      <c r="C456" s="11">
        <v>46116</v>
      </c>
      <c r="D456" t="s">
        <v>13</v>
      </c>
      <c r="E456">
        <v>800</v>
      </c>
      <c r="F456" s="11">
        <v>46177</v>
      </c>
      <c r="G456" t="s">
        <v>39</v>
      </c>
      <c r="H456" t="s">
        <v>30</v>
      </c>
      <c r="I456">
        <v>400</v>
      </c>
      <c r="J456" t="s">
        <v>16</v>
      </c>
      <c r="K456" t="s">
        <v>33</v>
      </c>
      <c r="L456" t="s">
        <v>18</v>
      </c>
      <c r="M456" t="s">
        <v>15</v>
      </c>
      <c r="Q456" s="1"/>
    </row>
    <row r="457" spans="1:17" x14ac:dyDescent="0.3">
      <c r="A457">
        <v>12</v>
      </c>
      <c r="B457">
        <v>6</v>
      </c>
      <c r="C457" s="11">
        <v>46084</v>
      </c>
      <c r="D457" t="s">
        <v>20</v>
      </c>
      <c r="E457">
        <v>2000</v>
      </c>
      <c r="F457" s="11">
        <v>46145</v>
      </c>
      <c r="G457" t="s">
        <v>66</v>
      </c>
      <c r="H457" t="s">
        <v>63</v>
      </c>
      <c r="I457">
        <v>500</v>
      </c>
      <c r="J457" t="s">
        <v>23</v>
      </c>
      <c r="K457" t="s">
        <v>17</v>
      </c>
      <c r="L457" t="s">
        <v>25</v>
      </c>
      <c r="M457" t="s">
        <v>28</v>
      </c>
      <c r="Q457" s="1"/>
    </row>
    <row r="458" spans="1:17" x14ac:dyDescent="0.3">
      <c r="A458">
        <v>28</v>
      </c>
      <c r="B458">
        <v>14</v>
      </c>
      <c r="C458" s="11">
        <v>46207</v>
      </c>
      <c r="D458" t="s">
        <v>13</v>
      </c>
      <c r="E458">
        <v>100</v>
      </c>
      <c r="F458" s="11">
        <v>46238</v>
      </c>
      <c r="G458" t="s">
        <v>60</v>
      </c>
      <c r="H458" t="s">
        <v>19</v>
      </c>
      <c r="I458">
        <v>800</v>
      </c>
      <c r="J458" t="s">
        <v>16</v>
      </c>
      <c r="K458" t="s">
        <v>17</v>
      </c>
      <c r="L458" t="s">
        <v>25</v>
      </c>
      <c r="M458" t="s">
        <v>41</v>
      </c>
      <c r="Q458" s="1"/>
    </row>
    <row r="459" spans="1:17" x14ac:dyDescent="0.3">
      <c r="A459">
        <v>16</v>
      </c>
      <c r="B459">
        <v>8</v>
      </c>
      <c r="C459" s="11">
        <v>46237</v>
      </c>
      <c r="D459" t="s">
        <v>20</v>
      </c>
      <c r="E459">
        <v>900</v>
      </c>
      <c r="F459" s="11" t="s">
        <v>64</v>
      </c>
      <c r="G459" t="s">
        <v>31</v>
      </c>
      <c r="H459" t="s">
        <v>30</v>
      </c>
      <c r="I459">
        <v>200</v>
      </c>
      <c r="J459" t="s">
        <v>16</v>
      </c>
      <c r="K459" t="s">
        <v>33</v>
      </c>
      <c r="L459" t="s">
        <v>18</v>
      </c>
      <c r="M459" t="s">
        <v>15</v>
      </c>
      <c r="Q459" s="1"/>
    </row>
    <row r="460" spans="1:17" x14ac:dyDescent="0.3">
      <c r="A460">
        <v>8</v>
      </c>
      <c r="B460">
        <v>4</v>
      </c>
      <c r="C460" s="11">
        <v>46056</v>
      </c>
      <c r="D460" t="s">
        <v>13</v>
      </c>
      <c r="E460">
        <v>3000</v>
      </c>
      <c r="F460" s="11">
        <v>46115</v>
      </c>
      <c r="G460" t="s">
        <v>77</v>
      </c>
      <c r="H460" t="s">
        <v>26</v>
      </c>
      <c r="I460">
        <v>400</v>
      </c>
      <c r="J460" t="s">
        <v>16</v>
      </c>
      <c r="K460" t="s">
        <v>17</v>
      </c>
      <c r="L460" t="s">
        <v>18</v>
      </c>
      <c r="M460" t="s">
        <v>43</v>
      </c>
      <c r="Q460" s="1"/>
    </row>
    <row r="461" spans="1:17" x14ac:dyDescent="0.3">
      <c r="A461">
        <v>31</v>
      </c>
      <c r="B461">
        <v>15</v>
      </c>
      <c r="C461" s="11">
        <v>46207</v>
      </c>
      <c r="D461" t="s">
        <v>20</v>
      </c>
      <c r="E461">
        <v>600</v>
      </c>
      <c r="F461" s="11">
        <v>46238</v>
      </c>
      <c r="G461" t="s">
        <v>66</v>
      </c>
      <c r="H461" t="s">
        <v>19</v>
      </c>
      <c r="I461">
        <v>700</v>
      </c>
      <c r="J461" t="s">
        <v>16</v>
      </c>
      <c r="K461" t="s">
        <v>17</v>
      </c>
      <c r="L461" t="s">
        <v>18</v>
      </c>
      <c r="M461" t="s">
        <v>41</v>
      </c>
      <c r="Q461" s="1"/>
    </row>
    <row r="462" spans="1:17" x14ac:dyDescent="0.3">
      <c r="A462">
        <v>20</v>
      </c>
      <c r="B462">
        <v>10</v>
      </c>
      <c r="C462" s="11">
        <v>46085</v>
      </c>
      <c r="D462" t="s">
        <v>13</v>
      </c>
      <c r="E462">
        <v>1000</v>
      </c>
      <c r="F462" s="11">
        <v>46116</v>
      </c>
      <c r="G462" t="s">
        <v>21</v>
      </c>
      <c r="H462" t="s">
        <v>15</v>
      </c>
      <c r="I462">
        <v>300</v>
      </c>
      <c r="J462" t="s">
        <v>16</v>
      </c>
      <c r="K462" t="s">
        <v>33</v>
      </c>
      <c r="L462" t="s">
        <v>18</v>
      </c>
      <c r="M462" t="s">
        <v>19</v>
      </c>
      <c r="Q462" s="1"/>
    </row>
    <row r="463" spans="1:17" x14ac:dyDescent="0.3">
      <c r="A463">
        <v>11</v>
      </c>
      <c r="B463">
        <v>5</v>
      </c>
      <c r="C463" s="11">
        <v>46056</v>
      </c>
      <c r="D463" t="s">
        <v>20</v>
      </c>
      <c r="E463">
        <v>4000</v>
      </c>
      <c r="F463" s="11">
        <v>46115</v>
      </c>
      <c r="G463" t="s">
        <v>69</v>
      </c>
      <c r="H463" t="s">
        <v>32</v>
      </c>
      <c r="I463">
        <v>500</v>
      </c>
      <c r="J463" t="s">
        <v>23</v>
      </c>
      <c r="K463" t="s">
        <v>17</v>
      </c>
      <c r="L463" t="s">
        <v>18</v>
      </c>
      <c r="M463" t="s">
        <v>26</v>
      </c>
      <c r="Q463" s="1"/>
    </row>
    <row r="464" spans="1:17" x14ac:dyDescent="0.3">
      <c r="A464">
        <v>28</v>
      </c>
      <c r="B464">
        <v>14</v>
      </c>
      <c r="C464" s="11">
        <v>46207</v>
      </c>
      <c r="D464" t="s">
        <v>13</v>
      </c>
      <c r="E464">
        <v>200</v>
      </c>
      <c r="F464" s="11">
        <v>46238</v>
      </c>
      <c r="G464" t="s">
        <v>60</v>
      </c>
      <c r="H464" t="s">
        <v>19</v>
      </c>
      <c r="I464">
        <v>800</v>
      </c>
      <c r="J464" t="s">
        <v>16</v>
      </c>
      <c r="K464" t="s">
        <v>17</v>
      </c>
      <c r="L464" t="s">
        <v>25</v>
      </c>
      <c r="M464" t="s">
        <v>41</v>
      </c>
      <c r="Q464" s="1"/>
    </row>
    <row r="465" spans="1:17" x14ac:dyDescent="0.3">
      <c r="A465">
        <v>15</v>
      </c>
      <c r="B465">
        <v>8</v>
      </c>
      <c r="C465" s="11">
        <v>46268</v>
      </c>
      <c r="D465" t="s">
        <v>20</v>
      </c>
      <c r="E465">
        <v>500</v>
      </c>
      <c r="F465" s="11">
        <v>46026</v>
      </c>
      <c r="G465" t="s">
        <v>39</v>
      </c>
      <c r="H465" t="s">
        <v>30</v>
      </c>
      <c r="I465">
        <v>200</v>
      </c>
      <c r="J465" t="s">
        <v>16</v>
      </c>
      <c r="K465" t="s">
        <v>33</v>
      </c>
      <c r="L465" t="s">
        <v>18</v>
      </c>
      <c r="M465" t="s">
        <v>15</v>
      </c>
      <c r="Q465" s="1"/>
    </row>
    <row r="466" spans="1:17" x14ac:dyDescent="0.3">
      <c r="A466">
        <v>9</v>
      </c>
      <c r="B466">
        <v>4</v>
      </c>
      <c r="C466" s="11">
        <v>46267</v>
      </c>
      <c r="D466" t="s">
        <v>13</v>
      </c>
      <c r="E466">
        <v>3000</v>
      </c>
      <c r="F466" s="11">
        <v>46025</v>
      </c>
      <c r="G466" t="s">
        <v>66</v>
      </c>
      <c r="H466" t="s">
        <v>36</v>
      </c>
      <c r="I466">
        <v>600</v>
      </c>
      <c r="J466" t="s">
        <v>23</v>
      </c>
      <c r="K466" t="s">
        <v>17</v>
      </c>
      <c r="L466" t="s">
        <v>18</v>
      </c>
      <c r="M466" t="s">
        <v>32</v>
      </c>
      <c r="Q466" s="1"/>
    </row>
    <row r="467" spans="1:17" x14ac:dyDescent="0.3">
      <c r="A467">
        <v>24</v>
      </c>
      <c r="B467">
        <v>12</v>
      </c>
      <c r="C467" s="11">
        <v>46146</v>
      </c>
      <c r="D467" t="s">
        <v>20</v>
      </c>
      <c r="E467">
        <v>900</v>
      </c>
      <c r="F467" s="11">
        <v>46177</v>
      </c>
      <c r="G467" t="s">
        <v>48</v>
      </c>
      <c r="H467" t="s">
        <v>15</v>
      </c>
      <c r="I467">
        <v>300</v>
      </c>
      <c r="J467" t="s">
        <v>16</v>
      </c>
      <c r="K467" t="s">
        <v>17</v>
      </c>
      <c r="L467" t="s">
        <v>18</v>
      </c>
      <c r="M467" t="s">
        <v>19</v>
      </c>
      <c r="Q467" s="1"/>
    </row>
    <row r="468" spans="1:17" x14ac:dyDescent="0.3">
      <c r="A468">
        <v>13</v>
      </c>
      <c r="B468">
        <v>7</v>
      </c>
      <c r="C468" s="11">
        <v>46206</v>
      </c>
      <c r="D468" t="s">
        <v>13</v>
      </c>
      <c r="E468">
        <v>100</v>
      </c>
      <c r="F468" s="11">
        <v>46237</v>
      </c>
      <c r="G468" t="s">
        <v>78</v>
      </c>
      <c r="H468" t="s">
        <v>28</v>
      </c>
      <c r="I468">
        <v>200</v>
      </c>
      <c r="J468" t="s">
        <v>16</v>
      </c>
      <c r="K468" t="s">
        <v>33</v>
      </c>
      <c r="L468" t="s">
        <v>34</v>
      </c>
      <c r="M468" t="s">
        <v>30</v>
      </c>
      <c r="Q468" s="1"/>
    </row>
    <row r="469" spans="1:17" x14ac:dyDescent="0.3">
      <c r="A469">
        <v>6</v>
      </c>
      <c r="B469">
        <v>3</v>
      </c>
      <c r="C469" s="11">
        <v>46267</v>
      </c>
      <c r="D469" t="s">
        <v>20</v>
      </c>
      <c r="E469">
        <v>6000</v>
      </c>
      <c r="F469" s="11">
        <v>46025</v>
      </c>
      <c r="G469" t="s">
        <v>66</v>
      </c>
      <c r="H469" t="s">
        <v>36</v>
      </c>
      <c r="I469">
        <v>500</v>
      </c>
      <c r="J469" t="s">
        <v>23</v>
      </c>
      <c r="K469" t="s">
        <v>17</v>
      </c>
      <c r="L469" t="s">
        <v>18</v>
      </c>
      <c r="M469" t="s">
        <v>32</v>
      </c>
      <c r="Q469" s="1"/>
    </row>
    <row r="470" spans="1:17" x14ac:dyDescent="0.3">
      <c r="A470">
        <v>21</v>
      </c>
      <c r="B470">
        <v>11</v>
      </c>
      <c r="C470" s="11">
        <v>46116</v>
      </c>
      <c r="D470" t="s">
        <v>13</v>
      </c>
      <c r="E470">
        <v>500</v>
      </c>
      <c r="F470" s="11">
        <v>46177</v>
      </c>
      <c r="G470" t="s">
        <v>73</v>
      </c>
      <c r="H470" t="s">
        <v>30</v>
      </c>
      <c r="I470">
        <v>400</v>
      </c>
      <c r="J470" t="s">
        <v>16</v>
      </c>
      <c r="K470" t="s">
        <v>33</v>
      </c>
      <c r="L470" t="s">
        <v>18</v>
      </c>
      <c r="M470" t="s">
        <v>15</v>
      </c>
      <c r="Q470" s="1"/>
    </row>
    <row r="471" spans="1:17" x14ac:dyDescent="0.3">
      <c r="A471">
        <v>32</v>
      </c>
      <c r="B471">
        <v>16</v>
      </c>
      <c r="C471" s="11">
        <v>46238</v>
      </c>
      <c r="D471" t="s">
        <v>20</v>
      </c>
      <c r="E471">
        <v>2000</v>
      </c>
      <c r="F471" s="11">
        <v>46269</v>
      </c>
      <c r="G471" t="s">
        <v>55</v>
      </c>
      <c r="H471" t="s">
        <v>19</v>
      </c>
      <c r="I471">
        <v>700</v>
      </c>
      <c r="J471" t="s">
        <v>16</v>
      </c>
      <c r="K471" t="s">
        <v>17</v>
      </c>
      <c r="L471" t="s">
        <v>18</v>
      </c>
      <c r="M471" t="s">
        <v>41</v>
      </c>
      <c r="Q471" s="1"/>
    </row>
    <row r="472" spans="1:17" x14ac:dyDescent="0.3">
      <c r="A472">
        <v>17</v>
      </c>
      <c r="B472">
        <v>9</v>
      </c>
      <c r="C472" s="11">
        <v>46026</v>
      </c>
      <c r="D472" t="s">
        <v>13</v>
      </c>
      <c r="E472">
        <v>400</v>
      </c>
      <c r="F472" s="11">
        <v>46057</v>
      </c>
      <c r="G472" t="s">
        <v>27</v>
      </c>
      <c r="H472" t="s">
        <v>15</v>
      </c>
      <c r="I472">
        <v>200</v>
      </c>
      <c r="J472" t="s">
        <v>16</v>
      </c>
      <c r="K472" t="s">
        <v>33</v>
      </c>
      <c r="L472" t="s">
        <v>34</v>
      </c>
      <c r="M472" t="s">
        <v>19</v>
      </c>
      <c r="Q472" s="1"/>
    </row>
    <row r="473" spans="1:17" x14ac:dyDescent="0.3">
      <c r="A473">
        <v>25</v>
      </c>
      <c r="B473">
        <v>13</v>
      </c>
      <c r="C473" s="11">
        <v>46177</v>
      </c>
      <c r="D473" t="s">
        <v>20</v>
      </c>
      <c r="E473">
        <v>300</v>
      </c>
      <c r="F473" s="11">
        <v>46207</v>
      </c>
      <c r="G473" t="s">
        <v>39</v>
      </c>
      <c r="H473" t="s">
        <v>19</v>
      </c>
      <c r="I473">
        <v>800</v>
      </c>
      <c r="J473" t="s">
        <v>16</v>
      </c>
      <c r="K473" t="s">
        <v>17</v>
      </c>
      <c r="L473" t="s">
        <v>18</v>
      </c>
      <c r="M473" t="s">
        <v>41</v>
      </c>
      <c r="Q473" s="1"/>
    </row>
    <row r="474" spans="1:17" x14ac:dyDescent="0.3">
      <c r="A474">
        <v>19</v>
      </c>
      <c r="B474">
        <v>9</v>
      </c>
      <c r="C474" s="11">
        <v>46057</v>
      </c>
      <c r="D474" t="s">
        <v>13</v>
      </c>
      <c r="E474">
        <v>200</v>
      </c>
      <c r="F474" s="11">
        <v>46085</v>
      </c>
      <c r="G474" t="s">
        <v>60</v>
      </c>
      <c r="H474" t="s">
        <v>15</v>
      </c>
      <c r="I474">
        <v>300</v>
      </c>
      <c r="J474" t="s">
        <v>16</v>
      </c>
      <c r="K474" t="s">
        <v>33</v>
      </c>
      <c r="L474" t="s">
        <v>18</v>
      </c>
      <c r="M474" t="s">
        <v>19</v>
      </c>
      <c r="Q474" s="1"/>
    </row>
    <row r="475" spans="1:17" x14ac:dyDescent="0.3">
      <c r="A475">
        <v>34</v>
      </c>
      <c r="B475">
        <v>17</v>
      </c>
      <c r="C475" s="11">
        <v>46269</v>
      </c>
      <c r="D475" t="s">
        <v>20</v>
      </c>
      <c r="E475">
        <v>7000</v>
      </c>
      <c r="F475" s="11" t="s">
        <v>81</v>
      </c>
      <c r="G475" t="s">
        <v>35</v>
      </c>
      <c r="H475" t="s">
        <v>19</v>
      </c>
      <c r="I475">
        <v>900</v>
      </c>
      <c r="J475" t="s">
        <v>23</v>
      </c>
      <c r="K475" t="s">
        <v>17</v>
      </c>
      <c r="L475" t="s">
        <v>25</v>
      </c>
      <c r="M475" t="s">
        <v>41</v>
      </c>
      <c r="Q475" s="1"/>
    </row>
    <row r="476" spans="1:17" x14ac:dyDescent="0.3">
      <c r="A476">
        <v>22</v>
      </c>
      <c r="B476">
        <v>11</v>
      </c>
      <c r="C476" s="11">
        <v>46146</v>
      </c>
      <c r="D476" t="s">
        <v>13</v>
      </c>
      <c r="E476">
        <v>1000</v>
      </c>
      <c r="F476" s="11">
        <v>46207</v>
      </c>
      <c r="G476" t="s">
        <v>66</v>
      </c>
      <c r="H476" t="s">
        <v>15</v>
      </c>
      <c r="I476">
        <v>400</v>
      </c>
      <c r="J476" t="s">
        <v>16</v>
      </c>
      <c r="K476" t="s">
        <v>17</v>
      </c>
      <c r="L476" t="s">
        <v>18</v>
      </c>
      <c r="M476" t="s">
        <v>19</v>
      </c>
      <c r="Q476" s="1"/>
    </row>
    <row r="477" spans="1:17" x14ac:dyDescent="0.3">
      <c r="A477">
        <v>16</v>
      </c>
      <c r="B477">
        <v>8</v>
      </c>
      <c r="C477" s="11">
        <v>46237</v>
      </c>
      <c r="D477" t="s">
        <v>20</v>
      </c>
      <c r="E477">
        <v>400</v>
      </c>
      <c r="F477" s="11" t="s">
        <v>64</v>
      </c>
      <c r="G477" t="s">
        <v>31</v>
      </c>
      <c r="H477" t="s">
        <v>30</v>
      </c>
      <c r="I477">
        <v>200</v>
      </c>
      <c r="J477" t="s">
        <v>16</v>
      </c>
      <c r="K477" t="s">
        <v>33</v>
      </c>
      <c r="L477" t="s">
        <v>18</v>
      </c>
      <c r="M477" t="s">
        <v>15</v>
      </c>
      <c r="Q477" s="1"/>
    </row>
    <row r="478" spans="1:17" x14ac:dyDescent="0.3">
      <c r="A478">
        <v>10</v>
      </c>
      <c r="B478">
        <v>5</v>
      </c>
      <c r="C478" s="11">
        <v>46025</v>
      </c>
      <c r="D478" t="s">
        <v>13</v>
      </c>
      <c r="E478">
        <v>5000</v>
      </c>
      <c r="F478" s="11">
        <v>46056</v>
      </c>
      <c r="G478" t="s">
        <v>55</v>
      </c>
      <c r="H478" t="s">
        <v>36</v>
      </c>
      <c r="I478">
        <v>600</v>
      </c>
      <c r="J478" t="s">
        <v>23</v>
      </c>
      <c r="K478" t="s">
        <v>33</v>
      </c>
      <c r="L478" t="s">
        <v>34</v>
      </c>
      <c r="M478" t="s">
        <v>32</v>
      </c>
      <c r="Q478" s="1"/>
    </row>
    <row r="479" spans="1:17" x14ac:dyDescent="0.3">
      <c r="A479">
        <v>27</v>
      </c>
      <c r="B479">
        <v>13</v>
      </c>
      <c r="C479" s="11">
        <v>46177</v>
      </c>
      <c r="D479" t="s">
        <v>13</v>
      </c>
      <c r="E479">
        <v>1000</v>
      </c>
      <c r="F479" s="11">
        <v>46238</v>
      </c>
      <c r="G479" t="s">
        <v>42</v>
      </c>
      <c r="H479" t="s">
        <v>19</v>
      </c>
      <c r="I479">
        <v>800</v>
      </c>
      <c r="J479" t="s">
        <v>16</v>
      </c>
      <c r="K479" t="s">
        <v>33</v>
      </c>
      <c r="L479" t="s">
        <v>18</v>
      </c>
      <c r="M479" t="s">
        <v>41</v>
      </c>
      <c r="Q479" s="1"/>
    </row>
    <row r="480" spans="1:17" x14ac:dyDescent="0.3">
      <c r="A480">
        <v>7</v>
      </c>
      <c r="B480">
        <v>3</v>
      </c>
      <c r="C480" s="11">
        <v>46267</v>
      </c>
      <c r="D480" t="s">
        <v>20</v>
      </c>
      <c r="E480">
        <v>4000</v>
      </c>
      <c r="F480" s="11">
        <v>46025</v>
      </c>
      <c r="G480" t="s">
        <v>57</v>
      </c>
      <c r="H480" t="s">
        <v>36</v>
      </c>
      <c r="I480">
        <v>500</v>
      </c>
      <c r="J480" t="s">
        <v>23</v>
      </c>
      <c r="K480" t="s">
        <v>17</v>
      </c>
      <c r="L480" t="s">
        <v>18</v>
      </c>
      <c r="M480" t="s">
        <v>32</v>
      </c>
      <c r="Q480" s="1"/>
    </row>
    <row r="481" spans="1:17" x14ac:dyDescent="0.3">
      <c r="A481">
        <v>23</v>
      </c>
      <c r="B481">
        <v>11</v>
      </c>
      <c r="C481" s="11">
        <v>46116</v>
      </c>
      <c r="D481" t="s">
        <v>13</v>
      </c>
      <c r="E481">
        <v>800</v>
      </c>
      <c r="F481" s="11">
        <v>46177</v>
      </c>
      <c r="G481" t="s">
        <v>39</v>
      </c>
      <c r="H481" t="s">
        <v>30</v>
      </c>
      <c r="I481">
        <v>400</v>
      </c>
      <c r="J481" t="s">
        <v>16</v>
      </c>
      <c r="K481" t="s">
        <v>33</v>
      </c>
      <c r="L481" t="s">
        <v>18</v>
      </c>
      <c r="M481" t="s">
        <v>15</v>
      </c>
      <c r="Q481" s="1"/>
    </row>
    <row r="482" spans="1:17" x14ac:dyDescent="0.3">
      <c r="A482">
        <v>12</v>
      </c>
      <c r="B482">
        <v>6</v>
      </c>
      <c r="C482" s="11">
        <v>46084</v>
      </c>
      <c r="D482" t="s">
        <v>20</v>
      </c>
      <c r="E482">
        <v>2000</v>
      </c>
      <c r="F482" s="11">
        <v>46145</v>
      </c>
      <c r="G482" t="s">
        <v>66</v>
      </c>
      <c r="H482" t="s">
        <v>63</v>
      </c>
      <c r="I482">
        <v>500</v>
      </c>
      <c r="J482" t="s">
        <v>23</v>
      </c>
      <c r="K482" t="s">
        <v>17</v>
      </c>
      <c r="L482" t="s">
        <v>25</v>
      </c>
      <c r="M482" t="s">
        <v>28</v>
      </c>
      <c r="Q482" s="1"/>
    </row>
    <row r="483" spans="1:17" x14ac:dyDescent="0.3">
      <c r="A483">
        <v>28</v>
      </c>
      <c r="B483">
        <v>14</v>
      </c>
      <c r="C483" s="11">
        <v>46207</v>
      </c>
      <c r="D483" t="s">
        <v>13</v>
      </c>
      <c r="E483">
        <v>100</v>
      </c>
      <c r="F483" s="11">
        <v>46238</v>
      </c>
      <c r="G483" t="s">
        <v>60</v>
      </c>
      <c r="H483" t="s">
        <v>19</v>
      </c>
      <c r="I483">
        <v>800</v>
      </c>
      <c r="J483" t="s">
        <v>16</v>
      </c>
      <c r="K483" t="s">
        <v>17</v>
      </c>
      <c r="L483" t="s">
        <v>25</v>
      </c>
      <c r="M483" t="s">
        <v>41</v>
      </c>
      <c r="Q483" s="1"/>
    </row>
    <row r="484" spans="1:17" x14ac:dyDescent="0.3">
      <c r="A484">
        <v>16</v>
      </c>
      <c r="B484">
        <v>8</v>
      </c>
      <c r="C484" s="11">
        <v>46237</v>
      </c>
      <c r="D484" t="s">
        <v>20</v>
      </c>
      <c r="E484">
        <v>900</v>
      </c>
      <c r="F484" s="11" t="s">
        <v>64</v>
      </c>
      <c r="G484" t="s">
        <v>31</v>
      </c>
      <c r="H484" t="s">
        <v>30</v>
      </c>
      <c r="I484">
        <v>200</v>
      </c>
      <c r="J484" t="s">
        <v>16</v>
      </c>
      <c r="K484" t="s">
        <v>33</v>
      </c>
      <c r="L484" t="s">
        <v>18</v>
      </c>
      <c r="M484" t="s">
        <v>15</v>
      </c>
      <c r="Q484" s="1"/>
    </row>
    <row r="485" spans="1:17" x14ac:dyDescent="0.3">
      <c r="A485">
        <v>8</v>
      </c>
      <c r="B485">
        <v>4</v>
      </c>
      <c r="C485" s="11">
        <v>46056</v>
      </c>
      <c r="D485" t="s">
        <v>13</v>
      </c>
      <c r="E485">
        <v>3000</v>
      </c>
      <c r="F485" s="11">
        <v>46115</v>
      </c>
      <c r="G485" t="s">
        <v>77</v>
      </c>
      <c r="H485" t="s">
        <v>26</v>
      </c>
      <c r="I485">
        <v>400</v>
      </c>
      <c r="J485" t="s">
        <v>16</v>
      </c>
      <c r="K485" t="s">
        <v>17</v>
      </c>
      <c r="L485" t="s">
        <v>18</v>
      </c>
      <c r="M485" t="s">
        <v>43</v>
      </c>
      <c r="Q485" s="1"/>
    </row>
    <row r="486" spans="1:17" x14ac:dyDescent="0.3">
      <c r="A486">
        <v>31</v>
      </c>
      <c r="B486">
        <v>15</v>
      </c>
      <c r="C486" s="11">
        <v>46207</v>
      </c>
      <c r="D486" t="s">
        <v>20</v>
      </c>
      <c r="E486">
        <v>600</v>
      </c>
      <c r="F486" s="11">
        <v>46238</v>
      </c>
      <c r="G486" t="s">
        <v>66</v>
      </c>
      <c r="H486" t="s">
        <v>19</v>
      </c>
      <c r="I486">
        <v>700</v>
      </c>
      <c r="J486" t="s">
        <v>16</v>
      </c>
      <c r="K486" t="s">
        <v>17</v>
      </c>
      <c r="L486" t="s">
        <v>18</v>
      </c>
      <c r="M486" t="s">
        <v>41</v>
      </c>
      <c r="Q486" s="1"/>
    </row>
    <row r="487" spans="1:17" x14ac:dyDescent="0.3">
      <c r="A487">
        <v>20</v>
      </c>
      <c r="B487">
        <v>10</v>
      </c>
      <c r="C487" s="11">
        <v>46085</v>
      </c>
      <c r="D487" t="s">
        <v>13</v>
      </c>
      <c r="E487">
        <v>1000</v>
      </c>
      <c r="F487" s="11">
        <v>46116</v>
      </c>
      <c r="G487" t="s">
        <v>21</v>
      </c>
      <c r="H487" t="s">
        <v>15</v>
      </c>
      <c r="I487">
        <v>300</v>
      </c>
      <c r="J487" t="s">
        <v>16</v>
      </c>
      <c r="K487" t="s">
        <v>33</v>
      </c>
      <c r="L487" t="s">
        <v>18</v>
      </c>
      <c r="M487" t="s">
        <v>19</v>
      </c>
      <c r="Q487" s="1"/>
    </row>
    <row r="488" spans="1:17" x14ac:dyDescent="0.3">
      <c r="A488">
        <v>11</v>
      </c>
      <c r="B488">
        <v>5</v>
      </c>
      <c r="C488" s="11">
        <v>46056</v>
      </c>
      <c r="D488" t="s">
        <v>20</v>
      </c>
      <c r="E488">
        <v>4000</v>
      </c>
      <c r="F488" s="11">
        <v>46115</v>
      </c>
      <c r="G488" t="s">
        <v>69</v>
      </c>
      <c r="H488" t="s">
        <v>32</v>
      </c>
      <c r="I488">
        <v>500</v>
      </c>
      <c r="J488" t="s">
        <v>23</v>
      </c>
      <c r="K488" t="s">
        <v>17</v>
      </c>
      <c r="L488" t="s">
        <v>18</v>
      </c>
      <c r="M488" t="s">
        <v>26</v>
      </c>
      <c r="Q488" s="1"/>
    </row>
    <row r="489" spans="1:17" x14ac:dyDescent="0.3">
      <c r="A489">
        <v>28</v>
      </c>
      <c r="B489">
        <v>14</v>
      </c>
      <c r="C489" s="11">
        <v>46207</v>
      </c>
      <c r="D489" t="s">
        <v>13</v>
      </c>
      <c r="E489">
        <v>200</v>
      </c>
      <c r="F489" s="11">
        <v>46238</v>
      </c>
      <c r="G489" t="s">
        <v>60</v>
      </c>
      <c r="H489" t="s">
        <v>19</v>
      </c>
      <c r="I489">
        <v>800</v>
      </c>
      <c r="J489" t="s">
        <v>16</v>
      </c>
      <c r="K489" t="s">
        <v>17</v>
      </c>
      <c r="L489" t="s">
        <v>25</v>
      </c>
      <c r="M489" t="s">
        <v>41</v>
      </c>
      <c r="Q489" s="1"/>
    </row>
    <row r="490" spans="1:17" x14ac:dyDescent="0.3">
      <c r="A490">
        <v>15</v>
      </c>
      <c r="B490">
        <v>8</v>
      </c>
      <c r="C490" s="11">
        <v>46268</v>
      </c>
      <c r="D490" t="s">
        <v>20</v>
      </c>
      <c r="E490">
        <v>500</v>
      </c>
      <c r="F490" s="11">
        <v>46026</v>
      </c>
      <c r="G490" t="s">
        <v>39</v>
      </c>
      <c r="H490" t="s">
        <v>30</v>
      </c>
      <c r="I490">
        <v>200</v>
      </c>
      <c r="J490" t="s">
        <v>16</v>
      </c>
      <c r="K490" t="s">
        <v>33</v>
      </c>
      <c r="L490" t="s">
        <v>18</v>
      </c>
      <c r="M490" t="s">
        <v>15</v>
      </c>
      <c r="Q490" s="1"/>
    </row>
    <row r="491" spans="1:17" x14ac:dyDescent="0.3">
      <c r="A491">
        <v>9</v>
      </c>
      <c r="B491">
        <v>4</v>
      </c>
      <c r="C491" s="11">
        <v>46267</v>
      </c>
      <c r="D491" t="s">
        <v>13</v>
      </c>
      <c r="E491">
        <v>3000</v>
      </c>
      <c r="F491" s="11">
        <v>46025</v>
      </c>
      <c r="G491" t="s">
        <v>66</v>
      </c>
      <c r="H491" t="s">
        <v>36</v>
      </c>
      <c r="I491">
        <v>600</v>
      </c>
      <c r="J491" t="s">
        <v>23</v>
      </c>
      <c r="K491" t="s">
        <v>17</v>
      </c>
      <c r="L491" t="s">
        <v>18</v>
      </c>
      <c r="M491" t="s">
        <v>32</v>
      </c>
      <c r="Q491" s="1"/>
    </row>
    <row r="492" spans="1:17" x14ac:dyDescent="0.3">
      <c r="A492">
        <v>24</v>
      </c>
      <c r="B492">
        <v>12</v>
      </c>
      <c r="C492" s="11">
        <v>46146</v>
      </c>
      <c r="D492" t="s">
        <v>20</v>
      </c>
      <c r="E492">
        <v>900</v>
      </c>
      <c r="F492" s="11">
        <v>46177</v>
      </c>
      <c r="G492" t="s">
        <v>48</v>
      </c>
      <c r="H492" t="s">
        <v>15</v>
      </c>
      <c r="I492">
        <v>300</v>
      </c>
      <c r="J492" t="s">
        <v>16</v>
      </c>
      <c r="K492" t="s">
        <v>17</v>
      </c>
      <c r="L492" t="s">
        <v>18</v>
      </c>
      <c r="M492" t="s">
        <v>19</v>
      </c>
      <c r="Q492" s="1"/>
    </row>
    <row r="493" spans="1:17" x14ac:dyDescent="0.3">
      <c r="A493">
        <v>13</v>
      </c>
      <c r="B493">
        <v>7</v>
      </c>
      <c r="C493" s="11">
        <v>46206</v>
      </c>
      <c r="D493" t="s">
        <v>13</v>
      </c>
      <c r="E493">
        <v>100</v>
      </c>
      <c r="F493" s="11">
        <v>46237</v>
      </c>
      <c r="G493" t="s">
        <v>78</v>
      </c>
      <c r="H493" t="s">
        <v>28</v>
      </c>
      <c r="I493">
        <v>200</v>
      </c>
      <c r="J493" t="s">
        <v>16</v>
      </c>
      <c r="K493" t="s">
        <v>33</v>
      </c>
      <c r="L493" t="s">
        <v>34</v>
      </c>
      <c r="M493" t="s">
        <v>30</v>
      </c>
      <c r="Q493" s="1"/>
    </row>
    <row r="494" spans="1:17" x14ac:dyDescent="0.3">
      <c r="A494">
        <v>6</v>
      </c>
      <c r="B494">
        <v>3</v>
      </c>
      <c r="C494" s="11">
        <v>46267</v>
      </c>
      <c r="D494" t="s">
        <v>20</v>
      </c>
      <c r="E494">
        <v>6000</v>
      </c>
      <c r="F494" s="11">
        <v>46025</v>
      </c>
      <c r="G494" t="s">
        <v>66</v>
      </c>
      <c r="H494" t="s">
        <v>36</v>
      </c>
      <c r="I494">
        <v>500</v>
      </c>
      <c r="J494" t="s">
        <v>23</v>
      </c>
      <c r="K494" t="s">
        <v>17</v>
      </c>
      <c r="L494" t="s">
        <v>18</v>
      </c>
      <c r="M494" t="s">
        <v>32</v>
      </c>
      <c r="Q494" s="1"/>
    </row>
    <row r="495" spans="1:17" x14ac:dyDescent="0.3">
      <c r="A495">
        <v>21</v>
      </c>
      <c r="B495">
        <v>11</v>
      </c>
      <c r="C495" s="11">
        <v>46116</v>
      </c>
      <c r="D495" t="s">
        <v>13</v>
      </c>
      <c r="E495">
        <v>500</v>
      </c>
      <c r="F495" s="11">
        <v>46177</v>
      </c>
      <c r="G495" t="s">
        <v>73</v>
      </c>
      <c r="H495" t="s">
        <v>30</v>
      </c>
      <c r="I495">
        <v>400</v>
      </c>
      <c r="J495" t="s">
        <v>16</v>
      </c>
      <c r="K495" t="s">
        <v>33</v>
      </c>
      <c r="L495" t="s">
        <v>18</v>
      </c>
      <c r="M495" t="s">
        <v>15</v>
      </c>
      <c r="Q495" s="1"/>
    </row>
    <row r="496" spans="1:17" x14ac:dyDescent="0.3">
      <c r="A496">
        <v>32</v>
      </c>
      <c r="B496">
        <v>16</v>
      </c>
      <c r="C496" s="11">
        <v>46238</v>
      </c>
      <c r="D496" t="s">
        <v>20</v>
      </c>
      <c r="E496">
        <v>2000</v>
      </c>
      <c r="F496" s="11">
        <v>46269</v>
      </c>
      <c r="G496" t="s">
        <v>55</v>
      </c>
      <c r="H496" t="s">
        <v>19</v>
      </c>
      <c r="I496">
        <v>700</v>
      </c>
      <c r="J496" t="s">
        <v>16</v>
      </c>
      <c r="K496" t="s">
        <v>17</v>
      </c>
      <c r="L496" t="s">
        <v>18</v>
      </c>
      <c r="M496" t="s">
        <v>41</v>
      </c>
      <c r="Q496" s="1"/>
    </row>
    <row r="497" spans="1:17" x14ac:dyDescent="0.3">
      <c r="A497">
        <v>17</v>
      </c>
      <c r="B497">
        <v>9</v>
      </c>
      <c r="C497" s="11">
        <v>46026</v>
      </c>
      <c r="D497" t="s">
        <v>13</v>
      </c>
      <c r="E497">
        <v>400</v>
      </c>
      <c r="F497" s="11">
        <v>46057</v>
      </c>
      <c r="G497" t="s">
        <v>27</v>
      </c>
      <c r="H497" t="s">
        <v>15</v>
      </c>
      <c r="I497">
        <v>200</v>
      </c>
      <c r="J497" t="s">
        <v>16</v>
      </c>
      <c r="K497" t="s">
        <v>33</v>
      </c>
      <c r="L497" t="s">
        <v>34</v>
      </c>
      <c r="M497" t="s">
        <v>19</v>
      </c>
      <c r="Q497" s="1"/>
    </row>
    <row r="498" spans="1:17" x14ac:dyDescent="0.3">
      <c r="A498">
        <v>25</v>
      </c>
      <c r="B498">
        <v>13</v>
      </c>
      <c r="C498" s="11">
        <v>46177</v>
      </c>
      <c r="D498" t="s">
        <v>20</v>
      </c>
      <c r="E498">
        <v>300</v>
      </c>
      <c r="F498" s="11">
        <v>46207</v>
      </c>
      <c r="G498" t="s">
        <v>39</v>
      </c>
      <c r="H498" t="s">
        <v>19</v>
      </c>
      <c r="I498">
        <v>800</v>
      </c>
      <c r="J498" t="s">
        <v>16</v>
      </c>
      <c r="K498" t="s">
        <v>17</v>
      </c>
      <c r="L498" t="s">
        <v>18</v>
      </c>
      <c r="M498" t="s">
        <v>41</v>
      </c>
      <c r="Q498" s="1"/>
    </row>
    <row r="499" spans="1:17" x14ac:dyDescent="0.3">
      <c r="A499">
        <v>19</v>
      </c>
      <c r="B499">
        <v>9</v>
      </c>
      <c r="C499" s="11">
        <v>46057</v>
      </c>
      <c r="D499" t="s">
        <v>13</v>
      </c>
      <c r="E499">
        <v>200</v>
      </c>
      <c r="F499" s="11">
        <v>46085</v>
      </c>
      <c r="G499" t="s">
        <v>60</v>
      </c>
      <c r="H499" t="s">
        <v>15</v>
      </c>
      <c r="I499">
        <v>300</v>
      </c>
      <c r="J499" t="s">
        <v>16</v>
      </c>
      <c r="K499" t="s">
        <v>33</v>
      </c>
      <c r="L499" t="s">
        <v>18</v>
      </c>
      <c r="M499" t="s">
        <v>19</v>
      </c>
      <c r="Q499" s="1"/>
    </row>
    <row r="500" spans="1:17" x14ac:dyDescent="0.3">
      <c r="A500">
        <v>34</v>
      </c>
      <c r="B500">
        <v>17</v>
      </c>
      <c r="C500" s="11">
        <v>46269</v>
      </c>
      <c r="D500" t="s">
        <v>20</v>
      </c>
      <c r="E500">
        <v>7000</v>
      </c>
      <c r="F500" s="11" t="s">
        <v>81</v>
      </c>
      <c r="G500" t="s">
        <v>35</v>
      </c>
      <c r="H500" t="s">
        <v>19</v>
      </c>
      <c r="I500">
        <v>900</v>
      </c>
      <c r="J500" t="s">
        <v>23</v>
      </c>
      <c r="K500" t="s">
        <v>17</v>
      </c>
      <c r="L500" t="s">
        <v>25</v>
      </c>
      <c r="M500" t="s">
        <v>41</v>
      </c>
      <c r="Q500" s="1"/>
    </row>
    <row r="501" spans="1:17" x14ac:dyDescent="0.3">
      <c r="A501">
        <v>22</v>
      </c>
      <c r="B501">
        <v>11</v>
      </c>
      <c r="C501" s="11">
        <v>46146</v>
      </c>
      <c r="D501" t="s">
        <v>13</v>
      </c>
      <c r="E501">
        <v>1000</v>
      </c>
      <c r="F501" s="11">
        <v>46207</v>
      </c>
      <c r="G501" t="s">
        <v>66</v>
      </c>
      <c r="H501" t="s">
        <v>15</v>
      </c>
      <c r="I501">
        <v>400</v>
      </c>
      <c r="J501" t="s">
        <v>16</v>
      </c>
      <c r="K501" t="s">
        <v>17</v>
      </c>
      <c r="L501" t="s">
        <v>18</v>
      </c>
      <c r="M501" t="s">
        <v>19</v>
      </c>
      <c r="Q501" s="1"/>
    </row>
    <row r="502" spans="1:17" x14ac:dyDescent="0.3">
      <c r="A502">
        <v>16</v>
      </c>
      <c r="B502">
        <v>8</v>
      </c>
      <c r="C502" s="11">
        <v>46237</v>
      </c>
      <c r="D502" t="s">
        <v>20</v>
      </c>
      <c r="E502">
        <v>400</v>
      </c>
      <c r="F502" s="11" t="s">
        <v>64</v>
      </c>
      <c r="G502" t="s">
        <v>31</v>
      </c>
      <c r="H502" t="s">
        <v>30</v>
      </c>
      <c r="I502">
        <v>200</v>
      </c>
      <c r="J502" t="s">
        <v>16</v>
      </c>
      <c r="K502" t="s">
        <v>33</v>
      </c>
      <c r="L502" t="s">
        <v>18</v>
      </c>
      <c r="M502" t="s">
        <v>15</v>
      </c>
      <c r="Q502" s="1"/>
    </row>
    <row r="503" spans="1:17" x14ac:dyDescent="0.3">
      <c r="A503">
        <v>10</v>
      </c>
      <c r="B503">
        <v>5</v>
      </c>
      <c r="C503" s="11">
        <v>46025</v>
      </c>
      <c r="D503" t="s">
        <v>13</v>
      </c>
      <c r="E503">
        <v>5000</v>
      </c>
      <c r="F503" s="11">
        <v>46056</v>
      </c>
      <c r="G503" t="s">
        <v>55</v>
      </c>
      <c r="H503" t="s">
        <v>36</v>
      </c>
      <c r="I503">
        <v>600</v>
      </c>
      <c r="J503" t="s">
        <v>23</v>
      </c>
      <c r="K503" t="s">
        <v>33</v>
      </c>
      <c r="L503" t="s">
        <v>34</v>
      </c>
      <c r="M503" t="s">
        <v>32</v>
      </c>
      <c r="Q503" s="1"/>
    </row>
    <row r="504" spans="1:17" x14ac:dyDescent="0.3">
      <c r="A504">
        <v>27</v>
      </c>
      <c r="B504">
        <v>13</v>
      </c>
      <c r="C504" s="11">
        <v>46177</v>
      </c>
      <c r="D504" t="s">
        <v>13</v>
      </c>
      <c r="E504">
        <v>1000</v>
      </c>
      <c r="F504" s="11">
        <v>46238</v>
      </c>
      <c r="G504" t="s">
        <v>42</v>
      </c>
      <c r="H504" t="s">
        <v>19</v>
      </c>
      <c r="I504">
        <v>800</v>
      </c>
      <c r="J504" t="s">
        <v>16</v>
      </c>
      <c r="K504" t="s">
        <v>33</v>
      </c>
      <c r="L504" t="s">
        <v>18</v>
      </c>
      <c r="M504" t="s">
        <v>41</v>
      </c>
      <c r="Q504" s="1"/>
    </row>
    <row r="505" spans="1:17" x14ac:dyDescent="0.3">
      <c r="A505">
        <v>7</v>
      </c>
      <c r="B505">
        <v>3</v>
      </c>
      <c r="C505" s="11">
        <v>46267</v>
      </c>
      <c r="D505" t="s">
        <v>20</v>
      </c>
      <c r="E505">
        <v>4000</v>
      </c>
      <c r="F505" s="11">
        <v>46025</v>
      </c>
      <c r="G505" t="s">
        <v>57</v>
      </c>
      <c r="H505" t="s">
        <v>36</v>
      </c>
      <c r="I505">
        <v>500</v>
      </c>
      <c r="J505" t="s">
        <v>23</v>
      </c>
      <c r="K505" t="s">
        <v>17</v>
      </c>
      <c r="L505" t="s">
        <v>18</v>
      </c>
      <c r="M505" t="s">
        <v>32</v>
      </c>
      <c r="Q505" s="1"/>
    </row>
    <row r="506" spans="1:17" x14ac:dyDescent="0.3">
      <c r="A506">
        <v>23</v>
      </c>
      <c r="B506">
        <v>11</v>
      </c>
      <c r="C506" s="11">
        <v>46116</v>
      </c>
      <c r="D506" t="s">
        <v>13</v>
      </c>
      <c r="E506">
        <v>800</v>
      </c>
      <c r="F506" s="11">
        <v>46177</v>
      </c>
      <c r="G506" t="s">
        <v>39</v>
      </c>
      <c r="H506" t="s">
        <v>30</v>
      </c>
      <c r="I506">
        <v>400</v>
      </c>
      <c r="J506" t="s">
        <v>16</v>
      </c>
      <c r="K506" t="s">
        <v>33</v>
      </c>
      <c r="L506" t="s">
        <v>18</v>
      </c>
      <c r="M506" t="s">
        <v>15</v>
      </c>
      <c r="Q506" s="1"/>
    </row>
    <row r="507" spans="1:17" x14ac:dyDescent="0.3">
      <c r="A507">
        <v>12</v>
      </c>
      <c r="B507">
        <v>6</v>
      </c>
      <c r="C507" s="11">
        <v>46084</v>
      </c>
      <c r="D507" t="s">
        <v>20</v>
      </c>
      <c r="E507">
        <v>2000</v>
      </c>
      <c r="F507" s="11">
        <v>46145</v>
      </c>
      <c r="G507" t="s">
        <v>66</v>
      </c>
      <c r="H507" t="s">
        <v>63</v>
      </c>
      <c r="I507">
        <v>500</v>
      </c>
      <c r="J507" t="s">
        <v>23</v>
      </c>
      <c r="K507" t="s">
        <v>17</v>
      </c>
      <c r="L507" t="s">
        <v>25</v>
      </c>
      <c r="M507" t="s">
        <v>28</v>
      </c>
      <c r="Q507" s="1"/>
    </row>
    <row r="508" spans="1:17" x14ac:dyDescent="0.3">
      <c r="A508">
        <v>28</v>
      </c>
      <c r="B508">
        <v>14</v>
      </c>
      <c r="C508" s="11">
        <v>46207</v>
      </c>
      <c r="D508" t="s">
        <v>13</v>
      </c>
      <c r="E508">
        <v>100</v>
      </c>
      <c r="F508" s="11">
        <v>46238</v>
      </c>
      <c r="G508" t="s">
        <v>60</v>
      </c>
      <c r="H508" t="s">
        <v>19</v>
      </c>
      <c r="I508">
        <v>800</v>
      </c>
      <c r="J508" t="s">
        <v>16</v>
      </c>
      <c r="K508" t="s">
        <v>17</v>
      </c>
      <c r="L508" t="s">
        <v>25</v>
      </c>
      <c r="M508" t="s">
        <v>41</v>
      </c>
      <c r="Q508" s="1"/>
    </row>
    <row r="509" spans="1:17" x14ac:dyDescent="0.3">
      <c r="A509">
        <v>16</v>
      </c>
      <c r="B509">
        <v>8</v>
      </c>
      <c r="C509" s="11">
        <v>46237</v>
      </c>
      <c r="D509" t="s">
        <v>20</v>
      </c>
      <c r="E509">
        <v>900</v>
      </c>
      <c r="F509" s="11" t="s">
        <v>64</v>
      </c>
      <c r="G509" t="s">
        <v>31</v>
      </c>
      <c r="H509" t="s">
        <v>30</v>
      </c>
      <c r="I509">
        <v>200</v>
      </c>
      <c r="J509" t="s">
        <v>16</v>
      </c>
      <c r="K509" t="s">
        <v>33</v>
      </c>
      <c r="L509" t="s">
        <v>18</v>
      </c>
      <c r="M509" t="s">
        <v>15</v>
      </c>
      <c r="Q509" s="1"/>
    </row>
    <row r="510" spans="1:17" x14ac:dyDescent="0.3">
      <c r="A510">
        <v>8</v>
      </c>
      <c r="B510">
        <v>4</v>
      </c>
      <c r="C510" s="11">
        <v>46056</v>
      </c>
      <c r="D510" t="s">
        <v>13</v>
      </c>
      <c r="E510">
        <v>3000</v>
      </c>
      <c r="F510" s="11">
        <v>46115</v>
      </c>
      <c r="G510" t="s">
        <v>77</v>
      </c>
      <c r="H510" t="s">
        <v>26</v>
      </c>
      <c r="I510">
        <v>400</v>
      </c>
      <c r="J510" t="s">
        <v>16</v>
      </c>
      <c r="K510" t="s">
        <v>17</v>
      </c>
      <c r="L510" t="s">
        <v>18</v>
      </c>
      <c r="M510" t="s">
        <v>43</v>
      </c>
      <c r="Q510" s="1"/>
    </row>
    <row r="511" spans="1:17" x14ac:dyDescent="0.3">
      <c r="A511">
        <v>31</v>
      </c>
      <c r="B511">
        <v>15</v>
      </c>
      <c r="C511" s="11">
        <v>46207</v>
      </c>
      <c r="D511" t="s">
        <v>20</v>
      </c>
      <c r="E511">
        <v>600</v>
      </c>
      <c r="F511" s="11">
        <v>46238</v>
      </c>
      <c r="G511" t="s">
        <v>66</v>
      </c>
      <c r="H511" t="s">
        <v>19</v>
      </c>
      <c r="I511">
        <v>700</v>
      </c>
      <c r="J511" t="s">
        <v>16</v>
      </c>
      <c r="K511" t="s">
        <v>17</v>
      </c>
      <c r="L511" t="s">
        <v>18</v>
      </c>
      <c r="M511" t="s">
        <v>41</v>
      </c>
      <c r="Q511" s="1"/>
    </row>
    <row r="512" spans="1:17" x14ac:dyDescent="0.3">
      <c r="A512">
        <v>20</v>
      </c>
      <c r="B512">
        <v>10</v>
      </c>
      <c r="C512" s="11">
        <v>46085</v>
      </c>
      <c r="D512" t="s">
        <v>13</v>
      </c>
      <c r="E512">
        <v>1000</v>
      </c>
      <c r="F512" s="11">
        <v>46116</v>
      </c>
      <c r="G512" t="s">
        <v>21</v>
      </c>
      <c r="H512" t="s">
        <v>15</v>
      </c>
      <c r="I512">
        <v>300</v>
      </c>
      <c r="J512" t="s">
        <v>16</v>
      </c>
      <c r="K512" t="s">
        <v>33</v>
      </c>
      <c r="L512" t="s">
        <v>18</v>
      </c>
      <c r="M512" t="s">
        <v>19</v>
      </c>
      <c r="Q512" s="1"/>
    </row>
    <row r="513" spans="1:17" x14ac:dyDescent="0.3">
      <c r="A513">
        <v>11</v>
      </c>
      <c r="B513">
        <v>5</v>
      </c>
      <c r="C513" s="11">
        <v>46056</v>
      </c>
      <c r="D513" t="s">
        <v>20</v>
      </c>
      <c r="E513">
        <v>4000</v>
      </c>
      <c r="F513" s="11">
        <v>46115</v>
      </c>
      <c r="G513" t="s">
        <v>69</v>
      </c>
      <c r="H513" t="s">
        <v>32</v>
      </c>
      <c r="I513">
        <v>500</v>
      </c>
      <c r="J513" t="s">
        <v>23</v>
      </c>
      <c r="K513" t="s">
        <v>17</v>
      </c>
      <c r="L513" t="s">
        <v>18</v>
      </c>
      <c r="M513" t="s">
        <v>26</v>
      </c>
      <c r="Q513" s="1"/>
    </row>
    <row r="514" spans="1:17" x14ac:dyDescent="0.3">
      <c r="A514">
        <v>28</v>
      </c>
      <c r="B514">
        <v>14</v>
      </c>
      <c r="C514" s="11">
        <v>46207</v>
      </c>
      <c r="D514" t="s">
        <v>13</v>
      </c>
      <c r="E514">
        <v>200</v>
      </c>
      <c r="F514" s="11">
        <v>46238</v>
      </c>
      <c r="G514" t="s">
        <v>60</v>
      </c>
      <c r="H514" t="s">
        <v>19</v>
      </c>
      <c r="I514">
        <v>800</v>
      </c>
      <c r="J514" t="s">
        <v>16</v>
      </c>
      <c r="K514" t="s">
        <v>17</v>
      </c>
      <c r="L514" t="s">
        <v>25</v>
      </c>
      <c r="M514" t="s">
        <v>41</v>
      </c>
      <c r="Q514" s="1"/>
    </row>
    <row r="515" spans="1:17" x14ac:dyDescent="0.3">
      <c r="A515">
        <v>15</v>
      </c>
      <c r="B515">
        <v>8</v>
      </c>
      <c r="C515" s="11">
        <v>46268</v>
      </c>
      <c r="D515" t="s">
        <v>20</v>
      </c>
      <c r="E515">
        <v>500</v>
      </c>
      <c r="F515" s="11">
        <v>46026</v>
      </c>
      <c r="G515" t="s">
        <v>39</v>
      </c>
      <c r="H515" t="s">
        <v>30</v>
      </c>
      <c r="I515">
        <v>200</v>
      </c>
      <c r="J515" t="s">
        <v>16</v>
      </c>
      <c r="K515" t="s">
        <v>33</v>
      </c>
      <c r="L515" t="s">
        <v>18</v>
      </c>
      <c r="M515" t="s">
        <v>15</v>
      </c>
      <c r="Q515" s="1"/>
    </row>
    <row r="516" spans="1:17" x14ac:dyDescent="0.3">
      <c r="A516">
        <v>9</v>
      </c>
      <c r="B516">
        <v>4</v>
      </c>
      <c r="C516" s="11">
        <v>46267</v>
      </c>
      <c r="D516" t="s">
        <v>13</v>
      </c>
      <c r="E516">
        <v>3000</v>
      </c>
      <c r="F516" s="11">
        <v>46025</v>
      </c>
      <c r="G516" t="s">
        <v>66</v>
      </c>
      <c r="H516" t="s">
        <v>36</v>
      </c>
      <c r="I516">
        <v>600</v>
      </c>
      <c r="J516" t="s">
        <v>23</v>
      </c>
      <c r="K516" t="s">
        <v>17</v>
      </c>
      <c r="L516" t="s">
        <v>18</v>
      </c>
      <c r="M516" t="s">
        <v>32</v>
      </c>
      <c r="Q516" s="1"/>
    </row>
    <row r="517" spans="1:17" x14ac:dyDescent="0.3">
      <c r="A517">
        <v>24</v>
      </c>
      <c r="B517">
        <v>12</v>
      </c>
      <c r="C517" s="11">
        <v>46146</v>
      </c>
      <c r="D517" t="s">
        <v>20</v>
      </c>
      <c r="E517">
        <v>900</v>
      </c>
      <c r="F517" s="11">
        <v>46177</v>
      </c>
      <c r="G517" t="s">
        <v>48</v>
      </c>
      <c r="H517" t="s">
        <v>15</v>
      </c>
      <c r="I517">
        <v>300</v>
      </c>
      <c r="J517" t="s">
        <v>16</v>
      </c>
      <c r="K517" t="s">
        <v>17</v>
      </c>
      <c r="L517" t="s">
        <v>18</v>
      </c>
      <c r="M517" t="s">
        <v>19</v>
      </c>
      <c r="Q517" s="1"/>
    </row>
    <row r="518" spans="1:17" x14ac:dyDescent="0.3">
      <c r="A518">
        <v>13</v>
      </c>
      <c r="B518">
        <v>7</v>
      </c>
      <c r="C518" s="11">
        <v>46206</v>
      </c>
      <c r="D518" t="s">
        <v>13</v>
      </c>
      <c r="E518">
        <v>100</v>
      </c>
      <c r="F518" s="11">
        <v>46237</v>
      </c>
      <c r="G518" t="s">
        <v>78</v>
      </c>
      <c r="H518" t="s">
        <v>28</v>
      </c>
      <c r="I518">
        <v>200</v>
      </c>
      <c r="J518" t="s">
        <v>16</v>
      </c>
      <c r="K518" t="s">
        <v>33</v>
      </c>
      <c r="L518" t="s">
        <v>34</v>
      </c>
      <c r="M518" t="s">
        <v>30</v>
      </c>
      <c r="Q518" s="1"/>
    </row>
    <row r="519" spans="1:17" x14ac:dyDescent="0.3">
      <c r="A519">
        <v>6</v>
      </c>
      <c r="B519">
        <v>3</v>
      </c>
      <c r="C519" s="11">
        <v>46267</v>
      </c>
      <c r="D519" t="s">
        <v>20</v>
      </c>
      <c r="E519">
        <v>6000</v>
      </c>
      <c r="F519" s="11">
        <v>46025</v>
      </c>
      <c r="G519" t="s">
        <v>66</v>
      </c>
      <c r="H519" t="s">
        <v>36</v>
      </c>
      <c r="I519">
        <v>500</v>
      </c>
      <c r="J519" t="s">
        <v>23</v>
      </c>
      <c r="K519" t="s">
        <v>17</v>
      </c>
      <c r="L519" t="s">
        <v>18</v>
      </c>
      <c r="M519" t="s">
        <v>32</v>
      </c>
      <c r="Q519" s="1"/>
    </row>
    <row r="520" spans="1:17" x14ac:dyDescent="0.3">
      <c r="A520">
        <v>21</v>
      </c>
      <c r="B520">
        <v>11</v>
      </c>
      <c r="C520" s="11">
        <v>46116</v>
      </c>
      <c r="D520" t="s">
        <v>13</v>
      </c>
      <c r="E520">
        <v>500</v>
      </c>
      <c r="F520" s="11">
        <v>46177</v>
      </c>
      <c r="G520" t="s">
        <v>73</v>
      </c>
      <c r="H520" t="s">
        <v>30</v>
      </c>
      <c r="I520">
        <v>400</v>
      </c>
      <c r="J520" t="s">
        <v>16</v>
      </c>
      <c r="K520" t="s">
        <v>33</v>
      </c>
      <c r="L520" t="s">
        <v>18</v>
      </c>
      <c r="M520" t="s">
        <v>15</v>
      </c>
      <c r="Q520" s="1"/>
    </row>
    <row r="521" spans="1:17" x14ac:dyDescent="0.3">
      <c r="A521">
        <v>32</v>
      </c>
      <c r="B521">
        <v>16</v>
      </c>
      <c r="C521" s="11">
        <v>46238</v>
      </c>
      <c r="D521" t="s">
        <v>20</v>
      </c>
      <c r="E521">
        <v>2000</v>
      </c>
      <c r="F521" s="11">
        <v>46269</v>
      </c>
      <c r="G521" t="s">
        <v>55</v>
      </c>
      <c r="H521" t="s">
        <v>19</v>
      </c>
      <c r="I521">
        <v>700</v>
      </c>
      <c r="J521" t="s">
        <v>16</v>
      </c>
      <c r="K521" t="s">
        <v>17</v>
      </c>
      <c r="L521" t="s">
        <v>18</v>
      </c>
      <c r="M521" t="s">
        <v>41</v>
      </c>
      <c r="Q521" s="1"/>
    </row>
    <row r="522" spans="1:17" x14ac:dyDescent="0.3">
      <c r="A522">
        <v>17</v>
      </c>
      <c r="B522">
        <v>9</v>
      </c>
      <c r="C522" s="11">
        <v>46026</v>
      </c>
      <c r="D522" t="s">
        <v>13</v>
      </c>
      <c r="E522">
        <v>400</v>
      </c>
      <c r="F522" s="11">
        <v>46057</v>
      </c>
      <c r="G522" t="s">
        <v>27</v>
      </c>
      <c r="H522" t="s">
        <v>15</v>
      </c>
      <c r="I522">
        <v>200</v>
      </c>
      <c r="J522" t="s">
        <v>16</v>
      </c>
      <c r="K522" t="s">
        <v>33</v>
      </c>
      <c r="L522" t="s">
        <v>34</v>
      </c>
      <c r="M522" t="s">
        <v>19</v>
      </c>
      <c r="Q522" s="1"/>
    </row>
    <row r="523" spans="1:17" x14ac:dyDescent="0.3">
      <c r="A523">
        <v>25</v>
      </c>
      <c r="B523">
        <v>13</v>
      </c>
      <c r="C523" s="11">
        <v>46177</v>
      </c>
      <c r="D523" t="s">
        <v>20</v>
      </c>
      <c r="E523">
        <v>300</v>
      </c>
      <c r="F523" s="11">
        <v>46207</v>
      </c>
      <c r="G523" t="s">
        <v>39</v>
      </c>
      <c r="H523" t="s">
        <v>19</v>
      </c>
      <c r="I523">
        <v>800</v>
      </c>
      <c r="J523" t="s">
        <v>16</v>
      </c>
      <c r="K523" t="s">
        <v>17</v>
      </c>
      <c r="L523" t="s">
        <v>18</v>
      </c>
      <c r="M523" t="s">
        <v>41</v>
      </c>
      <c r="Q523" s="1"/>
    </row>
    <row r="524" spans="1:17" x14ac:dyDescent="0.3">
      <c r="A524">
        <v>19</v>
      </c>
      <c r="B524">
        <v>9</v>
      </c>
      <c r="C524" s="11">
        <v>46057</v>
      </c>
      <c r="D524" t="s">
        <v>13</v>
      </c>
      <c r="E524">
        <v>200</v>
      </c>
      <c r="F524" s="11">
        <v>46085</v>
      </c>
      <c r="G524" t="s">
        <v>60</v>
      </c>
      <c r="H524" t="s">
        <v>15</v>
      </c>
      <c r="I524">
        <v>300</v>
      </c>
      <c r="J524" t="s">
        <v>16</v>
      </c>
      <c r="K524" t="s">
        <v>33</v>
      </c>
      <c r="L524" t="s">
        <v>18</v>
      </c>
      <c r="M524" t="s">
        <v>19</v>
      </c>
      <c r="Q524" s="1"/>
    </row>
    <row r="525" spans="1:17" x14ac:dyDescent="0.3">
      <c r="A525">
        <v>34</v>
      </c>
      <c r="B525">
        <v>17</v>
      </c>
      <c r="C525" s="11">
        <v>46269</v>
      </c>
      <c r="D525" t="s">
        <v>20</v>
      </c>
      <c r="E525">
        <v>7000</v>
      </c>
      <c r="F525" s="11" t="s">
        <v>81</v>
      </c>
      <c r="G525" t="s">
        <v>35</v>
      </c>
      <c r="H525" t="s">
        <v>19</v>
      </c>
      <c r="I525">
        <v>900</v>
      </c>
      <c r="J525" t="s">
        <v>23</v>
      </c>
      <c r="K525" t="s">
        <v>17</v>
      </c>
      <c r="L525" t="s">
        <v>25</v>
      </c>
      <c r="M525" t="s">
        <v>41</v>
      </c>
      <c r="Q525" s="1"/>
    </row>
    <row r="526" spans="1:17" x14ac:dyDescent="0.3">
      <c r="A526">
        <v>22</v>
      </c>
      <c r="B526">
        <v>11</v>
      </c>
      <c r="C526" s="11">
        <v>46146</v>
      </c>
      <c r="D526" t="s">
        <v>13</v>
      </c>
      <c r="E526">
        <v>1000</v>
      </c>
      <c r="F526" s="11">
        <v>46207</v>
      </c>
      <c r="G526" t="s">
        <v>66</v>
      </c>
      <c r="H526" t="s">
        <v>15</v>
      </c>
      <c r="I526">
        <v>400</v>
      </c>
      <c r="J526" t="s">
        <v>16</v>
      </c>
      <c r="K526" t="s">
        <v>17</v>
      </c>
      <c r="L526" t="s">
        <v>18</v>
      </c>
      <c r="M526" t="s">
        <v>19</v>
      </c>
      <c r="Q526" s="1"/>
    </row>
    <row r="527" spans="1:17" x14ac:dyDescent="0.3">
      <c r="A527">
        <v>16</v>
      </c>
      <c r="B527">
        <v>8</v>
      </c>
      <c r="C527" s="11">
        <v>46237</v>
      </c>
      <c r="D527" t="s">
        <v>20</v>
      </c>
      <c r="E527">
        <v>400</v>
      </c>
      <c r="F527" s="11" t="s">
        <v>64</v>
      </c>
      <c r="G527" t="s">
        <v>31</v>
      </c>
      <c r="H527" t="s">
        <v>30</v>
      </c>
      <c r="I527">
        <v>200</v>
      </c>
      <c r="J527" t="s">
        <v>16</v>
      </c>
      <c r="K527" t="s">
        <v>33</v>
      </c>
      <c r="L527" t="s">
        <v>18</v>
      </c>
      <c r="M527" t="s">
        <v>15</v>
      </c>
      <c r="Q527" s="1"/>
    </row>
    <row r="528" spans="1:17" x14ac:dyDescent="0.3">
      <c r="A528">
        <v>10</v>
      </c>
      <c r="B528">
        <v>5</v>
      </c>
      <c r="C528" s="11">
        <v>46025</v>
      </c>
      <c r="D528" t="s">
        <v>13</v>
      </c>
      <c r="E528">
        <v>5000</v>
      </c>
      <c r="F528" s="11">
        <v>46056</v>
      </c>
      <c r="G528" t="s">
        <v>55</v>
      </c>
      <c r="H528" t="s">
        <v>36</v>
      </c>
      <c r="I528">
        <v>600</v>
      </c>
      <c r="J528" t="s">
        <v>23</v>
      </c>
      <c r="K528" t="s">
        <v>33</v>
      </c>
      <c r="L528" t="s">
        <v>34</v>
      </c>
      <c r="M528" t="s">
        <v>32</v>
      </c>
      <c r="Q528" s="1"/>
    </row>
    <row r="529" spans="1:17" x14ac:dyDescent="0.3">
      <c r="A529">
        <v>27</v>
      </c>
      <c r="B529">
        <v>13</v>
      </c>
      <c r="C529" s="11">
        <v>46177</v>
      </c>
      <c r="D529" t="s">
        <v>13</v>
      </c>
      <c r="E529">
        <v>1000</v>
      </c>
      <c r="F529" s="11">
        <v>46238</v>
      </c>
      <c r="G529" t="s">
        <v>42</v>
      </c>
      <c r="H529" t="s">
        <v>19</v>
      </c>
      <c r="I529">
        <v>800</v>
      </c>
      <c r="J529" t="s">
        <v>16</v>
      </c>
      <c r="K529" t="s">
        <v>33</v>
      </c>
      <c r="L529" t="s">
        <v>18</v>
      </c>
      <c r="M529" t="s">
        <v>41</v>
      </c>
      <c r="Q529" s="1"/>
    </row>
    <row r="530" spans="1:17" x14ac:dyDescent="0.3">
      <c r="A530">
        <v>7</v>
      </c>
      <c r="B530">
        <v>3</v>
      </c>
      <c r="C530" s="11">
        <v>46267</v>
      </c>
      <c r="D530" t="s">
        <v>20</v>
      </c>
      <c r="E530">
        <v>4000</v>
      </c>
      <c r="F530" s="11">
        <v>46025</v>
      </c>
      <c r="G530" t="s">
        <v>57</v>
      </c>
      <c r="H530" t="s">
        <v>36</v>
      </c>
      <c r="I530">
        <v>500</v>
      </c>
      <c r="J530" t="s">
        <v>23</v>
      </c>
      <c r="K530" t="s">
        <v>17</v>
      </c>
      <c r="L530" t="s">
        <v>18</v>
      </c>
      <c r="M530" t="s">
        <v>32</v>
      </c>
      <c r="Q530" s="1"/>
    </row>
    <row r="531" spans="1:17" x14ac:dyDescent="0.3">
      <c r="A531">
        <v>23</v>
      </c>
      <c r="B531">
        <v>11</v>
      </c>
      <c r="C531" s="11">
        <v>46116</v>
      </c>
      <c r="D531" t="s">
        <v>13</v>
      </c>
      <c r="E531">
        <v>800</v>
      </c>
      <c r="F531" s="11">
        <v>46177</v>
      </c>
      <c r="G531" t="s">
        <v>39</v>
      </c>
      <c r="H531" t="s">
        <v>30</v>
      </c>
      <c r="I531">
        <v>400</v>
      </c>
      <c r="J531" t="s">
        <v>16</v>
      </c>
      <c r="K531" t="s">
        <v>33</v>
      </c>
      <c r="L531" t="s">
        <v>18</v>
      </c>
      <c r="M531" t="s">
        <v>15</v>
      </c>
      <c r="Q531" s="1"/>
    </row>
    <row r="532" spans="1:17" x14ac:dyDescent="0.3">
      <c r="A532">
        <v>12</v>
      </c>
      <c r="B532">
        <v>6</v>
      </c>
      <c r="C532" s="11">
        <v>46084</v>
      </c>
      <c r="D532" t="s">
        <v>20</v>
      </c>
      <c r="E532">
        <v>2000</v>
      </c>
      <c r="F532" s="11">
        <v>46145</v>
      </c>
      <c r="G532" t="s">
        <v>66</v>
      </c>
      <c r="H532" t="s">
        <v>63</v>
      </c>
      <c r="I532">
        <v>500</v>
      </c>
      <c r="J532" t="s">
        <v>23</v>
      </c>
      <c r="K532" t="s">
        <v>17</v>
      </c>
      <c r="L532" t="s">
        <v>25</v>
      </c>
      <c r="M532" t="s">
        <v>28</v>
      </c>
      <c r="Q532" s="1"/>
    </row>
    <row r="533" spans="1:17" x14ac:dyDescent="0.3">
      <c r="A533">
        <v>28</v>
      </c>
      <c r="B533">
        <v>14</v>
      </c>
      <c r="C533" s="11">
        <v>46207</v>
      </c>
      <c r="D533" t="s">
        <v>13</v>
      </c>
      <c r="E533">
        <v>100</v>
      </c>
      <c r="F533" s="11">
        <v>46238</v>
      </c>
      <c r="G533" t="s">
        <v>60</v>
      </c>
      <c r="H533" t="s">
        <v>19</v>
      </c>
      <c r="I533">
        <v>800</v>
      </c>
      <c r="J533" t="s">
        <v>16</v>
      </c>
      <c r="K533" t="s">
        <v>17</v>
      </c>
      <c r="L533" t="s">
        <v>25</v>
      </c>
      <c r="M533" t="s">
        <v>41</v>
      </c>
      <c r="Q533" s="1"/>
    </row>
    <row r="534" spans="1:17" x14ac:dyDescent="0.3">
      <c r="A534">
        <v>16</v>
      </c>
      <c r="B534">
        <v>8</v>
      </c>
      <c r="C534" s="11">
        <v>46237</v>
      </c>
      <c r="D534" t="s">
        <v>20</v>
      </c>
      <c r="E534">
        <v>900</v>
      </c>
      <c r="F534" s="11" t="s">
        <v>64</v>
      </c>
      <c r="G534" t="s">
        <v>31</v>
      </c>
      <c r="H534" t="s">
        <v>30</v>
      </c>
      <c r="I534">
        <v>200</v>
      </c>
      <c r="J534" t="s">
        <v>16</v>
      </c>
      <c r="K534" t="s">
        <v>33</v>
      </c>
      <c r="L534" t="s">
        <v>18</v>
      </c>
      <c r="M534" t="s">
        <v>15</v>
      </c>
      <c r="Q534" s="1"/>
    </row>
    <row r="535" spans="1:17" x14ac:dyDescent="0.3">
      <c r="A535">
        <v>8</v>
      </c>
      <c r="B535">
        <v>4</v>
      </c>
      <c r="C535" s="11">
        <v>46056</v>
      </c>
      <c r="D535" t="s">
        <v>13</v>
      </c>
      <c r="E535">
        <v>3000</v>
      </c>
      <c r="F535" s="11">
        <v>46115</v>
      </c>
      <c r="G535" t="s">
        <v>77</v>
      </c>
      <c r="H535" t="s">
        <v>26</v>
      </c>
      <c r="I535">
        <v>400</v>
      </c>
      <c r="J535" t="s">
        <v>16</v>
      </c>
      <c r="K535" t="s">
        <v>17</v>
      </c>
      <c r="L535" t="s">
        <v>18</v>
      </c>
      <c r="M535" t="s">
        <v>43</v>
      </c>
      <c r="Q535" s="1"/>
    </row>
    <row r="536" spans="1:17" x14ac:dyDescent="0.3">
      <c r="A536">
        <v>31</v>
      </c>
      <c r="B536">
        <v>15</v>
      </c>
      <c r="C536" s="11">
        <v>46207</v>
      </c>
      <c r="D536" t="s">
        <v>20</v>
      </c>
      <c r="E536">
        <v>600</v>
      </c>
      <c r="F536" s="11">
        <v>46238</v>
      </c>
      <c r="G536" t="s">
        <v>66</v>
      </c>
      <c r="H536" t="s">
        <v>19</v>
      </c>
      <c r="I536">
        <v>700</v>
      </c>
      <c r="J536" t="s">
        <v>16</v>
      </c>
      <c r="K536" t="s">
        <v>17</v>
      </c>
      <c r="L536" t="s">
        <v>18</v>
      </c>
      <c r="M536" t="s">
        <v>41</v>
      </c>
      <c r="Q536" s="1"/>
    </row>
    <row r="537" spans="1:17" x14ac:dyDescent="0.3">
      <c r="A537">
        <v>20</v>
      </c>
      <c r="B537">
        <v>10</v>
      </c>
      <c r="C537" s="11">
        <v>46085</v>
      </c>
      <c r="D537" t="s">
        <v>13</v>
      </c>
      <c r="E537">
        <v>1000</v>
      </c>
      <c r="F537" s="11">
        <v>46116</v>
      </c>
      <c r="G537" t="s">
        <v>21</v>
      </c>
      <c r="H537" t="s">
        <v>15</v>
      </c>
      <c r="I537">
        <v>300</v>
      </c>
      <c r="J537" t="s">
        <v>16</v>
      </c>
      <c r="K537" t="s">
        <v>33</v>
      </c>
      <c r="L537" t="s">
        <v>18</v>
      </c>
      <c r="M537" t="s">
        <v>19</v>
      </c>
      <c r="Q537" s="1"/>
    </row>
    <row r="538" spans="1:17" x14ac:dyDescent="0.3">
      <c r="A538">
        <v>11</v>
      </c>
      <c r="B538">
        <v>5</v>
      </c>
      <c r="C538" s="11">
        <v>46056</v>
      </c>
      <c r="D538" t="s">
        <v>20</v>
      </c>
      <c r="E538">
        <v>4000</v>
      </c>
      <c r="F538" s="11">
        <v>46115</v>
      </c>
      <c r="G538" t="s">
        <v>69</v>
      </c>
      <c r="H538" t="s">
        <v>32</v>
      </c>
      <c r="I538">
        <v>500</v>
      </c>
      <c r="J538" t="s">
        <v>23</v>
      </c>
      <c r="K538" t="s">
        <v>17</v>
      </c>
      <c r="L538" t="s">
        <v>18</v>
      </c>
      <c r="M538" t="s">
        <v>26</v>
      </c>
      <c r="Q538" s="1"/>
    </row>
    <row r="539" spans="1:17" x14ac:dyDescent="0.3">
      <c r="A539">
        <v>28</v>
      </c>
      <c r="B539">
        <v>14</v>
      </c>
      <c r="C539" s="11">
        <v>46207</v>
      </c>
      <c r="D539" t="s">
        <v>13</v>
      </c>
      <c r="E539">
        <v>200</v>
      </c>
      <c r="F539" s="11">
        <v>46238</v>
      </c>
      <c r="G539" t="s">
        <v>60</v>
      </c>
      <c r="H539" t="s">
        <v>19</v>
      </c>
      <c r="I539">
        <v>800</v>
      </c>
      <c r="J539" t="s">
        <v>16</v>
      </c>
      <c r="K539" t="s">
        <v>17</v>
      </c>
      <c r="L539" t="s">
        <v>25</v>
      </c>
      <c r="M539" t="s">
        <v>41</v>
      </c>
      <c r="Q539" s="1"/>
    </row>
    <row r="540" spans="1:17" x14ac:dyDescent="0.3">
      <c r="A540">
        <v>15</v>
      </c>
      <c r="B540">
        <v>8</v>
      </c>
      <c r="C540" s="11">
        <v>46268</v>
      </c>
      <c r="D540" t="s">
        <v>20</v>
      </c>
      <c r="E540">
        <v>500</v>
      </c>
      <c r="F540" s="11">
        <v>46026</v>
      </c>
      <c r="G540" t="s">
        <v>39</v>
      </c>
      <c r="H540" t="s">
        <v>30</v>
      </c>
      <c r="I540">
        <v>200</v>
      </c>
      <c r="J540" t="s">
        <v>16</v>
      </c>
      <c r="K540" t="s">
        <v>33</v>
      </c>
      <c r="L540" t="s">
        <v>18</v>
      </c>
      <c r="M540" t="s">
        <v>15</v>
      </c>
      <c r="Q540" s="1"/>
    </row>
    <row r="541" spans="1:17" x14ac:dyDescent="0.3">
      <c r="A541">
        <v>9</v>
      </c>
      <c r="B541">
        <v>4</v>
      </c>
      <c r="C541" s="11">
        <v>46267</v>
      </c>
      <c r="D541" t="s">
        <v>13</v>
      </c>
      <c r="E541">
        <v>3000</v>
      </c>
      <c r="F541" s="11">
        <v>46025</v>
      </c>
      <c r="G541" t="s">
        <v>66</v>
      </c>
      <c r="H541" t="s">
        <v>36</v>
      </c>
      <c r="I541">
        <v>600</v>
      </c>
      <c r="J541" t="s">
        <v>23</v>
      </c>
      <c r="K541" t="s">
        <v>17</v>
      </c>
      <c r="L541" t="s">
        <v>18</v>
      </c>
      <c r="M541" t="s">
        <v>32</v>
      </c>
      <c r="Q541" s="1"/>
    </row>
    <row r="542" spans="1:17" x14ac:dyDescent="0.3">
      <c r="A542">
        <v>24</v>
      </c>
      <c r="B542">
        <v>12</v>
      </c>
      <c r="C542" s="11">
        <v>46146</v>
      </c>
      <c r="D542" t="s">
        <v>20</v>
      </c>
      <c r="E542">
        <v>900</v>
      </c>
      <c r="F542" s="11">
        <v>46177</v>
      </c>
      <c r="G542" t="s">
        <v>48</v>
      </c>
      <c r="H542" t="s">
        <v>15</v>
      </c>
      <c r="I542">
        <v>300</v>
      </c>
      <c r="J542" t="s">
        <v>16</v>
      </c>
      <c r="K542" t="s">
        <v>17</v>
      </c>
      <c r="L542" t="s">
        <v>18</v>
      </c>
      <c r="M542" t="s">
        <v>19</v>
      </c>
      <c r="Q542" s="1"/>
    </row>
    <row r="543" spans="1:17" x14ac:dyDescent="0.3">
      <c r="A543">
        <v>13</v>
      </c>
      <c r="B543">
        <v>7</v>
      </c>
      <c r="C543" s="11">
        <v>46206</v>
      </c>
      <c r="D543" t="s">
        <v>13</v>
      </c>
      <c r="E543">
        <v>100</v>
      </c>
      <c r="F543" s="11">
        <v>46237</v>
      </c>
      <c r="G543" t="s">
        <v>78</v>
      </c>
      <c r="H543" t="s">
        <v>28</v>
      </c>
      <c r="I543">
        <v>200</v>
      </c>
      <c r="J543" t="s">
        <v>16</v>
      </c>
      <c r="K543" t="s">
        <v>33</v>
      </c>
      <c r="L543" t="s">
        <v>34</v>
      </c>
      <c r="M543" t="s">
        <v>30</v>
      </c>
      <c r="Q543" s="1"/>
    </row>
    <row r="544" spans="1:17" x14ac:dyDescent="0.3">
      <c r="A544">
        <v>6</v>
      </c>
      <c r="B544">
        <v>3</v>
      </c>
      <c r="C544" s="11">
        <v>46267</v>
      </c>
      <c r="D544" t="s">
        <v>20</v>
      </c>
      <c r="E544">
        <v>6000</v>
      </c>
      <c r="F544" s="11">
        <v>46025</v>
      </c>
      <c r="G544" t="s">
        <v>66</v>
      </c>
      <c r="H544" t="s">
        <v>36</v>
      </c>
      <c r="I544">
        <v>500</v>
      </c>
      <c r="J544" t="s">
        <v>23</v>
      </c>
      <c r="K544" t="s">
        <v>17</v>
      </c>
      <c r="L544" t="s">
        <v>18</v>
      </c>
      <c r="M544" t="s">
        <v>32</v>
      </c>
      <c r="Q544" s="1"/>
    </row>
    <row r="545" spans="1:17" x14ac:dyDescent="0.3">
      <c r="A545">
        <v>21</v>
      </c>
      <c r="B545">
        <v>11</v>
      </c>
      <c r="C545" s="11">
        <v>46116</v>
      </c>
      <c r="D545" t="s">
        <v>13</v>
      </c>
      <c r="E545">
        <v>500</v>
      </c>
      <c r="F545" s="11">
        <v>46177</v>
      </c>
      <c r="G545" t="s">
        <v>73</v>
      </c>
      <c r="H545" t="s">
        <v>30</v>
      </c>
      <c r="I545">
        <v>400</v>
      </c>
      <c r="J545" t="s">
        <v>16</v>
      </c>
      <c r="K545" t="s">
        <v>33</v>
      </c>
      <c r="L545" t="s">
        <v>18</v>
      </c>
      <c r="M545" t="s">
        <v>15</v>
      </c>
      <c r="Q545" s="1"/>
    </row>
    <row r="546" spans="1:17" x14ac:dyDescent="0.3">
      <c r="A546">
        <v>32</v>
      </c>
      <c r="B546">
        <v>16</v>
      </c>
      <c r="C546" s="11">
        <v>46238</v>
      </c>
      <c r="D546" t="s">
        <v>20</v>
      </c>
      <c r="E546">
        <v>2000</v>
      </c>
      <c r="F546" s="11">
        <v>46269</v>
      </c>
      <c r="G546" t="s">
        <v>55</v>
      </c>
      <c r="H546" t="s">
        <v>19</v>
      </c>
      <c r="I546">
        <v>700</v>
      </c>
      <c r="J546" t="s">
        <v>16</v>
      </c>
      <c r="K546" t="s">
        <v>17</v>
      </c>
      <c r="L546" t="s">
        <v>18</v>
      </c>
      <c r="M546" t="s">
        <v>41</v>
      </c>
      <c r="Q546" s="1"/>
    </row>
    <row r="547" spans="1:17" x14ac:dyDescent="0.3">
      <c r="A547">
        <v>17</v>
      </c>
      <c r="B547">
        <v>9</v>
      </c>
      <c r="C547" s="11">
        <v>46026</v>
      </c>
      <c r="D547" t="s">
        <v>13</v>
      </c>
      <c r="E547">
        <v>400</v>
      </c>
      <c r="F547" s="11">
        <v>46057</v>
      </c>
      <c r="G547" t="s">
        <v>27</v>
      </c>
      <c r="H547" t="s">
        <v>15</v>
      </c>
      <c r="I547">
        <v>200</v>
      </c>
      <c r="J547" t="s">
        <v>16</v>
      </c>
      <c r="K547" t="s">
        <v>33</v>
      </c>
      <c r="L547" t="s">
        <v>34</v>
      </c>
      <c r="M547" t="s">
        <v>19</v>
      </c>
      <c r="Q547" s="1"/>
    </row>
    <row r="548" spans="1:17" x14ac:dyDescent="0.3">
      <c r="A548">
        <v>25</v>
      </c>
      <c r="B548">
        <v>13</v>
      </c>
      <c r="C548" s="11">
        <v>46177</v>
      </c>
      <c r="D548" t="s">
        <v>20</v>
      </c>
      <c r="E548">
        <v>300</v>
      </c>
      <c r="F548" s="11">
        <v>46207</v>
      </c>
      <c r="G548" t="s">
        <v>39</v>
      </c>
      <c r="H548" t="s">
        <v>19</v>
      </c>
      <c r="I548">
        <v>800</v>
      </c>
      <c r="J548" t="s">
        <v>16</v>
      </c>
      <c r="K548" t="s">
        <v>17</v>
      </c>
      <c r="L548" t="s">
        <v>18</v>
      </c>
      <c r="M548" t="s">
        <v>41</v>
      </c>
      <c r="Q548" s="1"/>
    </row>
    <row r="549" spans="1:17" x14ac:dyDescent="0.3">
      <c r="A549">
        <v>19</v>
      </c>
      <c r="B549">
        <v>9</v>
      </c>
      <c r="C549" s="11">
        <v>46057</v>
      </c>
      <c r="D549" t="s">
        <v>13</v>
      </c>
      <c r="E549">
        <v>200</v>
      </c>
      <c r="F549" s="11">
        <v>46085</v>
      </c>
      <c r="G549" t="s">
        <v>60</v>
      </c>
      <c r="H549" t="s">
        <v>15</v>
      </c>
      <c r="I549">
        <v>300</v>
      </c>
      <c r="J549" t="s">
        <v>16</v>
      </c>
      <c r="K549" t="s">
        <v>33</v>
      </c>
      <c r="L549" t="s">
        <v>18</v>
      </c>
      <c r="M549" t="s">
        <v>19</v>
      </c>
      <c r="Q549" s="1"/>
    </row>
    <row r="550" spans="1:17" x14ac:dyDescent="0.3">
      <c r="A550">
        <v>34</v>
      </c>
      <c r="B550">
        <v>17</v>
      </c>
      <c r="C550" s="11">
        <v>46269</v>
      </c>
      <c r="D550" t="s">
        <v>20</v>
      </c>
      <c r="E550">
        <v>7000</v>
      </c>
      <c r="F550" s="11" t="s">
        <v>81</v>
      </c>
      <c r="G550" t="s">
        <v>35</v>
      </c>
      <c r="H550" t="s">
        <v>19</v>
      </c>
      <c r="I550">
        <v>900</v>
      </c>
      <c r="J550" t="s">
        <v>23</v>
      </c>
      <c r="K550" t="s">
        <v>17</v>
      </c>
      <c r="L550" t="s">
        <v>25</v>
      </c>
      <c r="M550" t="s">
        <v>41</v>
      </c>
      <c r="Q550" s="1"/>
    </row>
    <row r="551" spans="1:17" x14ac:dyDescent="0.3">
      <c r="A551">
        <v>22</v>
      </c>
      <c r="B551">
        <v>11</v>
      </c>
      <c r="C551" s="11">
        <v>46146</v>
      </c>
      <c r="D551" t="s">
        <v>13</v>
      </c>
      <c r="E551">
        <v>1000</v>
      </c>
      <c r="F551" s="11">
        <v>46207</v>
      </c>
      <c r="G551" t="s">
        <v>66</v>
      </c>
      <c r="H551" t="s">
        <v>15</v>
      </c>
      <c r="I551">
        <v>400</v>
      </c>
      <c r="J551" t="s">
        <v>16</v>
      </c>
      <c r="K551" t="s">
        <v>17</v>
      </c>
      <c r="L551" t="s">
        <v>18</v>
      </c>
      <c r="M551" t="s">
        <v>19</v>
      </c>
      <c r="Q551" s="1"/>
    </row>
    <row r="552" spans="1:17" x14ac:dyDescent="0.3">
      <c r="A552">
        <v>16</v>
      </c>
      <c r="B552">
        <v>8</v>
      </c>
      <c r="C552" s="11">
        <v>46237</v>
      </c>
      <c r="D552" t="s">
        <v>20</v>
      </c>
      <c r="E552">
        <v>400</v>
      </c>
      <c r="F552" s="11" t="s">
        <v>64</v>
      </c>
      <c r="G552" t="s">
        <v>31</v>
      </c>
      <c r="H552" t="s">
        <v>30</v>
      </c>
      <c r="I552">
        <v>200</v>
      </c>
      <c r="J552" t="s">
        <v>16</v>
      </c>
      <c r="K552" t="s">
        <v>33</v>
      </c>
      <c r="L552" t="s">
        <v>18</v>
      </c>
      <c r="M552" t="s">
        <v>15</v>
      </c>
      <c r="Q552" s="1"/>
    </row>
    <row r="553" spans="1:17" x14ac:dyDescent="0.3">
      <c r="A553">
        <v>10</v>
      </c>
      <c r="B553">
        <v>5</v>
      </c>
      <c r="C553" s="11">
        <v>46025</v>
      </c>
      <c r="D553" t="s">
        <v>13</v>
      </c>
      <c r="E553">
        <v>5000</v>
      </c>
      <c r="F553" s="11">
        <v>46056</v>
      </c>
      <c r="G553" t="s">
        <v>55</v>
      </c>
      <c r="H553" t="s">
        <v>36</v>
      </c>
      <c r="I553">
        <v>600</v>
      </c>
      <c r="J553" t="s">
        <v>23</v>
      </c>
      <c r="K553" t="s">
        <v>33</v>
      </c>
      <c r="L553" t="s">
        <v>34</v>
      </c>
      <c r="M553" t="s">
        <v>32</v>
      </c>
      <c r="Q553" s="1"/>
    </row>
    <row r="554" spans="1:17" x14ac:dyDescent="0.3">
      <c r="A554">
        <v>27</v>
      </c>
      <c r="B554">
        <v>13</v>
      </c>
      <c r="C554" s="11">
        <v>46177</v>
      </c>
      <c r="D554" t="s">
        <v>13</v>
      </c>
      <c r="E554">
        <v>1000</v>
      </c>
      <c r="F554" s="11">
        <v>46238</v>
      </c>
      <c r="G554" t="s">
        <v>42</v>
      </c>
      <c r="H554" t="s">
        <v>19</v>
      </c>
      <c r="I554">
        <v>800</v>
      </c>
      <c r="J554" t="s">
        <v>16</v>
      </c>
      <c r="K554" t="s">
        <v>33</v>
      </c>
      <c r="L554" t="s">
        <v>18</v>
      </c>
      <c r="M554" t="s">
        <v>41</v>
      </c>
      <c r="Q554" s="1"/>
    </row>
    <row r="555" spans="1:17" x14ac:dyDescent="0.3">
      <c r="A555">
        <v>7</v>
      </c>
      <c r="B555">
        <v>3</v>
      </c>
      <c r="C555" s="11">
        <v>46267</v>
      </c>
      <c r="D555" t="s">
        <v>20</v>
      </c>
      <c r="E555">
        <v>4000</v>
      </c>
      <c r="F555" s="11">
        <v>46025</v>
      </c>
      <c r="G555" t="s">
        <v>57</v>
      </c>
      <c r="H555" t="s">
        <v>36</v>
      </c>
      <c r="I555">
        <v>500</v>
      </c>
      <c r="J555" t="s">
        <v>23</v>
      </c>
      <c r="K555" t="s">
        <v>17</v>
      </c>
      <c r="L555" t="s">
        <v>18</v>
      </c>
      <c r="M555" t="s">
        <v>32</v>
      </c>
      <c r="Q555" s="1"/>
    </row>
    <row r="556" spans="1:17" x14ac:dyDescent="0.3">
      <c r="A556">
        <v>23</v>
      </c>
      <c r="B556">
        <v>11</v>
      </c>
      <c r="C556" s="11">
        <v>46116</v>
      </c>
      <c r="D556" t="s">
        <v>13</v>
      </c>
      <c r="E556">
        <v>800</v>
      </c>
      <c r="F556" s="11">
        <v>46177</v>
      </c>
      <c r="G556" t="s">
        <v>39</v>
      </c>
      <c r="H556" t="s">
        <v>30</v>
      </c>
      <c r="I556">
        <v>400</v>
      </c>
      <c r="J556" t="s">
        <v>16</v>
      </c>
      <c r="K556" t="s">
        <v>33</v>
      </c>
      <c r="L556" t="s">
        <v>18</v>
      </c>
      <c r="M556" t="s">
        <v>15</v>
      </c>
      <c r="Q556" s="1"/>
    </row>
    <row r="557" spans="1:17" x14ac:dyDescent="0.3">
      <c r="A557">
        <v>12</v>
      </c>
      <c r="B557">
        <v>6</v>
      </c>
      <c r="C557" s="11">
        <v>46084</v>
      </c>
      <c r="D557" t="s">
        <v>20</v>
      </c>
      <c r="E557">
        <v>2000</v>
      </c>
      <c r="F557" s="11">
        <v>46145</v>
      </c>
      <c r="G557" t="s">
        <v>66</v>
      </c>
      <c r="H557" t="s">
        <v>63</v>
      </c>
      <c r="I557">
        <v>500</v>
      </c>
      <c r="J557" t="s">
        <v>23</v>
      </c>
      <c r="K557" t="s">
        <v>17</v>
      </c>
      <c r="L557" t="s">
        <v>25</v>
      </c>
      <c r="M557" t="s">
        <v>28</v>
      </c>
      <c r="Q557" s="1"/>
    </row>
    <row r="558" spans="1:17" x14ac:dyDescent="0.3">
      <c r="A558">
        <v>28</v>
      </c>
      <c r="B558">
        <v>14</v>
      </c>
      <c r="C558" s="11">
        <v>46207</v>
      </c>
      <c r="D558" t="s">
        <v>13</v>
      </c>
      <c r="E558">
        <v>100</v>
      </c>
      <c r="F558" s="11">
        <v>46238</v>
      </c>
      <c r="G558" t="s">
        <v>60</v>
      </c>
      <c r="H558" t="s">
        <v>19</v>
      </c>
      <c r="I558">
        <v>800</v>
      </c>
      <c r="J558" t="s">
        <v>16</v>
      </c>
      <c r="K558" t="s">
        <v>17</v>
      </c>
      <c r="L558" t="s">
        <v>25</v>
      </c>
      <c r="M558" t="s">
        <v>41</v>
      </c>
      <c r="Q558" s="1"/>
    </row>
    <row r="559" spans="1:17" x14ac:dyDescent="0.3">
      <c r="A559">
        <v>16</v>
      </c>
      <c r="B559">
        <v>8</v>
      </c>
      <c r="C559" s="11">
        <v>46237</v>
      </c>
      <c r="D559" t="s">
        <v>20</v>
      </c>
      <c r="E559">
        <v>900</v>
      </c>
      <c r="F559" s="11" t="s">
        <v>64</v>
      </c>
      <c r="G559" t="s">
        <v>31</v>
      </c>
      <c r="H559" t="s">
        <v>30</v>
      </c>
      <c r="I559">
        <v>200</v>
      </c>
      <c r="J559" t="s">
        <v>16</v>
      </c>
      <c r="K559" t="s">
        <v>33</v>
      </c>
      <c r="L559" t="s">
        <v>18</v>
      </c>
      <c r="M559" t="s">
        <v>15</v>
      </c>
      <c r="Q559" s="1"/>
    </row>
    <row r="560" spans="1:17" x14ac:dyDescent="0.3">
      <c r="A560">
        <v>8</v>
      </c>
      <c r="B560">
        <v>4</v>
      </c>
      <c r="C560" s="11">
        <v>46056</v>
      </c>
      <c r="D560" t="s">
        <v>13</v>
      </c>
      <c r="E560">
        <v>3000</v>
      </c>
      <c r="F560" s="11">
        <v>46115</v>
      </c>
      <c r="G560" t="s">
        <v>77</v>
      </c>
      <c r="H560" t="s">
        <v>26</v>
      </c>
      <c r="I560">
        <v>400</v>
      </c>
      <c r="J560" t="s">
        <v>16</v>
      </c>
      <c r="K560" t="s">
        <v>17</v>
      </c>
      <c r="L560" t="s">
        <v>18</v>
      </c>
      <c r="M560" t="s">
        <v>43</v>
      </c>
      <c r="Q560" s="1"/>
    </row>
    <row r="561" spans="1:17" x14ac:dyDescent="0.3">
      <c r="A561">
        <v>31</v>
      </c>
      <c r="B561">
        <v>15</v>
      </c>
      <c r="C561" s="11">
        <v>46207</v>
      </c>
      <c r="D561" t="s">
        <v>20</v>
      </c>
      <c r="E561">
        <v>600</v>
      </c>
      <c r="F561" s="11">
        <v>46238</v>
      </c>
      <c r="G561" t="s">
        <v>66</v>
      </c>
      <c r="H561" t="s">
        <v>19</v>
      </c>
      <c r="I561">
        <v>700</v>
      </c>
      <c r="J561" t="s">
        <v>16</v>
      </c>
      <c r="K561" t="s">
        <v>17</v>
      </c>
      <c r="L561" t="s">
        <v>18</v>
      </c>
      <c r="M561" t="s">
        <v>41</v>
      </c>
      <c r="Q561" s="1"/>
    </row>
    <row r="562" spans="1:17" x14ac:dyDescent="0.3">
      <c r="A562">
        <v>20</v>
      </c>
      <c r="B562">
        <v>10</v>
      </c>
      <c r="C562" s="11">
        <v>46085</v>
      </c>
      <c r="D562" t="s">
        <v>13</v>
      </c>
      <c r="E562">
        <v>1000</v>
      </c>
      <c r="F562" s="11">
        <v>46116</v>
      </c>
      <c r="G562" t="s">
        <v>21</v>
      </c>
      <c r="H562" t="s">
        <v>15</v>
      </c>
      <c r="I562">
        <v>300</v>
      </c>
      <c r="J562" t="s">
        <v>16</v>
      </c>
      <c r="K562" t="s">
        <v>33</v>
      </c>
      <c r="L562" t="s">
        <v>18</v>
      </c>
      <c r="M562" t="s">
        <v>19</v>
      </c>
      <c r="Q562" s="1"/>
    </row>
    <row r="563" spans="1:17" x14ac:dyDescent="0.3">
      <c r="A563">
        <v>11</v>
      </c>
      <c r="B563">
        <v>5</v>
      </c>
      <c r="C563" s="11">
        <v>46056</v>
      </c>
      <c r="D563" t="s">
        <v>20</v>
      </c>
      <c r="E563">
        <v>4000</v>
      </c>
      <c r="F563" s="11">
        <v>46115</v>
      </c>
      <c r="G563" t="s">
        <v>69</v>
      </c>
      <c r="H563" t="s">
        <v>32</v>
      </c>
      <c r="I563">
        <v>500</v>
      </c>
      <c r="J563" t="s">
        <v>23</v>
      </c>
      <c r="K563" t="s">
        <v>17</v>
      </c>
      <c r="L563" t="s">
        <v>18</v>
      </c>
      <c r="M563" t="s">
        <v>26</v>
      </c>
      <c r="Q563" s="1"/>
    </row>
    <row r="564" spans="1:17" x14ac:dyDescent="0.3">
      <c r="A564">
        <v>28</v>
      </c>
      <c r="B564">
        <v>14</v>
      </c>
      <c r="C564" s="11">
        <v>46207</v>
      </c>
      <c r="D564" t="s">
        <v>13</v>
      </c>
      <c r="E564">
        <v>200</v>
      </c>
      <c r="F564" s="11">
        <v>46238</v>
      </c>
      <c r="G564" t="s">
        <v>60</v>
      </c>
      <c r="H564" t="s">
        <v>19</v>
      </c>
      <c r="I564">
        <v>800</v>
      </c>
      <c r="J564" t="s">
        <v>16</v>
      </c>
      <c r="K564" t="s">
        <v>17</v>
      </c>
      <c r="L564" t="s">
        <v>25</v>
      </c>
      <c r="M564" t="s">
        <v>41</v>
      </c>
      <c r="Q564" s="1"/>
    </row>
    <row r="565" spans="1:17" x14ac:dyDescent="0.3">
      <c r="A565">
        <v>15</v>
      </c>
      <c r="B565">
        <v>8</v>
      </c>
      <c r="C565" s="11">
        <v>46268</v>
      </c>
      <c r="D565" t="s">
        <v>20</v>
      </c>
      <c r="E565">
        <v>500</v>
      </c>
      <c r="F565" s="11">
        <v>46026</v>
      </c>
      <c r="G565" t="s">
        <v>39</v>
      </c>
      <c r="H565" t="s">
        <v>30</v>
      </c>
      <c r="I565">
        <v>200</v>
      </c>
      <c r="J565" t="s">
        <v>16</v>
      </c>
      <c r="K565" t="s">
        <v>33</v>
      </c>
      <c r="L565" t="s">
        <v>18</v>
      </c>
      <c r="M565" t="s">
        <v>15</v>
      </c>
      <c r="Q565" s="1"/>
    </row>
    <row r="566" spans="1:17" x14ac:dyDescent="0.3">
      <c r="A566">
        <v>9</v>
      </c>
      <c r="B566">
        <v>4</v>
      </c>
      <c r="C566" s="11">
        <v>46267</v>
      </c>
      <c r="D566" t="s">
        <v>13</v>
      </c>
      <c r="E566">
        <v>3000</v>
      </c>
      <c r="F566" s="11">
        <v>46025</v>
      </c>
      <c r="G566" t="s">
        <v>66</v>
      </c>
      <c r="H566" t="s">
        <v>36</v>
      </c>
      <c r="I566">
        <v>600</v>
      </c>
      <c r="J566" t="s">
        <v>23</v>
      </c>
      <c r="K566" t="s">
        <v>17</v>
      </c>
      <c r="L566" t="s">
        <v>18</v>
      </c>
      <c r="M566" t="s">
        <v>32</v>
      </c>
      <c r="Q566" s="1"/>
    </row>
    <row r="567" spans="1:17" x14ac:dyDescent="0.3">
      <c r="A567">
        <v>24</v>
      </c>
      <c r="B567">
        <v>12</v>
      </c>
      <c r="C567" s="11">
        <v>46146</v>
      </c>
      <c r="D567" t="s">
        <v>20</v>
      </c>
      <c r="E567">
        <v>900</v>
      </c>
      <c r="F567" s="11">
        <v>46177</v>
      </c>
      <c r="G567" t="s">
        <v>48</v>
      </c>
      <c r="H567" t="s">
        <v>15</v>
      </c>
      <c r="I567">
        <v>300</v>
      </c>
      <c r="J567" t="s">
        <v>16</v>
      </c>
      <c r="K567" t="s">
        <v>17</v>
      </c>
      <c r="L567" t="s">
        <v>18</v>
      </c>
      <c r="M567" t="s">
        <v>19</v>
      </c>
      <c r="Q567" s="1"/>
    </row>
    <row r="568" spans="1:17" x14ac:dyDescent="0.3">
      <c r="A568">
        <v>13</v>
      </c>
      <c r="B568">
        <v>7</v>
      </c>
      <c r="C568" s="11">
        <v>46206</v>
      </c>
      <c r="D568" t="s">
        <v>13</v>
      </c>
      <c r="E568">
        <v>100</v>
      </c>
      <c r="F568" s="11">
        <v>46237</v>
      </c>
      <c r="G568" t="s">
        <v>78</v>
      </c>
      <c r="H568" t="s">
        <v>28</v>
      </c>
      <c r="I568">
        <v>200</v>
      </c>
      <c r="J568" t="s">
        <v>16</v>
      </c>
      <c r="K568" t="s">
        <v>33</v>
      </c>
      <c r="L568" t="s">
        <v>34</v>
      </c>
      <c r="M568" t="s">
        <v>30</v>
      </c>
      <c r="Q568" s="1"/>
    </row>
    <row r="569" spans="1:17" x14ac:dyDescent="0.3">
      <c r="A569">
        <v>6</v>
      </c>
      <c r="B569">
        <v>3</v>
      </c>
      <c r="C569" s="11">
        <v>46267</v>
      </c>
      <c r="D569" t="s">
        <v>20</v>
      </c>
      <c r="E569">
        <v>6000</v>
      </c>
      <c r="F569" s="11">
        <v>46025</v>
      </c>
      <c r="G569" t="s">
        <v>66</v>
      </c>
      <c r="H569" t="s">
        <v>36</v>
      </c>
      <c r="I569">
        <v>500</v>
      </c>
      <c r="J569" t="s">
        <v>23</v>
      </c>
      <c r="K569" t="s">
        <v>17</v>
      </c>
      <c r="L569" t="s">
        <v>18</v>
      </c>
      <c r="M569" t="s">
        <v>32</v>
      </c>
      <c r="Q569" s="1"/>
    </row>
    <row r="570" spans="1:17" x14ac:dyDescent="0.3">
      <c r="A570">
        <v>21</v>
      </c>
      <c r="B570">
        <v>11</v>
      </c>
      <c r="C570" s="11">
        <v>46116</v>
      </c>
      <c r="D570" t="s">
        <v>13</v>
      </c>
      <c r="E570">
        <v>500</v>
      </c>
      <c r="F570" s="11">
        <v>46177</v>
      </c>
      <c r="G570" t="s">
        <v>73</v>
      </c>
      <c r="H570" t="s">
        <v>30</v>
      </c>
      <c r="I570">
        <v>400</v>
      </c>
      <c r="J570" t="s">
        <v>16</v>
      </c>
      <c r="K570" t="s">
        <v>33</v>
      </c>
      <c r="L570" t="s">
        <v>18</v>
      </c>
      <c r="M570" t="s">
        <v>15</v>
      </c>
      <c r="Q570" s="1"/>
    </row>
    <row r="571" spans="1:17" x14ac:dyDescent="0.3">
      <c r="A571">
        <v>32</v>
      </c>
      <c r="B571">
        <v>16</v>
      </c>
      <c r="C571" s="11">
        <v>46238</v>
      </c>
      <c r="D571" t="s">
        <v>20</v>
      </c>
      <c r="E571">
        <v>2000</v>
      </c>
      <c r="F571" s="11">
        <v>46269</v>
      </c>
      <c r="G571" t="s">
        <v>55</v>
      </c>
      <c r="H571" t="s">
        <v>19</v>
      </c>
      <c r="I571">
        <v>700</v>
      </c>
      <c r="J571" t="s">
        <v>16</v>
      </c>
      <c r="K571" t="s">
        <v>17</v>
      </c>
      <c r="L571" t="s">
        <v>18</v>
      </c>
      <c r="M571" t="s">
        <v>41</v>
      </c>
      <c r="Q571" s="1"/>
    </row>
    <row r="572" spans="1:17" x14ac:dyDescent="0.3">
      <c r="A572">
        <v>17</v>
      </c>
      <c r="B572">
        <v>9</v>
      </c>
      <c r="C572" s="11">
        <v>46026</v>
      </c>
      <c r="D572" t="s">
        <v>13</v>
      </c>
      <c r="E572">
        <v>400</v>
      </c>
      <c r="F572" s="11">
        <v>46057</v>
      </c>
      <c r="G572" t="s">
        <v>27</v>
      </c>
      <c r="H572" t="s">
        <v>15</v>
      </c>
      <c r="I572">
        <v>200</v>
      </c>
      <c r="J572" t="s">
        <v>16</v>
      </c>
      <c r="K572" t="s">
        <v>33</v>
      </c>
      <c r="L572" t="s">
        <v>34</v>
      </c>
      <c r="M572" t="s">
        <v>19</v>
      </c>
      <c r="Q572" s="1"/>
    </row>
    <row r="573" spans="1:17" x14ac:dyDescent="0.3">
      <c r="A573">
        <v>25</v>
      </c>
      <c r="B573">
        <v>13</v>
      </c>
      <c r="C573" s="11">
        <v>46177</v>
      </c>
      <c r="D573" t="s">
        <v>20</v>
      </c>
      <c r="E573">
        <v>300</v>
      </c>
      <c r="F573" s="11">
        <v>46207</v>
      </c>
      <c r="G573" t="s">
        <v>39</v>
      </c>
      <c r="H573" t="s">
        <v>19</v>
      </c>
      <c r="I573">
        <v>800</v>
      </c>
      <c r="J573" t="s">
        <v>16</v>
      </c>
      <c r="K573" t="s">
        <v>17</v>
      </c>
      <c r="L573" t="s">
        <v>18</v>
      </c>
      <c r="M573" t="s">
        <v>41</v>
      </c>
      <c r="Q573" s="1"/>
    </row>
    <row r="574" spans="1:17" x14ac:dyDescent="0.3">
      <c r="A574">
        <v>19</v>
      </c>
      <c r="B574">
        <v>9</v>
      </c>
      <c r="C574" s="11">
        <v>46057</v>
      </c>
      <c r="D574" t="s">
        <v>13</v>
      </c>
      <c r="E574">
        <v>200</v>
      </c>
      <c r="F574" s="11">
        <v>46085</v>
      </c>
      <c r="G574" t="s">
        <v>60</v>
      </c>
      <c r="H574" t="s">
        <v>15</v>
      </c>
      <c r="I574">
        <v>300</v>
      </c>
      <c r="J574" t="s">
        <v>16</v>
      </c>
      <c r="K574" t="s">
        <v>33</v>
      </c>
      <c r="L574" t="s">
        <v>18</v>
      </c>
      <c r="M574" t="s">
        <v>19</v>
      </c>
      <c r="Q574" s="1"/>
    </row>
    <row r="575" spans="1:17" x14ac:dyDescent="0.3">
      <c r="A575">
        <v>34</v>
      </c>
      <c r="B575">
        <v>17</v>
      </c>
      <c r="C575" s="11">
        <v>46269</v>
      </c>
      <c r="D575" t="s">
        <v>20</v>
      </c>
      <c r="E575">
        <v>7000</v>
      </c>
      <c r="F575" s="11" t="s">
        <v>81</v>
      </c>
      <c r="G575" t="s">
        <v>35</v>
      </c>
      <c r="H575" t="s">
        <v>19</v>
      </c>
      <c r="I575">
        <v>900</v>
      </c>
      <c r="J575" t="s">
        <v>23</v>
      </c>
      <c r="K575" t="s">
        <v>17</v>
      </c>
      <c r="L575" t="s">
        <v>25</v>
      </c>
      <c r="M575" t="s">
        <v>41</v>
      </c>
      <c r="Q575" s="1"/>
    </row>
    <row r="576" spans="1:17" x14ac:dyDescent="0.3">
      <c r="A576">
        <v>22</v>
      </c>
      <c r="B576">
        <v>11</v>
      </c>
      <c r="C576" s="11">
        <v>46146</v>
      </c>
      <c r="D576" t="s">
        <v>13</v>
      </c>
      <c r="E576">
        <v>1000</v>
      </c>
      <c r="F576" s="11">
        <v>46207</v>
      </c>
      <c r="G576" t="s">
        <v>66</v>
      </c>
      <c r="H576" t="s">
        <v>15</v>
      </c>
      <c r="I576">
        <v>400</v>
      </c>
      <c r="J576" t="s">
        <v>16</v>
      </c>
      <c r="K576" t="s">
        <v>17</v>
      </c>
      <c r="L576" t="s">
        <v>18</v>
      </c>
      <c r="M576" t="s">
        <v>19</v>
      </c>
      <c r="Q576" s="1"/>
    </row>
    <row r="577" spans="1:17" x14ac:dyDescent="0.3">
      <c r="A577">
        <v>16</v>
      </c>
      <c r="B577">
        <v>8</v>
      </c>
      <c r="C577" s="11">
        <v>46237</v>
      </c>
      <c r="D577" t="s">
        <v>20</v>
      </c>
      <c r="E577">
        <v>400</v>
      </c>
      <c r="F577" s="11" t="s">
        <v>64</v>
      </c>
      <c r="G577" t="s">
        <v>31</v>
      </c>
      <c r="H577" t="s">
        <v>30</v>
      </c>
      <c r="I577">
        <v>200</v>
      </c>
      <c r="J577" t="s">
        <v>16</v>
      </c>
      <c r="K577" t="s">
        <v>33</v>
      </c>
      <c r="L577" t="s">
        <v>18</v>
      </c>
      <c r="M577" t="s">
        <v>15</v>
      </c>
      <c r="Q577" s="1"/>
    </row>
    <row r="578" spans="1:17" x14ac:dyDescent="0.3">
      <c r="A578">
        <v>10</v>
      </c>
      <c r="B578">
        <v>5</v>
      </c>
      <c r="C578" s="11">
        <v>46025</v>
      </c>
      <c r="D578" t="s">
        <v>13</v>
      </c>
      <c r="E578">
        <v>5000</v>
      </c>
      <c r="F578" s="11">
        <v>46056</v>
      </c>
      <c r="G578" t="s">
        <v>55</v>
      </c>
      <c r="H578" t="s">
        <v>36</v>
      </c>
      <c r="I578">
        <v>600</v>
      </c>
      <c r="J578" t="s">
        <v>23</v>
      </c>
      <c r="K578" t="s">
        <v>33</v>
      </c>
      <c r="L578" t="s">
        <v>34</v>
      </c>
      <c r="M578" t="s">
        <v>32</v>
      </c>
      <c r="Q578" s="1"/>
    </row>
    <row r="579" spans="1:17" x14ac:dyDescent="0.3">
      <c r="A579">
        <v>27</v>
      </c>
      <c r="B579">
        <v>13</v>
      </c>
      <c r="C579" s="11">
        <v>46177</v>
      </c>
      <c r="D579" t="s">
        <v>13</v>
      </c>
      <c r="E579">
        <v>1000</v>
      </c>
      <c r="F579" s="11">
        <v>46238</v>
      </c>
      <c r="G579" t="s">
        <v>42</v>
      </c>
      <c r="H579" t="s">
        <v>19</v>
      </c>
      <c r="I579">
        <v>800</v>
      </c>
      <c r="J579" t="s">
        <v>16</v>
      </c>
      <c r="K579" t="s">
        <v>33</v>
      </c>
      <c r="L579" t="s">
        <v>18</v>
      </c>
      <c r="M579" t="s">
        <v>41</v>
      </c>
      <c r="Q579" s="1"/>
    </row>
    <row r="580" spans="1:17" x14ac:dyDescent="0.3">
      <c r="A580">
        <v>7</v>
      </c>
      <c r="B580">
        <v>3</v>
      </c>
      <c r="C580" s="11">
        <v>46267</v>
      </c>
      <c r="D580" t="s">
        <v>20</v>
      </c>
      <c r="E580">
        <v>4000</v>
      </c>
      <c r="F580" s="11">
        <v>46025</v>
      </c>
      <c r="G580" t="s">
        <v>57</v>
      </c>
      <c r="H580" t="s">
        <v>36</v>
      </c>
      <c r="I580">
        <v>500</v>
      </c>
      <c r="J580" t="s">
        <v>23</v>
      </c>
      <c r="K580" t="s">
        <v>17</v>
      </c>
      <c r="L580" t="s">
        <v>18</v>
      </c>
      <c r="M580" t="s">
        <v>32</v>
      </c>
      <c r="Q580" s="1"/>
    </row>
    <row r="581" spans="1:17" x14ac:dyDescent="0.3">
      <c r="A581">
        <v>23</v>
      </c>
      <c r="B581">
        <v>11</v>
      </c>
      <c r="C581" s="11">
        <v>46116</v>
      </c>
      <c r="D581" t="s">
        <v>13</v>
      </c>
      <c r="E581">
        <v>800</v>
      </c>
      <c r="F581" s="11">
        <v>46177</v>
      </c>
      <c r="G581" t="s">
        <v>39</v>
      </c>
      <c r="H581" t="s">
        <v>30</v>
      </c>
      <c r="I581">
        <v>400</v>
      </c>
      <c r="J581" t="s">
        <v>16</v>
      </c>
      <c r="K581" t="s">
        <v>33</v>
      </c>
      <c r="L581" t="s">
        <v>18</v>
      </c>
      <c r="M581" t="s">
        <v>15</v>
      </c>
      <c r="Q581" s="1"/>
    </row>
    <row r="582" spans="1:17" x14ac:dyDescent="0.3">
      <c r="A582">
        <v>12</v>
      </c>
      <c r="B582">
        <v>6</v>
      </c>
      <c r="C582" s="11">
        <v>46084</v>
      </c>
      <c r="D582" t="s">
        <v>20</v>
      </c>
      <c r="E582">
        <v>2000</v>
      </c>
      <c r="F582" s="11">
        <v>46145</v>
      </c>
      <c r="G582" t="s">
        <v>66</v>
      </c>
      <c r="H582" t="s">
        <v>63</v>
      </c>
      <c r="I582">
        <v>500</v>
      </c>
      <c r="J582" t="s">
        <v>23</v>
      </c>
      <c r="K582" t="s">
        <v>17</v>
      </c>
      <c r="L582" t="s">
        <v>25</v>
      </c>
      <c r="M582" t="s">
        <v>28</v>
      </c>
      <c r="Q582" s="1"/>
    </row>
    <row r="583" spans="1:17" x14ac:dyDescent="0.3">
      <c r="A583">
        <v>28</v>
      </c>
      <c r="B583">
        <v>14</v>
      </c>
      <c r="C583" s="11">
        <v>46207</v>
      </c>
      <c r="D583" t="s">
        <v>13</v>
      </c>
      <c r="E583">
        <v>100</v>
      </c>
      <c r="F583" s="11">
        <v>46238</v>
      </c>
      <c r="G583" t="s">
        <v>60</v>
      </c>
      <c r="H583" t="s">
        <v>19</v>
      </c>
      <c r="I583">
        <v>800</v>
      </c>
      <c r="J583" t="s">
        <v>16</v>
      </c>
      <c r="K583" t="s">
        <v>17</v>
      </c>
      <c r="L583" t="s">
        <v>25</v>
      </c>
      <c r="M583" t="s">
        <v>41</v>
      </c>
      <c r="Q583" s="1"/>
    </row>
    <row r="584" spans="1:17" x14ac:dyDescent="0.3">
      <c r="A584">
        <v>16</v>
      </c>
      <c r="B584">
        <v>8</v>
      </c>
      <c r="C584" s="11">
        <v>46237</v>
      </c>
      <c r="D584" t="s">
        <v>20</v>
      </c>
      <c r="E584">
        <v>900</v>
      </c>
      <c r="F584" s="11" t="s">
        <v>64</v>
      </c>
      <c r="G584" t="s">
        <v>31</v>
      </c>
      <c r="H584" t="s">
        <v>30</v>
      </c>
      <c r="I584">
        <v>200</v>
      </c>
      <c r="J584" t="s">
        <v>16</v>
      </c>
      <c r="K584" t="s">
        <v>33</v>
      </c>
      <c r="L584" t="s">
        <v>18</v>
      </c>
      <c r="M584" t="s">
        <v>15</v>
      </c>
      <c r="Q584" s="1"/>
    </row>
    <row r="585" spans="1:17" x14ac:dyDescent="0.3">
      <c r="A585">
        <v>8</v>
      </c>
      <c r="B585">
        <v>4</v>
      </c>
      <c r="C585" s="11">
        <v>46056</v>
      </c>
      <c r="D585" t="s">
        <v>13</v>
      </c>
      <c r="E585">
        <v>3000</v>
      </c>
      <c r="F585" s="11">
        <v>46115</v>
      </c>
      <c r="G585" t="s">
        <v>77</v>
      </c>
      <c r="H585" t="s">
        <v>26</v>
      </c>
      <c r="I585">
        <v>400</v>
      </c>
      <c r="J585" t="s">
        <v>16</v>
      </c>
      <c r="K585" t="s">
        <v>17</v>
      </c>
      <c r="L585" t="s">
        <v>18</v>
      </c>
      <c r="M585" t="s">
        <v>43</v>
      </c>
      <c r="Q585" s="1"/>
    </row>
    <row r="586" spans="1:17" x14ac:dyDescent="0.3">
      <c r="A586">
        <v>31</v>
      </c>
      <c r="B586">
        <v>15</v>
      </c>
      <c r="C586" s="11">
        <v>46207</v>
      </c>
      <c r="D586" t="s">
        <v>20</v>
      </c>
      <c r="E586">
        <v>600</v>
      </c>
      <c r="F586" s="11">
        <v>46238</v>
      </c>
      <c r="G586" t="s">
        <v>66</v>
      </c>
      <c r="H586" t="s">
        <v>19</v>
      </c>
      <c r="I586">
        <v>700</v>
      </c>
      <c r="J586" t="s">
        <v>16</v>
      </c>
      <c r="K586" t="s">
        <v>17</v>
      </c>
      <c r="L586" t="s">
        <v>18</v>
      </c>
      <c r="M586" t="s">
        <v>41</v>
      </c>
      <c r="Q586" s="1"/>
    </row>
    <row r="587" spans="1:17" x14ac:dyDescent="0.3">
      <c r="A587">
        <v>20</v>
      </c>
      <c r="B587">
        <v>10</v>
      </c>
      <c r="C587" s="11">
        <v>46085</v>
      </c>
      <c r="D587" t="s">
        <v>13</v>
      </c>
      <c r="E587">
        <v>1000</v>
      </c>
      <c r="F587" s="11">
        <v>46116</v>
      </c>
      <c r="G587" t="s">
        <v>21</v>
      </c>
      <c r="H587" t="s">
        <v>15</v>
      </c>
      <c r="I587">
        <v>300</v>
      </c>
      <c r="J587" t="s">
        <v>16</v>
      </c>
      <c r="K587" t="s">
        <v>33</v>
      </c>
      <c r="L587" t="s">
        <v>18</v>
      </c>
      <c r="M587" t="s">
        <v>19</v>
      </c>
      <c r="Q587" s="1"/>
    </row>
    <row r="588" spans="1:17" x14ac:dyDescent="0.3">
      <c r="A588">
        <v>11</v>
      </c>
      <c r="B588">
        <v>5</v>
      </c>
      <c r="C588" s="11">
        <v>46056</v>
      </c>
      <c r="D588" t="s">
        <v>20</v>
      </c>
      <c r="E588">
        <v>4000</v>
      </c>
      <c r="F588" s="11">
        <v>46115</v>
      </c>
      <c r="G588" t="s">
        <v>69</v>
      </c>
      <c r="H588" t="s">
        <v>32</v>
      </c>
      <c r="I588">
        <v>500</v>
      </c>
      <c r="J588" t="s">
        <v>23</v>
      </c>
      <c r="K588" t="s">
        <v>17</v>
      </c>
      <c r="L588" t="s">
        <v>18</v>
      </c>
      <c r="M588" t="s">
        <v>26</v>
      </c>
      <c r="Q588" s="1"/>
    </row>
    <row r="589" spans="1:17" x14ac:dyDescent="0.3">
      <c r="A589">
        <v>28</v>
      </c>
      <c r="B589">
        <v>14</v>
      </c>
      <c r="C589" s="11">
        <v>46207</v>
      </c>
      <c r="D589" t="s">
        <v>13</v>
      </c>
      <c r="E589">
        <v>200</v>
      </c>
      <c r="F589" s="11">
        <v>46238</v>
      </c>
      <c r="G589" t="s">
        <v>60</v>
      </c>
      <c r="H589" t="s">
        <v>19</v>
      </c>
      <c r="I589">
        <v>800</v>
      </c>
      <c r="J589" t="s">
        <v>16</v>
      </c>
      <c r="K589" t="s">
        <v>17</v>
      </c>
      <c r="L589" t="s">
        <v>25</v>
      </c>
      <c r="M589" t="s">
        <v>41</v>
      </c>
      <c r="Q589" s="1"/>
    </row>
    <row r="590" spans="1:17" x14ac:dyDescent="0.3">
      <c r="A590">
        <v>15</v>
      </c>
      <c r="B590">
        <v>8</v>
      </c>
      <c r="C590" s="11">
        <v>46268</v>
      </c>
      <c r="D590" t="s">
        <v>20</v>
      </c>
      <c r="E590">
        <v>500</v>
      </c>
      <c r="F590" s="11">
        <v>46026</v>
      </c>
      <c r="G590" t="s">
        <v>39</v>
      </c>
      <c r="H590" t="s">
        <v>30</v>
      </c>
      <c r="I590">
        <v>200</v>
      </c>
      <c r="J590" t="s">
        <v>16</v>
      </c>
      <c r="K590" t="s">
        <v>33</v>
      </c>
      <c r="L590" t="s">
        <v>18</v>
      </c>
      <c r="M590" t="s">
        <v>15</v>
      </c>
      <c r="Q590" s="1"/>
    </row>
    <row r="591" spans="1:17" x14ac:dyDescent="0.3">
      <c r="A591">
        <v>5</v>
      </c>
      <c r="B591">
        <v>2</v>
      </c>
      <c r="C591" s="11">
        <v>46083</v>
      </c>
      <c r="D591" t="s">
        <v>13</v>
      </c>
      <c r="E591">
        <v>100</v>
      </c>
      <c r="F591" s="11">
        <v>46144</v>
      </c>
      <c r="G591" t="s">
        <v>31</v>
      </c>
      <c r="H591" t="s">
        <v>38</v>
      </c>
      <c r="I591">
        <v>100</v>
      </c>
      <c r="J591" t="s">
        <v>16</v>
      </c>
      <c r="K591" t="s">
        <v>33</v>
      </c>
      <c r="L591" t="s">
        <v>18</v>
      </c>
      <c r="M591" t="s">
        <v>32</v>
      </c>
      <c r="Q591" s="1"/>
    </row>
    <row r="592" spans="1:17" x14ac:dyDescent="0.3">
      <c r="A592">
        <v>42</v>
      </c>
      <c r="B592">
        <v>21</v>
      </c>
      <c r="C592" s="11">
        <v>46269</v>
      </c>
      <c r="D592" t="s">
        <v>20</v>
      </c>
      <c r="E592">
        <v>2000</v>
      </c>
      <c r="F592" s="11" t="s">
        <v>81</v>
      </c>
      <c r="G592" t="s">
        <v>35</v>
      </c>
      <c r="H592" t="s">
        <v>19</v>
      </c>
      <c r="I592">
        <v>900</v>
      </c>
      <c r="J592" t="s">
        <v>16</v>
      </c>
      <c r="K592" t="s">
        <v>17</v>
      </c>
      <c r="L592" t="s">
        <v>25</v>
      </c>
      <c r="M592" t="s">
        <v>41</v>
      </c>
      <c r="Q592" s="1"/>
    </row>
    <row r="593" spans="1:17" x14ac:dyDescent="0.3">
      <c r="A593">
        <v>14</v>
      </c>
      <c r="B593">
        <v>7</v>
      </c>
      <c r="C593" s="11">
        <v>46145</v>
      </c>
      <c r="D593" t="s">
        <v>13</v>
      </c>
      <c r="E593">
        <v>300</v>
      </c>
      <c r="F593" s="11">
        <v>46206</v>
      </c>
      <c r="G593" t="s">
        <v>76</v>
      </c>
      <c r="H593" t="s">
        <v>63</v>
      </c>
      <c r="I593">
        <v>100</v>
      </c>
      <c r="J593" t="s">
        <v>23</v>
      </c>
      <c r="K593" t="s">
        <v>24</v>
      </c>
      <c r="L593" t="s">
        <v>18</v>
      </c>
      <c r="M593" t="s">
        <v>30</v>
      </c>
      <c r="Q593" s="1"/>
    </row>
    <row r="594" spans="1:17" x14ac:dyDescent="0.3">
      <c r="A594">
        <v>7</v>
      </c>
      <c r="B594">
        <v>4</v>
      </c>
      <c r="C594" s="11">
        <v>46025</v>
      </c>
      <c r="D594" t="s">
        <v>20</v>
      </c>
      <c r="E594">
        <v>7000</v>
      </c>
      <c r="F594" s="11">
        <v>46084</v>
      </c>
      <c r="G594" t="s">
        <v>55</v>
      </c>
      <c r="H594" t="s">
        <v>58</v>
      </c>
      <c r="I594">
        <v>1000</v>
      </c>
      <c r="J594" t="s">
        <v>23</v>
      </c>
      <c r="K594" t="s">
        <v>33</v>
      </c>
      <c r="L594" t="s">
        <v>18</v>
      </c>
      <c r="M594" t="s">
        <v>61</v>
      </c>
      <c r="Q594" s="1"/>
    </row>
    <row r="595" spans="1:17" x14ac:dyDescent="0.3">
      <c r="A595">
        <v>20</v>
      </c>
      <c r="B595">
        <v>10</v>
      </c>
      <c r="C595" s="11">
        <v>46116</v>
      </c>
      <c r="D595" t="s">
        <v>13</v>
      </c>
      <c r="E595">
        <v>100</v>
      </c>
      <c r="F595" s="11">
        <v>46177</v>
      </c>
      <c r="G595" t="s">
        <v>39</v>
      </c>
      <c r="H595" t="s">
        <v>30</v>
      </c>
      <c r="I595">
        <v>400</v>
      </c>
      <c r="J595" t="s">
        <v>16</v>
      </c>
      <c r="K595" t="s">
        <v>33</v>
      </c>
      <c r="L595" t="s">
        <v>18</v>
      </c>
      <c r="M595" t="s">
        <v>15</v>
      </c>
      <c r="Q595" s="1"/>
    </row>
    <row r="596" spans="1:17" x14ac:dyDescent="0.3">
      <c r="A596">
        <v>30</v>
      </c>
      <c r="B596">
        <v>15</v>
      </c>
      <c r="C596" s="11">
        <v>46207</v>
      </c>
      <c r="D596" t="s">
        <v>20</v>
      </c>
      <c r="E596">
        <v>800</v>
      </c>
      <c r="F596" s="11">
        <v>46269</v>
      </c>
      <c r="G596" t="s">
        <v>42</v>
      </c>
      <c r="H596" t="s">
        <v>19</v>
      </c>
      <c r="I596">
        <v>700</v>
      </c>
      <c r="J596" t="s">
        <v>16</v>
      </c>
      <c r="K596" t="s">
        <v>17</v>
      </c>
      <c r="L596" t="s">
        <v>18</v>
      </c>
      <c r="M596" t="s">
        <v>41</v>
      </c>
      <c r="Q596" s="1"/>
    </row>
    <row r="597" spans="1:17" x14ac:dyDescent="0.3">
      <c r="A597">
        <v>16</v>
      </c>
      <c r="B597">
        <v>9</v>
      </c>
      <c r="C597" s="11">
        <v>46057</v>
      </c>
      <c r="D597" t="s">
        <v>13</v>
      </c>
      <c r="E597">
        <v>5000</v>
      </c>
      <c r="F597" s="11">
        <v>46116</v>
      </c>
      <c r="G597" t="s">
        <v>55</v>
      </c>
      <c r="H597" t="s">
        <v>30</v>
      </c>
      <c r="I597">
        <v>600</v>
      </c>
      <c r="J597" t="s">
        <v>23</v>
      </c>
      <c r="K597" t="s">
        <v>33</v>
      </c>
      <c r="L597" t="s">
        <v>34</v>
      </c>
      <c r="M597" t="s">
        <v>19</v>
      </c>
      <c r="Q597" s="1"/>
    </row>
    <row r="598" spans="1:17" x14ac:dyDescent="0.3">
      <c r="A598">
        <v>21</v>
      </c>
      <c r="B598">
        <v>12</v>
      </c>
      <c r="C598" s="11">
        <v>46238</v>
      </c>
      <c r="D598" t="s">
        <v>20</v>
      </c>
      <c r="E598">
        <v>1000</v>
      </c>
      <c r="F598" s="11" t="s">
        <v>81</v>
      </c>
      <c r="G598" t="s">
        <v>66</v>
      </c>
      <c r="H598" t="s">
        <v>19</v>
      </c>
      <c r="I598">
        <v>800</v>
      </c>
      <c r="J598" t="s">
        <v>23</v>
      </c>
      <c r="K598" t="s">
        <v>17</v>
      </c>
      <c r="L598" t="s">
        <v>25</v>
      </c>
      <c r="M598" t="s">
        <v>41</v>
      </c>
      <c r="Q598" s="1"/>
    </row>
    <row r="599" spans="1:17" x14ac:dyDescent="0.3">
      <c r="A599">
        <v>11</v>
      </c>
      <c r="B599">
        <v>6</v>
      </c>
      <c r="C599" s="11">
        <v>46176</v>
      </c>
      <c r="D599" t="s">
        <v>13</v>
      </c>
      <c r="E599">
        <v>4000</v>
      </c>
      <c r="F599" s="11">
        <v>46237</v>
      </c>
      <c r="G599" t="s">
        <v>48</v>
      </c>
      <c r="H599" t="s">
        <v>43</v>
      </c>
      <c r="I599">
        <v>500</v>
      </c>
      <c r="J599" t="s">
        <v>23</v>
      </c>
      <c r="K599" t="s">
        <v>33</v>
      </c>
      <c r="L599" t="s">
        <v>34</v>
      </c>
      <c r="M599" t="s">
        <v>63</v>
      </c>
      <c r="Q599" s="1"/>
    </row>
    <row r="600" spans="1:17" x14ac:dyDescent="0.3">
      <c r="A600">
        <v>33</v>
      </c>
      <c r="B600">
        <v>17</v>
      </c>
      <c r="C600" s="11">
        <v>46269</v>
      </c>
      <c r="D600" t="s">
        <v>20</v>
      </c>
      <c r="E600">
        <v>600</v>
      </c>
      <c r="F600" s="11" t="s">
        <v>81</v>
      </c>
      <c r="G600" t="s">
        <v>66</v>
      </c>
      <c r="H600" t="s">
        <v>19</v>
      </c>
      <c r="I600">
        <v>700</v>
      </c>
      <c r="J600" t="s">
        <v>16</v>
      </c>
      <c r="K600" t="s">
        <v>17</v>
      </c>
      <c r="L600" t="s">
        <v>18</v>
      </c>
      <c r="M600" t="s">
        <v>41</v>
      </c>
      <c r="Q600" s="1"/>
    </row>
    <row r="601" spans="1:17" x14ac:dyDescent="0.3">
      <c r="A601">
        <v>25</v>
      </c>
      <c r="B601">
        <v>12</v>
      </c>
      <c r="C601" s="11">
        <v>46116</v>
      </c>
      <c r="D601" t="s">
        <v>13</v>
      </c>
      <c r="E601">
        <v>300</v>
      </c>
      <c r="F601" s="11">
        <v>46177</v>
      </c>
      <c r="G601" t="s">
        <v>39</v>
      </c>
      <c r="H601" t="s">
        <v>15</v>
      </c>
      <c r="I601">
        <v>400</v>
      </c>
      <c r="J601" t="s">
        <v>16</v>
      </c>
      <c r="K601" t="s">
        <v>33</v>
      </c>
      <c r="L601" t="s">
        <v>18</v>
      </c>
      <c r="M601" t="s">
        <v>19</v>
      </c>
      <c r="Q601" s="1"/>
    </row>
    <row r="602" spans="1:17" x14ac:dyDescent="0.3">
      <c r="A602">
        <v>18</v>
      </c>
      <c r="B602">
        <v>9</v>
      </c>
      <c r="C602" s="11">
        <v>46085</v>
      </c>
      <c r="D602" t="s">
        <v>20</v>
      </c>
      <c r="E602">
        <v>7000</v>
      </c>
      <c r="F602" s="11">
        <v>46146</v>
      </c>
      <c r="G602" t="s">
        <v>55</v>
      </c>
      <c r="H602" t="s">
        <v>15</v>
      </c>
      <c r="I602">
        <v>800</v>
      </c>
      <c r="J602" t="s">
        <v>23</v>
      </c>
      <c r="K602" t="s">
        <v>33</v>
      </c>
      <c r="L602" t="s">
        <v>34</v>
      </c>
      <c r="M602" t="s">
        <v>41</v>
      </c>
      <c r="Q602" s="1"/>
    </row>
    <row r="603" spans="1:17" x14ac:dyDescent="0.3">
      <c r="A603">
        <v>22</v>
      </c>
      <c r="B603">
        <v>13</v>
      </c>
      <c r="C603" s="11">
        <v>46177</v>
      </c>
      <c r="D603" t="s">
        <v>13</v>
      </c>
      <c r="E603">
        <v>2000</v>
      </c>
      <c r="F603" s="11">
        <v>46238</v>
      </c>
      <c r="G603" t="s">
        <v>73</v>
      </c>
      <c r="H603" t="s">
        <v>19</v>
      </c>
      <c r="I603">
        <v>900</v>
      </c>
      <c r="J603" t="s">
        <v>16</v>
      </c>
      <c r="K603" t="s">
        <v>17</v>
      </c>
      <c r="L603" t="s">
        <v>18</v>
      </c>
      <c r="M603" t="s">
        <v>41</v>
      </c>
      <c r="Q603" s="1"/>
    </row>
    <row r="604" spans="1:17" x14ac:dyDescent="0.3">
      <c r="A604">
        <v>10</v>
      </c>
      <c r="B604">
        <v>5</v>
      </c>
      <c r="C604" s="11" t="s">
        <v>52</v>
      </c>
      <c r="D604" t="s">
        <v>20</v>
      </c>
      <c r="E604">
        <v>100</v>
      </c>
      <c r="F604" s="11">
        <v>46056</v>
      </c>
      <c r="G604" t="s">
        <v>21</v>
      </c>
      <c r="H604" t="s">
        <v>36</v>
      </c>
      <c r="I604">
        <v>200</v>
      </c>
      <c r="J604" t="s">
        <v>23</v>
      </c>
      <c r="K604" t="s">
        <v>33</v>
      </c>
      <c r="L604" t="s">
        <v>18</v>
      </c>
      <c r="M604" t="s">
        <v>32</v>
      </c>
      <c r="Q604" s="1"/>
    </row>
    <row r="605" spans="1:17" x14ac:dyDescent="0.3">
      <c r="A605">
        <v>27</v>
      </c>
      <c r="B605">
        <v>13</v>
      </c>
      <c r="C605" s="11">
        <v>46177</v>
      </c>
      <c r="D605" t="s">
        <v>13</v>
      </c>
      <c r="E605">
        <v>300</v>
      </c>
      <c r="F605" s="11">
        <v>46238</v>
      </c>
      <c r="G605" t="s">
        <v>39</v>
      </c>
      <c r="H605" t="s">
        <v>19</v>
      </c>
      <c r="I605">
        <v>800</v>
      </c>
      <c r="J605" t="s">
        <v>16</v>
      </c>
      <c r="K605" t="s">
        <v>33</v>
      </c>
      <c r="L605" t="s">
        <v>18</v>
      </c>
      <c r="M605" t="s">
        <v>41</v>
      </c>
      <c r="Q605" s="1"/>
    </row>
    <row r="606" spans="1:17" x14ac:dyDescent="0.3">
      <c r="A606">
        <v>15</v>
      </c>
      <c r="B606">
        <v>8</v>
      </c>
      <c r="C606" s="11">
        <v>46268</v>
      </c>
      <c r="D606" t="s">
        <v>20</v>
      </c>
      <c r="E606">
        <v>4000</v>
      </c>
      <c r="F606" s="11">
        <v>46026</v>
      </c>
      <c r="G606" t="s">
        <v>42</v>
      </c>
      <c r="H606" t="s">
        <v>30</v>
      </c>
      <c r="I606">
        <v>600</v>
      </c>
      <c r="J606" t="s">
        <v>23</v>
      </c>
      <c r="K606" t="s">
        <v>17</v>
      </c>
      <c r="L606" t="s">
        <v>25</v>
      </c>
      <c r="M606" t="s">
        <v>15</v>
      </c>
      <c r="Q606" s="1"/>
    </row>
    <row r="607" spans="1:17" x14ac:dyDescent="0.3">
      <c r="A607">
        <v>19</v>
      </c>
      <c r="B607">
        <v>10</v>
      </c>
      <c r="C607" s="11">
        <v>46085</v>
      </c>
      <c r="D607" t="s">
        <v>13</v>
      </c>
      <c r="E607">
        <v>600</v>
      </c>
      <c r="F607" s="11">
        <v>46146</v>
      </c>
      <c r="G607" t="s">
        <v>31</v>
      </c>
      <c r="H607" t="s">
        <v>15</v>
      </c>
      <c r="I607">
        <v>700</v>
      </c>
      <c r="J607" t="s">
        <v>23</v>
      </c>
      <c r="K607" t="s">
        <v>33</v>
      </c>
      <c r="L607" t="s">
        <v>34</v>
      </c>
      <c r="M607" t="s">
        <v>41</v>
      </c>
      <c r="Q607" s="1"/>
    </row>
    <row r="608" spans="1:17" x14ac:dyDescent="0.3">
      <c r="A608">
        <v>23</v>
      </c>
      <c r="B608">
        <v>14</v>
      </c>
      <c r="C608" s="11">
        <v>46207</v>
      </c>
      <c r="D608" t="s">
        <v>20</v>
      </c>
      <c r="E608">
        <v>1000</v>
      </c>
      <c r="F608" s="11">
        <v>46269</v>
      </c>
      <c r="G608" t="s">
        <v>66</v>
      </c>
      <c r="H608" t="s">
        <v>19</v>
      </c>
      <c r="I608">
        <v>800</v>
      </c>
      <c r="J608" t="s">
        <v>16</v>
      </c>
      <c r="K608" t="s">
        <v>17</v>
      </c>
      <c r="L608" t="s">
        <v>18</v>
      </c>
      <c r="M608" t="s">
        <v>41</v>
      </c>
      <c r="Q608" s="1"/>
    </row>
    <row r="609" spans="1:17" x14ac:dyDescent="0.3">
      <c r="A609">
        <v>13</v>
      </c>
      <c r="B609">
        <v>7</v>
      </c>
      <c r="C609" s="11">
        <v>46206</v>
      </c>
      <c r="D609" t="s">
        <v>13</v>
      </c>
      <c r="E609">
        <v>400</v>
      </c>
      <c r="F609" s="11">
        <v>46237</v>
      </c>
      <c r="G609" t="s">
        <v>78</v>
      </c>
      <c r="H609" t="s">
        <v>28</v>
      </c>
      <c r="I609">
        <v>200</v>
      </c>
      <c r="J609" t="s">
        <v>16</v>
      </c>
      <c r="K609" t="s">
        <v>33</v>
      </c>
      <c r="L609" t="s">
        <v>34</v>
      </c>
      <c r="M609" t="s">
        <v>30</v>
      </c>
      <c r="Q609" s="1"/>
    </row>
    <row r="610" spans="1:17" x14ac:dyDescent="0.3">
      <c r="A610">
        <v>28</v>
      </c>
      <c r="B610">
        <v>15</v>
      </c>
      <c r="C610" s="11">
        <v>46238</v>
      </c>
      <c r="D610" t="s">
        <v>20</v>
      </c>
      <c r="E610">
        <v>500</v>
      </c>
      <c r="F610" s="11" t="s">
        <v>81</v>
      </c>
      <c r="G610" t="s">
        <v>35</v>
      </c>
      <c r="H610" t="s">
        <v>19</v>
      </c>
      <c r="I610">
        <v>900</v>
      </c>
      <c r="J610" t="s">
        <v>23</v>
      </c>
      <c r="K610" t="s">
        <v>33</v>
      </c>
      <c r="L610" t="s">
        <v>18</v>
      </c>
      <c r="M610" t="s">
        <v>41</v>
      </c>
      <c r="Q610" s="1"/>
    </row>
    <row r="611" spans="1:17" x14ac:dyDescent="0.3">
      <c r="A611">
        <v>17</v>
      </c>
      <c r="B611">
        <v>9</v>
      </c>
      <c r="C611" s="11">
        <v>46057</v>
      </c>
      <c r="D611" t="s">
        <v>13</v>
      </c>
      <c r="E611">
        <v>200</v>
      </c>
      <c r="F611" s="11">
        <v>46116</v>
      </c>
      <c r="G611" t="s">
        <v>48</v>
      </c>
      <c r="H611" t="s">
        <v>15</v>
      </c>
      <c r="I611">
        <v>300</v>
      </c>
      <c r="J611" t="s">
        <v>16</v>
      </c>
      <c r="K611" t="s">
        <v>17</v>
      </c>
      <c r="L611" t="s">
        <v>18</v>
      </c>
      <c r="M611" t="s">
        <v>19</v>
      </c>
      <c r="Q611" s="1"/>
    </row>
    <row r="612" spans="1:17" x14ac:dyDescent="0.3">
      <c r="A612">
        <v>31</v>
      </c>
      <c r="B612">
        <v>16</v>
      </c>
      <c r="C612" s="11">
        <v>46238</v>
      </c>
      <c r="D612" t="s">
        <v>20</v>
      </c>
      <c r="E612">
        <v>800</v>
      </c>
      <c r="F612" s="11" t="s">
        <v>81</v>
      </c>
      <c r="G612" t="s">
        <v>42</v>
      </c>
      <c r="H612" t="s">
        <v>19</v>
      </c>
      <c r="I612">
        <v>700</v>
      </c>
      <c r="J612" t="s">
        <v>16</v>
      </c>
      <c r="K612" t="s">
        <v>17</v>
      </c>
      <c r="L612" t="s">
        <v>18</v>
      </c>
      <c r="M612" t="s">
        <v>41</v>
      </c>
      <c r="Q612" s="1"/>
    </row>
    <row r="613" spans="1:17" x14ac:dyDescent="0.3">
      <c r="A613">
        <v>12</v>
      </c>
      <c r="B613">
        <v>6</v>
      </c>
      <c r="C613" s="11">
        <v>46145</v>
      </c>
      <c r="D613" t="s">
        <v>13</v>
      </c>
      <c r="E613">
        <v>5000</v>
      </c>
      <c r="F613" s="11">
        <v>46206</v>
      </c>
      <c r="G613" t="s">
        <v>73</v>
      </c>
      <c r="H613" t="s">
        <v>61</v>
      </c>
      <c r="I613">
        <v>600</v>
      </c>
      <c r="J613" t="s">
        <v>23</v>
      </c>
      <c r="K613" t="s">
        <v>33</v>
      </c>
      <c r="L613" t="s">
        <v>34</v>
      </c>
      <c r="M613" t="s">
        <v>28</v>
      </c>
      <c r="Q613" s="1"/>
    </row>
    <row r="614" spans="1:17" x14ac:dyDescent="0.3">
      <c r="A614">
        <v>26</v>
      </c>
      <c r="B614">
        <v>13</v>
      </c>
      <c r="C614" s="11">
        <v>46146</v>
      </c>
      <c r="D614" t="s">
        <v>20</v>
      </c>
      <c r="E614">
        <v>300</v>
      </c>
      <c r="F614" s="11">
        <v>46207</v>
      </c>
      <c r="G614" t="s">
        <v>39</v>
      </c>
      <c r="H614" t="s">
        <v>15</v>
      </c>
      <c r="I614">
        <v>400</v>
      </c>
      <c r="J614" t="s">
        <v>16</v>
      </c>
      <c r="K614" t="s">
        <v>33</v>
      </c>
      <c r="L614" t="s">
        <v>18</v>
      </c>
      <c r="M614" t="s">
        <v>19</v>
      </c>
      <c r="Q614" s="1"/>
    </row>
    <row r="615" spans="1:17" x14ac:dyDescent="0.3">
      <c r="A615">
        <v>10</v>
      </c>
      <c r="B615">
        <v>5</v>
      </c>
      <c r="C615" s="11" t="s">
        <v>52</v>
      </c>
      <c r="D615" t="s">
        <v>20</v>
      </c>
      <c r="E615">
        <v>100</v>
      </c>
      <c r="F615" s="11">
        <v>46056</v>
      </c>
      <c r="G615" t="s">
        <v>21</v>
      </c>
      <c r="H615" t="s">
        <v>36</v>
      </c>
      <c r="I615">
        <v>200</v>
      </c>
      <c r="J615" t="s">
        <v>23</v>
      </c>
      <c r="K615" t="s">
        <v>33</v>
      </c>
      <c r="L615" t="s">
        <v>18</v>
      </c>
      <c r="M615" t="s">
        <v>32</v>
      </c>
      <c r="Q615" s="1"/>
    </row>
    <row r="616" spans="1:17" x14ac:dyDescent="0.3">
      <c r="A616">
        <v>27</v>
      </c>
      <c r="B616">
        <v>13</v>
      </c>
      <c r="C616" s="11">
        <v>46177</v>
      </c>
      <c r="D616" t="s">
        <v>13</v>
      </c>
      <c r="E616">
        <v>300</v>
      </c>
      <c r="F616" s="11">
        <v>46238</v>
      </c>
      <c r="G616" t="s">
        <v>39</v>
      </c>
      <c r="H616" t="s">
        <v>19</v>
      </c>
      <c r="I616">
        <v>800</v>
      </c>
      <c r="J616" t="s">
        <v>16</v>
      </c>
      <c r="K616" t="s">
        <v>33</v>
      </c>
      <c r="L616" t="s">
        <v>18</v>
      </c>
      <c r="M616" t="s">
        <v>41</v>
      </c>
      <c r="Q616" s="1"/>
    </row>
    <row r="617" spans="1:17" x14ac:dyDescent="0.3">
      <c r="A617">
        <v>15</v>
      </c>
      <c r="B617">
        <v>8</v>
      </c>
      <c r="C617" s="11">
        <v>46268</v>
      </c>
      <c r="D617" t="s">
        <v>20</v>
      </c>
      <c r="E617">
        <v>4000</v>
      </c>
      <c r="F617" s="11">
        <v>46026</v>
      </c>
      <c r="G617" t="s">
        <v>42</v>
      </c>
      <c r="H617" t="s">
        <v>30</v>
      </c>
      <c r="I617">
        <v>600</v>
      </c>
      <c r="J617" t="s">
        <v>23</v>
      </c>
      <c r="K617" t="s">
        <v>17</v>
      </c>
      <c r="L617" t="s">
        <v>25</v>
      </c>
      <c r="M617" t="s">
        <v>15</v>
      </c>
      <c r="Q617" s="1"/>
    </row>
    <row r="618" spans="1:17" x14ac:dyDescent="0.3">
      <c r="A618">
        <v>19</v>
      </c>
      <c r="B618">
        <v>10</v>
      </c>
      <c r="C618" s="11">
        <v>46085</v>
      </c>
      <c r="D618" t="s">
        <v>13</v>
      </c>
      <c r="E618">
        <v>600</v>
      </c>
      <c r="F618" s="11">
        <v>46146</v>
      </c>
      <c r="G618" t="s">
        <v>31</v>
      </c>
      <c r="H618" t="s">
        <v>15</v>
      </c>
      <c r="I618">
        <v>700</v>
      </c>
      <c r="J618" t="s">
        <v>23</v>
      </c>
      <c r="K618" t="s">
        <v>33</v>
      </c>
      <c r="L618" t="s">
        <v>34</v>
      </c>
      <c r="M618" t="s">
        <v>41</v>
      </c>
      <c r="Q618" s="1"/>
    </row>
    <row r="619" spans="1:17" x14ac:dyDescent="0.3">
      <c r="A619">
        <v>23</v>
      </c>
      <c r="B619">
        <v>14</v>
      </c>
      <c r="C619" s="11">
        <v>46207</v>
      </c>
      <c r="D619" t="s">
        <v>20</v>
      </c>
      <c r="E619">
        <v>1000</v>
      </c>
      <c r="F619" s="11">
        <v>46269</v>
      </c>
      <c r="G619" t="s">
        <v>66</v>
      </c>
      <c r="H619" t="s">
        <v>19</v>
      </c>
      <c r="I619">
        <v>800</v>
      </c>
      <c r="J619" t="s">
        <v>16</v>
      </c>
      <c r="K619" t="s">
        <v>17</v>
      </c>
      <c r="L619" t="s">
        <v>18</v>
      </c>
      <c r="M619" t="s">
        <v>41</v>
      </c>
      <c r="Q619" s="1"/>
    </row>
    <row r="620" spans="1:17" x14ac:dyDescent="0.3">
      <c r="A620">
        <v>13</v>
      </c>
      <c r="B620">
        <v>7</v>
      </c>
      <c r="C620" s="11">
        <v>46206</v>
      </c>
      <c r="D620" t="s">
        <v>13</v>
      </c>
      <c r="E620">
        <v>400</v>
      </c>
      <c r="F620" s="11">
        <v>46237</v>
      </c>
      <c r="G620" t="s">
        <v>78</v>
      </c>
      <c r="H620" t="s">
        <v>28</v>
      </c>
      <c r="I620">
        <v>200</v>
      </c>
      <c r="J620" t="s">
        <v>16</v>
      </c>
      <c r="K620" t="s">
        <v>33</v>
      </c>
      <c r="L620" t="s">
        <v>34</v>
      </c>
      <c r="M620" t="s">
        <v>30</v>
      </c>
      <c r="Q620" s="1"/>
    </row>
    <row r="621" spans="1:17" x14ac:dyDescent="0.3">
      <c r="A621">
        <v>28</v>
      </c>
      <c r="B621">
        <v>15</v>
      </c>
      <c r="C621" s="11">
        <v>46238</v>
      </c>
      <c r="D621" t="s">
        <v>20</v>
      </c>
      <c r="E621">
        <v>500</v>
      </c>
      <c r="F621" s="11" t="s">
        <v>81</v>
      </c>
      <c r="G621" t="s">
        <v>35</v>
      </c>
      <c r="H621" t="s">
        <v>19</v>
      </c>
      <c r="I621">
        <v>900</v>
      </c>
      <c r="J621" t="s">
        <v>23</v>
      </c>
      <c r="K621" t="s">
        <v>33</v>
      </c>
      <c r="L621" t="s">
        <v>18</v>
      </c>
      <c r="M621" t="s">
        <v>41</v>
      </c>
      <c r="Q621" s="1"/>
    </row>
    <row r="622" spans="1:17" x14ac:dyDescent="0.3">
      <c r="A622">
        <v>17</v>
      </c>
      <c r="B622">
        <v>9</v>
      </c>
      <c r="C622" s="11">
        <v>46057</v>
      </c>
      <c r="D622" t="s">
        <v>13</v>
      </c>
      <c r="E622">
        <v>200</v>
      </c>
      <c r="F622" s="11">
        <v>46116</v>
      </c>
      <c r="G622" t="s">
        <v>48</v>
      </c>
      <c r="H622" t="s">
        <v>15</v>
      </c>
      <c r="I622">
        <v>300</v>
      </c>
      <c r="J622" t="s">
        <v>16</v>
      </c>
      <c r="K622" t="s">
        <v>17</v>
      </c>
      <c r="L622" t="s">
        <v>18</v>
      </c>
      <c r="M622" t="s">
        <v>19</v>
      </c>
      <c r="Q622" s="1"/>
    </row>
    <row r="623" spans="1:17" x14ac:dyDescent="0.3">
      <c r="A623">
        <v>31</v>
      </c>
      <c r="B623">
        <v>16</v>
      </c>
      <c r="C623" s="11">
        <v>46238</v>
      </c>
      <c r="D623" t="s">
        <v>20</v>
      </c>
      <c r="E623">
        <v>800</v>
      </c>
      <c r="F623" s="11" t="s">
        <v>81</v>
      </c>
      <c r="G623" t="s">
        <v>42</v>
      </c>
      <c r="H623" t="s">
        <v>19</v>
      </c>
      <c r="I623">
        <v>700</v>
      </c>
      <c r="J623" t="s">
        <v>16</v>
      </c>
      <c r="K623" t="s">
        <v>17</v>
      </c>
      <c r="L623" t="s">
        <v>18</v>
      </c>
      <c r="M623" t="s">
        <v>41</v>
      </c>
      <c r="Q623" s="1"/>
    </row>
    <row r="624" spans="1:17" x14ac:dyDescent="0.3">
      <c r="A624">
        <v>12</v>
      </c>
      <c r="B624">
        <v>6</v>
      </c>
      <c r="C624" s="11">
        <v>46145</v>
      </c>
      <c r="D624" t="s">
        <v>13</v>
      </c>
      <c r="E624">
        <v>5000</v>
      </c>
      <c r="F624" s="11">
        <v>46206</v>
      </c>
      <c r="G624" t="s">
        <v>73</v>
      </c>
      <c r="H624" t="s">
        <v>61</v>
      </c>
      <c r="I624">
        <v>600</v>
      </c>
      <c r="J624" t="s">
        <v>23</v>
      </c>
      <c r="K624" t="s">
        <v>33</v>
      </c>
      <c r="L624" t="s">
        <v>34</v>
      </c>
      <c r="M624" t="s">
        <v>28</v>
      </c>
      <c r="Q624" s="1"/>
    </row>
    <row r="625" spans="1:17" x14ac:dyDescent="0.3">
      <c r="A625">
        <v>26</v>
      </c>
      <c r="B625">
        <v>13</v>
      </c>
      <c r="C625" s="11">
        <v>46146</v>
      </c>
      <c r="D625" t="s">
        <v>20</v>
      </c>
      <c r="E625">
        <v>300</v>
      </c>
      <c r="F625" s="11">
        <v>46207</v>
      </c>
      <c r="G625" t="s">
        <v>39</v>
      </c>
      <c r="H625" t="s">
        <v>15</v>
      </c>
      <c r="I625">
        <v>400</v>
      </c>
      <c r="J625" t="s">
        <v>16</v>
      </c>
      <c r="K625" t="s">
        <v>33</v>
      </c>
      <c r="L625" t="s">
        <v>18</v>
      </c>
      <c r="M625" t="s">
        <v>19</v>
      </c>
      <c r="Q625" s="1"/>
    </row>
    <row r="626" spans="1:17" x14ac:dyDescent="0.3">
      <c r="A626">
        <v>9</v>
      </c>
      <c r="B626">
        <v>5</v>
      </c>
      <c r="C626" s="11">
        <v>46056</v>
      </c>
      <c r="D626" t="s">
        <v>13</v>
      </c>
      <c r="E626">
        <v>400</v>
      </c>
      <c r="F626" s="11">
        <v>46115</v>
      </c>
      <c r="G626" t="s">
        <v>82</v>
      </c>
      <c r="H626" t="s">
        <v>67</v>
      </c>
      <c r="I626">
        <v>500</v>
      </c>
      <c r="J626" t="s">
        <v>23</v>
      </c>
      <c r="K626" t="s">
        <v>17</v>
      </c>
      <c r="L626" t="s">
        <v>18</v>
      </c>
      <c r="M626" t="s">
        <v>43</v>
      </c>
      <c r="Q626" s="1"/>
    </row>
    <row r="627" spans="1:17" x14ac:dyDescent="0.3">
      <c r="A627">
        <v>20</v>
      </c>
      <c r="B627">
        <v>11</v>
      </c>
      <c r="C627" s="11">
        <v>46116</v>
      </c>
      <c r="D627" t="s">
        <v>20</v>
      </c>
      <c r="E627">
        <v>2000</v>
      </c>
      <c r="F627" s="11">
        <v>46177</v>
      </c>
      <c r="G627" t="s">
        <v>66</v>
      </c>
      <c r="H627" t="s">
        <v>15</v>
      </c>
      <c r="I627">
        <v>700</v>
      </c>
      <c r="J627" t="s">
        <v>16</v>
      </c>
      <c r="K627" t="s">
        <v>17</v>
      </c>
      <c r="L627" t="s">
        <v>18</v>
      </c>
      <c r="M627" t="s">
        <v>19</v>
      </c>
      <c r="Q627" s="1"/>
    </row>
    <row r="628" spans="1:17" x14ac:dyDescent="0.3">
      <c r="A628">
        <v>14</v>
      </c>
      <c r="B628">
        <v>8</v>
      </c>
      <c r="C628" s="11">
        <v>46237</v>
      </c>
      <c r="D628" t="s">
        <v>13</v>
      </c>
      <c r="E628">
        <v>1000</v>
      </c>
      <c r="F628" s="11" t="s">
        <v>64</v>
      </c>
      <c r="G628" t="s">
        <v>60</v>
      </c>
      <c r="H628" t="s">
        <v>30</v>
      </c>
      <c r="I628">
        <v>200</v>
      </c>
      <c r="J628" t="s">
        <v>16</v>
      </c>
      <c r="K628" t="s">
        <v>33</v>
      </c>
      <c r="L628" t="s">
        <v>18</v>
      </c>
      <c r="M628" t="s">
        <v>15</v>
      </c>
      <c r="Q628" s="1"/>
    </row>
    <row r="629" spans="1:17" x14ac:dyDescent="0.3">
      <c r="A629">
        <v>29</v>
      </c>
      <c r="B629">
        <v>15</v>
      </c>
      <c r="C629" s="11">
        <v>46238</v>
      </c>
      <c r="D629" t="s">
        <v>20</v>
      </c>
      <c r="E629">
        <v>6000</v>
      </c>
      <c r="F629" s="11" t="s">
        <v>81</v>
      </c>
      <c r="G629" t="s">
        <v>55</v>
      </c>
      <c r="H629" t="s">
        <v>19</v>
      </c>
      <c r="I629">
        <v>800</v>
      </c>
      <c r="J629" t="s">
        <v>23</v>
      </c>
      <c r="K629" t="s">
        <v>17</v>
      </c>
      <c r="L629" t="s">
        <v>18</v>
      </c>
      <c r="M629" t="s">
        <v>41</v>
      </c>
      <c r="Q629" s="1"/>
    </row>
    <row r="630" spans="1:17" x14ac:dyDescent="0.3">
      <c r="A630">
        <v>18</v>
      </c>
      <c r="B630">
        <v>10</v>
      </c>
      <c r="C630" s="11">
        <v>46085</v>
      </c>
      <c r="D630" t="s">
        <v>13</v>
      </c>
      <c r="E630">
        <v>300</v>
      </c>
      <c r="F630" s="11">
        <v>46146</v>
      </c>
      <c r="G630" t="s">
        <v>39</v>
      </c>
      <c r="H630" t="s">
        <v>15</v>
      </c>
      <c r="I630">
        <v>500</v>
      </c>
      <c r="J630" t="s">
        <v>16</v>
      </c>
      <c r="K630" t="s">
        <v>33</v>
      </c>
      <c r="L630" t="s">
        <v>18</v>
      </c>
      <c r="M630" t="s">
        <v>19</v>
      </c>
      <c r="Q630" s="1"/>
    </row>
    <row r="631" spans="1:17" x14ac:dyDescent="0.3">
      <c r="A631">
        <v>32</v>
      </c>
      <c r="B631">
        <v>17</v>
      </c>
      <c r="C631" s="11">
        <v>46269</v>
      </c>
      <c r="D631" t="s">
        <v>20</v>
      </c>
      <c r="E631">
        <v>700</v>
      </c>
      <c r="F631" s="11" t="s">
        <v>81</v>
      </c>
      <c r="G631" t="s">
        <v>66</v>
      </c>
      <c r="H631" t="s">
        <v>19</v>
      </c>
      <c r="I631">
        <v>900</v>
      </c>
      <c r="J631" t="s">
        <v>16</v>
      </c>
      <c r="K631" t="s">
        <v>17</v>
      </c>
      <c r="L631" t="s">
        <v>18</v>
      </c>
      <c r="M631" t="s">
        <v>41</v>
      </c>
      <c r="Q631" s="1"/>
    </row>
    <row r="632" spans="1:17" x14ac:dyDescent="0.3">
      <c r="A632">
        <v>16</v>
      </c>
      <c r="B632">
        <v>9</v>
      </c>
      <c r="C632" s="11">
        <v>46057</v>
      </c>
      <c r="D632" t="s">
        <v>13</v>
      </c>
      <c r="E632">
        <v>400</v>
      </c>
      <c r="F632" s="11">
        <v>46116</v>
      </c>
      <c r="G632" t="s">
        <v>31</v>
      </c>
      <c r="H632" t="s">
        <v>15</v>
      </c>
      <c r="I632">
        <v>300</v>
      </c>
      <c r="J632" t="s">
        <v>16</v>
      </c>
      <c r="K632" t="s">
        <v>33</v>
      </c>
      <c r="L632" t="s">
        <v>18</v>
      </c>
      <c r="M632" t="s">
        <v>19</v>
      </c>
      <c r="Q632" s="1"/>
    </row>
    <row r="633" spans="1:17" x14ac:dyDescent="0.3">
      <c r="A633">
        <v>30</v>
      </c>
      <c r="B633">
        <v>16</v>
      </c>
      <c r="C633" s="11">
        <v>46238</v>
      </c>
      <c r="D633" t="s">
        <v>20</v>
      </c>
      <c r="E633">
        <v>900</v>
      </c>
      <c r="F633" s="11" t="s">
        <v>81</v>
      </c>
      <c r="G633" t="s">
        <v>42</v>
      </c>
      <c r="H633" t="s">
        <v>19</v>
      </c>
      <c r="I633">
        <v>700</v>
      </c>
      <c r="J633" t="s">
        <v>16</v>
      </c>
      <c r="K633" t="s">
        <v>17</v>
      </c>
      <c r="L633" t="s">
        <v>18</v>
      </c>
      <c r="M633" t="s">
        <v>41</v>
      </c>
      <c r="Q633" s="1"/>
    </row>
    <row r="634" spans="1:17" x14ac:dyDescent="0.3">
      <c r="A634">
        <v>11</v>
      </c>
      <c r="B634">
        <v>6</v>
      </c>
      <c r="C634" s="11">
        <v>46145</v>
      </c>
      <c r="D634" t="s">
        <v>13</v>
      </c>
      <c r="E634">
        <v>6000</v>
      </c>
      <c r="F634" s="11">
        <v>46206</v>
      </c>
      <c r="G634" t="s">
        <v>73</v>
      </c>
      <c r="H634" t="s">
        <v>61</v>
      </c>
      <c r="I634">
        <v>700</v>
      </c>
      <c r="J634" t="s">
        <v>23</v>
      </c>
      <c r="K634" t="s">
        <v>33</v>
      </c>
      <c r="L634" t="s">
        <v>34</v>
      </c>
      <c r="M634" t="s">
        <v>28</v>
      </c>
      <c r="Q634" s="1"/>
    </row>
    <row r="635" spans="1:17" x14ac:dyDescent="0.3">
      <c r="A635">
        <v>25</v>
      </c>
      <c r="B635">
        <v>13</v>
      </c>
      <c r="C635" s="11">
        <v>46146</v>
      </c>
      <c r="D635" t="s">
        <v>20</v>
      </c>
      <c r="E635">
        <v>400</v>
      </c>
      <c r="F635" s="11">
        <v>46207</v>
      </c>
      <c r="G635" t="s">
        <v>39</v>
      </c>
      <c r="H635" t="s">
        <v>15</v>
      </c>
      <c r="I635">
        <v>400</v>
      </c>
      <c r="J635" t="s">
        <v>16</v>
      </c>
      <c r="K635" t="s">
        <v>33</v>
      </c>
      <c r="L635" t="s">
        <v>18</v>
      </c>
      <c r="M635" t="s">
        <v>19</v>
      </c>
      <c r="Q635" s="1"/>
    </row>
    <row r="636" spans="1:17" x14ac:dyDescent="0.3">
      <c r="A636">
        <v>8</v>
      </c>
      <c r="B636">
        <v>5</v>
      </c>
      <c r="C636" s="11">
        <v>46056</v>
      </c>
      <c r="D636" t="s">
        <v>13</v>
      </c>
      <c r="E636">
        <v>500</v>
      </c>
      <c r="F636" s="11">
        <v>46115</v>
      </c>
      <c r="G636" t="s">
        <v>82</v>
      </c>
      <c r="H636" t="s">
        <v>67</v>
      </c>
      <c r="I636">
        <v>600</v>
      </c>
      <c r="J636" t="s">
        <v>23</v>
      </c>
      <c r="K636" t="s">
        <v>17</v>
      </c>
      <c r="L636" t="s">
        <v>18</v>
      </c>
      <c r="M636" t="s">
        <v>43</v>
      </c>
      <c r="Q636" s="1"/>
    </row>
    <row r="637" spans="1:17" x14ac:dyDescent="0.3">
      <c r="A637">
        <v>21</v>
      </c>
      <c r="B637">
        <v>12</v>
      </c>
      <c r="C637" s="11">
        <v>46177</v>
      </c>
      <c r="D637" t="s">
        <v>20</v>
      </c>
      <c r="E637">
        <v>3000</v>
      </c>
      <c r="F637" s="11">
        <v>46238</v>
      </c>
      <c r="G637" t="s">
        <v>35</v>
      </c>
      <c r="H637" t="s">
        <v>19</v>
      </c>
      <c r="I637">
        <v>800</v>
      </c>
      <c r="J637" t="s">
        <v>23</v>
      </c>
      <c r="K637" t="s">
        <v>33</v>
      </c>
      <c r="L637" t="s">
        <v>18</v>
      </c>
      <c r="M637" t="s">
        <v>41</v>
      </c>
      <c r="Q637" s="1"/>
    </row>
    <row r="638" spans="1:17" x14ac:dyDescent="0.3">
      <c r="A638">
        <v>15</v>
      </c>
      <c r="B638">
        <v>9</v>
      </c>
      <c r="C638" s="11" t="s">
        <v>64</v>
      </c>
      <c r="D638" t="s">
        <v>13</v>
      </c>
      <c r="E638">
        <v>200</v>
      </c>
      <c r="F638" s="11">
        <v>46057</v>
      </c>
      <c r="G638" t="s">
        <v>48</v>
      </c>
      <c r="H638" t="s">
        <v>30</v>
      </c>
      <c r="I638">
        <v>400</v>
      </c>
      <c r="J638" t="s">
        <v>16</v>
      </c>
      <c r="K638" t="s">
        <v>17</v>
      </c>
      <c r="L638" t="s">
        <v>18</v>
      </c>
      <c r="M638" t="s">
        <v>15</v>
      </c>
      <c r="Q638" s="1"/>
    </row>
    <row r="639" spans="1:17" x14ac:dyDescent="0.3">
      <c r="A639">
        <v>26</v>
      </c>
      <c r="B639">
        <v>14</v>
      </c>
      <c r="C639" s="11">
        <v>46207</v>
      </c>
      <c r="D639" t="s">
        <v>20</v>
      </c>
      <c r="E639">
        <v>800</v>
      </c>
      <c r="F639" s="11">
        <v>46269</v>
      </c>
      <c r="G639" t="s">
        <v>66</v>
      </c>
      <c r="H639" t="s">
        <v>19</v>
      </c>
      <c r="I639">
        <v>900</v>
      </c>
      <c r="J639" t="s">
        <v>16</v>
      </c>
      <c r="K639" t="s">
        <v>17</v>
      </c>
      <c r="L639" t="s">
        <v>18</v>
      </c>
      <c r="M639" t="s">
        <v>41</v>
      </c>
      <c r="Q639" s="1"/>
    </row>
    <row r="640" spans="1:17" x14ac:dyDescent="0.3">
      <c r="A640">
        <v>10</v>
      </c>
      <c r="B640">
        <v>6</v>
      </c>
      <c r="C640" s="11">
        <v>46084</v>
      </c>
      <c r="D640" t="s">
        <v>13</v>
      </c>
      <c r="E640">
        <v>700</v>
      </c>
      <c r="F640" s="11">
        <v>46145</v>
      </c>
      <c r="G640" t="s">
        <v>21</v>
      </c>
      <c r="H640" t="s">
        <v>32</v>
      </c>
      <c r="I640">
        <v>200</v>
      </c>
      <c r="J640" t="s">
        <v>16</v>
      </c>
      <c r="K640" t="s">
        <v>33</v>
      </c>
      <c r="L640" t="s">
        <v>18</v>
      </c>
      <c r="M640" t="s">
        <v>61</v>
      </c>
      <c r="Q640" s="1"/>
    </row>
    <row r="641" spans="1:17" x14ac:dyDescent="0.3">
      <c r="A641">
        <v>18</v>
      </c>
      <c r="B641">
        <v>11</v>
      </c>
      <c r="C641" s="11">
        <v>46146</v>
      </c>
      <c r="D641" t="s">
        <v>20</v>
      </c>
      <c r="E641">
        <v>4000</v>
      </c>
      <c r="F641" s="11">
        <v>46207</v>
      </c>
      <c r="G641" t="s">
        <v>31</v>
      </c>
      <c r="H641" t="s">
        <v>15</v>
      </c>
      <c r="I641">
        <v>500</v>
      </c>
      <c r="J641" t="s">
        <v>23</v>
      </c>
      <c r="K641" t="s">
        <v>17</v>
      </c>
      <c r="L641" t="s">
        <v>34</v>
      </c>
      <c r="M641" t="s">
        <v>41</v>
      </c>
      <c r="Q641" s="1"/>
    </row>
    <row r="642" spans="1:17" x14ac:dyDescent="0.3">
      <c r="A642">
        <v>33</v>
      </c>
      <c r="B642">
        <v>18</v>
      </c>
      <c r="C642" s="11" t="s">
        <v>81</v>
      </c>
      <c r="D642" t="s">
        <v>13</v>
      </c>
      <c r="E642">
        <v>500</v>
      </c>
      <c r="F642" s="11" t="s">
        <v>81</v>
      </c>
      <c r="G642" t="s">
        <v>42</v>
      </c>
      <c r="H642" t="s">
        <v>19</v>
      </c>
      <c r="I642">
        <v>700</v>
      </c>
      <c r="J642" t="s">
        <v>16</v>
      </c>
      <c r="K642" t="s">
        <v>17</v>
      </c>
      <c r="L642" t="s">
        <v>18</v>
      </c>
      <c r="M642" t="s">
        <v>41</v>
      </c>
      <c r="Q642" s="1"/>
    </row>
    <row r="643" spans="1:17" x14ac:dyDescent="0.3">
      <c r="A643">
        <v>9</v>
      </c>
      <c r="B643">
        <v>6</v>
      </c>
      <c r="C643" s="11">
        <v>46084</v>
      </c>
      <c r="D643" t="s">
        <v>20</v>
      </c>
      <c r="E643">
        <v>100</v>
      </c>
      <c r="F643" s="11">
        <v>46145</v>
      </c>
      <c r="G643" t="s">
        <v>39</v>
      </c>
      <c r="H643" t="s">
        <v>26</v>
      </c>
      <c r="I643">
        <v>400</v>
      </c>
      <c r="J643" t="s">
        <v>16</v>
      </c>
      <c r="K643" t="s">
        <v>33</v>
      </c>
      <c r="L643" t="s">
        <v>18</v>
      </c>
      <c r="M643" t="s">
        <v>63</v>
      </c>
      <c r="Q643" s="1"/>
    </row>
    <row r="644" spans="1:17" x14ac:dyDescent="0.3">
      <c r="A644">
        <v>24</v>
      </c>
      <c r="B644">
        <v>13</v>
      </c>
      <c r="C644" s="11">
        <v>46177</v>
      </c>
      <c r="D644" t="s">
        <v>13</v>
      </c>
      <c r="E644">
        <v>2000</v>
      </c>
      <c r="F644" s="11">
        <v>46238</v>
      </c>
      <c r="G644" t="s">
        <v>82</v>
      </c>
      <c r="H644" t="s">
        <v>67</v>
      </c>
      <c r="I644">
        <v>600</v>
      </c>
      <c r="J644" t="s">
        <v>23</v>
      </c>
      <c r="K644" t="s">
        <v>17</v>
      </c>
      <c r="L644" t="s">
        <v>18</v>
      </c>
      <c r="M644" t="s">
        <v>43</v>
      </c>
      <c r="Q644" s="1"/>
    </row>
    <row r="645" spans="1:17" x14ac:dyDescent="0.3">
      <c r="A645">
        <v>16</v>
      </c>
      <c r="B645">
        <v>10</v>
      </c>
      <c r="C645" s="11">
        <v>46026</v>
      </c>
      <c r="D645" t="s">
        <v>20</v>
      </c>
      <c r="E645">
        <v>6000</v>
      </c>
      <c r="F645" s="11">
        <v>46085</v>
      </c>
      <c r="G645" t="s">
        <v>66</v>
      </c>
      <c r="H645" t="s">
        <v>15</v>
      </c>
      <c r="I645">
        <v>800</v>
      </c>
      <c r="J645" t="s">
        <v>23</v>
      </c>
      <c r="K645" t="s">
        <v>33</v>
      </c>
      <c r="L645" t="s">
        <v>34</v>
      </c>
      <c r="M645" t="s">
        <v>19</v>
      </c>
      <c r="Q645" s="1"/>
    </row>
    <row r="646" spans="1:17" x14ac:dyDescent="0.3">
      <c r="A646">
        <v>29</v>
      </c>
      <c r="B646">
        <v>16</v>
      </c>
      <c r="C646" s="11">
        <v>46269</v>
      </c>
      <c r="D646" t="s">
        <v>13</v>
      </c>
      <c r="E646">
        <v>300</v>
      </c>
      <c r="F646" s="11" t="s">
        <v>81</v>
      </c>
      <c r="G646" t="s">
        <v>21</v>
      </c>
      <c r="H646" t="s">
        <v>15</v>
      </c>
      <c r="I646">
        <v>300</v>
      </c>
      <c r="J646" t="s">
        <v>16</v>
      </c>
      <c r="K646" t="s">
        <v>33</v>
      </c>
      <c r="L646" t="s">
        <v>18</v>
      </c>
      <c r="M646" t="s">
        <v>41</v>
      </c>
      <c r="Q646" s="1"/>
    </row>
    <row r="647" spans="1:17" x14ac:dyDescent="0.3">
      <c r="A647">
        <v>11</v>
      </c>
      <c r="B647">
        <v>7</v>
      </c>
      <c r="C647" s="11">
        <v>46206</v>
      </c>
      <c r="D647" t="s">
        <v>20</v>
      </c>
      <c r="E647">
        <v>700</v>
      </c>
      <c r="F647" s="11">
        <v>46268</v>
      </c>
      <c r="G647" t="s">
        <v>78</v>
      </c>
      <c r="H647" t="s">
        <v>63</v>
      </c>
      <c r="I647">
        <v>200</v>
      </c>
      <c r="J647" t="s">
        <v>23</v>
      </c>
      <c r="K647" t="s">
        <v>24</v>
      </c>
      <c r="L647" t="s">
        <v>18</v>
      </c>
      <c r="M647" t="s">
        <v>30</v>
      </c>
      <c r="Q647" s="1"/>
    </row>
    <row r="648" spans="1:17" x14ac:dyDescent="0.3">
      <c r="A648">
        <v>22</v>
      </c>
      <c r="B648">
        <v>13</v>
      </c>
      <c r="C648" s="11">
        <v>46207</v>
      </c>
      <c r="D648" t="s">
        <v>13</v>
      </c>
      <c r="E648">
        <v>900</v>
      </c>
      <c r="F648" s="11">
        <v>46269</v>
      </c>
      <c r="G648" t="s">
        <v>60</v>
      </c>
      <c r="H648" t="s">
        <v>19</v>
      </c>
      <c r="I648">
        <v>800</v>
      </c>
      <c r="J648" t="s">
        <v>16</v>
      </c>
      <c r="K648" t="s">
        <v>17</v>
      </c>
      <c r="L648" t="s">
        <v>25</v>
      </c>
      <c r="M648" t="s">
        <v>41</v>
      </c>
      <c r="Q648" s="1"/>
    </row>
    <row r="649" spans="1:17" x14ac:dyDescent="0.3">
      <c r="A649">
        <v>17</v>
      </c>
      <c r="B649">
        <v>10</v>
      </c>
      <c r="C649" s="11">
        <v>46116</v>
      </c>
      <c r="D649" t="s">
        <v>20</v>
      </c>
      <c r="E649">
        <v>5000</v>
      </c>
      <c r="F649" s="11">
        <v>46177</v>
      </c>
      <c r="G649" t="s">
        <v>35</v>
      </c>
      <c r="H649" t="s">
        <v>15</v>
      </c>
      <c r="I649">
        <v>600</v>
      </c>
      <c r="J649" t="s">
        <v>23</v>
      </c>
      <c r="K649" t="s">
        <v>33</v>
      </c>
      <c r="L649" t="s">
        <v>18</v>
      </c>
      <c r="M649" t="s">
        <v>19</v>
      </c>
      <c r="Q649" s="1"/>
    </row>
    <row r="650" spans="1:17" x14ac:dyDescent="0.3">
      <c r="A650">
        <v>31</v>
      </c>
      <c r="B650">
        <v>17</v>
      </c>
      <c r="C650" s="11">
        <v>46269</v>
      </c>
      <c r="D650" t="s">
        <v>13</v>
      </c>
      <c r="E650">
        <v>200</v>
      </c>
      <c r="F650" s="11" t="s">
        <v>81</v>
      </c>
      <c r="G650" t="s">
        <v>82</v>
      </c>
      <c r="H650" t="s">
        <v>67</v>
      </c>
      <c r="I650">
        <v>700</v>
      </c>
      <c r="J650" t="s">
        <v>16</v>
      </c>
      <c r="K650" t="s">
        <v>17</v>
      </c>
      <c r="L650" t="s">
        <v>18</v>
      </c>
      <c r="M650" t="s">
        <v>41</v>
      </c>
      <c r="Q650" s="1"/>
    </row>
    <row r="651" spans="1:17" x14ac:dyDescent="0.3">
      <c r="A651">
        <v>14</v>
      </c>
      <c r="B651">
        <v>9</v>
      </c>
      <c r="C651" s="11" t="s">
        <v>64</v>
      </c>
      <c r="D651" t="s">
        <v>20</v>
      </c>
      <c r="E651">
        <v>4000</v>
      </c>
      <c r="F651" s="11">
        <v>46057</v>
      </c>
      <c r="G651" t="s">
        <v>66</v>
      </c>
      <c r="H651" t="s">
        <v>30</v>
      </c>
      <c r="I651">
        <v>800</v>
      </c>
      <c r="J651" t="s">
        <v>23</v>
      </c>
      <c r="K651" t="s">
        <v>33</v>
      </c>
      <c r="L651" t="s">
        <v>34</v>
      </c>
      <c r="M651" t="s">
        <v>19</v>
      </c>
      <c r="Q651" s="1"/>
    </row>
    <row r="652" spans="1:17" x14ac:dyDescent="0.3">
      <c r="A652">
        <v>28</v>
      </c>
      <c r="B652">
        <v>16</v>
      </c>
      <c r="C652" s="11">
        <v>46269</v>
      </c>
      <c r="D652" t="s">
        <v>13</v>
      </c>
      <c r="E652">
        <v>400</v>
      </c>
      <c r="F652" s="11" t="s">
        <v>81</v>
      </c>
      <c r="G652" t="s">
        <v>39</v>
      </c>
      <c r="H652" t="s">
        <v>19</v>
      </c>
      <c r="I652">
        <v>900</v>
      </c>
      <c r="J652" t="s">
        <v>16</v>
      </c>
      <c r="K652" t="s">
        <v>33</v>
      </c>
      <c r="L652" t="s">
        <v>18</v>
      </c>
      <c r="M652" t="s">
        <v>41</v>
      </c>
      <c r="Q652" s="1"/>
    </row>
    <row r="653" spans="1:17" x14ac:dyDescent="0.3">
      <c r="A653">
        <v>12</v>
      </c>
      <c r="B653">
        <v>7</v>
      </c>
      <c r="C653" s="11">
        <v>46176</v>
      </c>
      <c r="D653" t="s">
        <v>20</v>
      </c>
      <c r="E653">
        <v>1000</v>
      </c>
      <c r="F653" s="11">
        <v>46237</v>
      </c>
      <c r="G653" t="s">
        <v>55</v>
      </c>
      <c r="H653" t="s">
        <v>61</v>
      </c>
      <c r="I653">
        <v>200</v>
      </c>
      <c r="J653" t="s">
        <v>23</v>
      </c>
      <c r="K653" t="s">
        <v>33</v>
      </c>
      <c r="L653" t="s">
        <v>34</v>
      </c>
      <c r="M653" t="s">
        <v>28</v>
      </c>
      <c r="Q653" s="1"/>
    </row>
    <row r="654" spans="1:17" x14ac:dyDescent="0.3">
      <c r="A654">
        <v>25</v>
      </c>
      <c r="B654">
        <v>14</v>
      </c>
      <c r="C654" s="11">
        <v>46238</v>
      </c>
      <c r="D654" t="s">
        <v>13</v>
      </c>
      <c r="E654">
        <v>800</v>
      </c>
      <c r="F654" s="11" t="s">
        <v>81</v>
      </c>
      <c r="G654" t="s">
        <v>66</v>
      </c>
      <c r="H654" t="s">
        <v>19</v>
      </c>
      <c r="I654">
        <v>1000</v>
      </c>
      <c r="J654" t="s">
        <v>23</v>
      </c>
      <c r="K654" t="s">
        <v>17</v>
      </c>
      <c r="L654" t="s">
        <v>18</v>
      </c>
      <c r="M654" t="s">
        <v>41</v>
      </c>
      <c r="Q654" s="1"/>
    </row>
    <row r="655" spans="1:17" x14ac:dyDescent="0.3">
      <c r="A655">
        <v>8</v>
      </c>
      <c r="B655">
        <v>6</v>
      </c>
      <c r="C655" s="11">
        <v>46115</v>
      </c>
      <c r="D655" t="s">
        <v>20</v>
      </c>
      <c r="E655">
        <v>2000</v>
      </c>
      <c r="F655" s="11">
        <v>46176</v>
      </c>
      <c r="G655" t="s">
        <v>31</v>
      </c>
      <c r="H655" t="s">
        <v>43</v>
      </c>
      <c r="I655">
        <v>300</v>
      </c>
      <c r="J655" t="s">
        <v>16</v>
      </c>
      <c r="K655" t="s">
        <v>33</v>
      </c>
      <c r="L655" t="s">
        <v>34</v>
      </c>
      <c r="M655" t="s">
        <v>28</v>
      </c>
      <c r="Q655" s="1"/>
    </row>
    <row r="656" spans="1:17" x14ac:dyDescent="0.3">
      <c r="A656">
        <v>21</v>
      </c>
      <c r="B656">
        <v>13</v>
      </c>
      <c r="C656" s="11">
        <v>46207</v>
      </c>
      <c r="D656" t="s">
        <v>13</v>
      </c>
      <c r="E656">
        <v>300</v>
      </c>
      <c r="F656" s="11">
        <v>46269</v>
      </c>
      <c r="G656" t="s">
        <v>39</v>
      </c>
      <c r="H656" t="s">
        <v>19</v>
      </c>
      <c r="I656">
        <v>800</v>
      </c>
      <c r="J656" t="s">
        <v>23</v>
      </c>
      <c r="K656" t="s">
        <v>17</v>
      </c>
      <c r="L656" t="s">
        <v>25</v>
      </c>
      <c r="M656" t="s">
        <v>41</v>
      </c>
      <c r="Q656" s="1"/>
    </row>
    <row r="657" spans="1:17" x14ac:dyDescent="0.3">
      <c r="A657">
        <v>15</v>
      </c>
      <c r="B657">
        <v>10</v>
      </c>
      <c r="C657" s="11">
        <v>46026</v>
      </c>
      <c r="D657" t="s">
        <v>20</v>
      </c>
      <c r="E657">
        <v>7000</v>
      </c>
      <c r="F657" s="11">
        <v>46085</v>
      </c>
      <c r="G657" t="s">
        <v>35</v>
      </c>
      <c r="H657" t="s">
        <v>15</v>
      </c>
      <c r="I657">
        <v>900</v>
      </c>
      <c r="J657" t="s">
        <v>23</v>
      </c>
      <c r="K657" t="s">
        <v>33</v>
      </c>
      <c r="L657" t="s">
        <v>18</v>
      </c>
      <c r="M657" t="s">
        <v>19</v>
      </c>
      <c r="Q657" s="1"/>
    </row>
    <row r="658" spans="1:17" x14ac:dyDescent="0.3">
      <c r="A658">
        <v>30</v>
      </c>
      <c r="B658">
        <v>17</v>
      </c>
      <c r="C658" s="11">
        <v>46269</v>
      </c>
      <c r="D658" t="s">
        <v>13</v>
      </c>
      <c r="E658">
        <v>400</v>
      </c>
      <c r="F658" s="11" t="s">
        <v>81</v>
      </c>
      <c r="G658" t="s">
        <v>21</v>
      </c>
      <c r="H658" t="s">
        <v>19</v>
      </c>
      <c r="I658">
        <v>300</v>
      </c>
      <c r="J658" t="s">
        <v>16</v>
      </c>
      <c r="K658" t="s">
        <v>33</v>
      </c>
      <c r="L658" t="s">
        <v>18</v>
      </c>
      <c r="M658" t="s">
        <v>41</v>
      </c>
      <c r="Q658" s="1"/>
    </row>
    <row r="659" spans="1:17" x14ac:dyDescent="0.3">
      <c r="A659">
        <v>10</v>
      </c>
      <c r="B659">
        <v>7</v>
      </c>
      <c r="C659" s="11">
        <v>46115</v>
      </c>
      <c r="D659" t="s">
        <v>20</v>
      </c>
      <c r="E659">
        <v>100</v>
      </c>
      <c r="F659" s="11">
        <v>46176</v>
      </c>
      <c r="G659" t="s">
        <v>60</v>
      </c>
      <c r="H659" t="s">
        <v>26</v>
      </c>
      <c r="I659">
        <v>400</v>
      </c>
      <c r="J659" t="s">
        <v>16</v>
      </c>
      <c r="K659" t="s">
        <v>17</v>
      </c>
      <c r="L659" t="s">
        <v>18</v>
      </c>
      <c r="M659" t="s">
        <v>63</v>
      </c>
      <c r="Q659" s="1"/>
    </row>
    <row r="660" spans="1:17" x14ac:dyDescent="0.3">
      <c r="A660">
        <v>19</v>
      </c>
      <c r="B660">
        <v>12</v>
      </c>
      <c r="C660" s="11">
        <v>46177</v>
      </c>
      <c r="D660" t="s">
        <v>13</v>
      </c>
      <c r="E660">
        <v>2000</v>
      </c>
      <c r="F660" s="11">
        <v>46238</v>
      </c>
      <c r="G660" t="s">
        <v>31</v>
      </c>
      <c r="H660" t="s">
        <v>19</v>
      </c>
      <c r="I660">
        <v>500</v>
      </c>
      <c r="J660" t="s">
        <v>23</v>
      </c>
      <c r="K660" t="s">
        <v>17</v>
      </c>
      <c r="L660" t="s">
        <v>34</v>
      </c>
      <c r="M660" t="s">
        <v>41</v>
      </c>
      <c r="Q660" s="1"/>
    </row>
    <row r="661" spans="1:17" x14ac:dyDescent="0.3">
      <c r="A661">
        <v>34</v>
      </c>
      <c r="B661">
        <v>19</v>
      </c>
      <c r="C661" s="11" t="s">
        <v>81</v>
      </c>
      <c r="D661" t="s">
        <v>20</v>
      </c>
      <c r="E661">
        <v>500</v>
      </c>
      <c r="F661" s="11" t="s">
        <v>81</v>
      </c>
      <c r="G661" t="s">
        <v>66</v>
      </c>
      <c r="H661" t="s">
        <v>19</v>
      </c>
      <c r="I661">
        <v>700</v>
      </c>
      <c r="J661" t="s">
        <v>16</v>
      </c>
      <c r="K661" t="s">
        <v>17</v>
      </c>
      <c r="L661" t="s">
        <v>18</v>
      </c>
      <c r="M661" t="s">
        <v>41</v>
      </c>
      <c r="Q661" s="1"/>
    </row>
    <row r="662" spans="1:17" x14ac:dyDescent="0.3">
      <c r="A662">
        <v>16</v>
      </c>
      <c r="B662">
        <v>11</v>
      </c>
      <c r="C662" s="11">
        <v>46085</v>
      </c>
      <c r="D662" t="s">
        <v>13</v>
      </c>
      <c r="E662">
        <v>6000</v>
      </c>
      <c r="F662" s="11">
        <v>46146</v>
      </c>
      <c r="G662" t="s">
        <v>42</v>
      </c>
      <c r="H662" t="s">
        <v>15</v>
      </c>
      <c r="I662">
        <v>800</v>
      </c>
      <c r="J662" t="s">
        <v>23</v>
      </c>
      <c r="K662" t="s">
        <v>33</v>
      </c>
      <c r="L662" t="s">
        <v>34</v>
      </c>
      <c r="M662" t="s">
        <v>19</v>
      </c>
      <c r="Q662" s="1"/>
    </row>
    <row r="663" spans="1:17" x14ac:dyDescent="0.3">
      <c r="A663">
        <v>29</v>
      </c>
      <c r="B663">
        <v>17</v>
      </c>
      <c r="C663" s="11">
        <v>46269</v>
      </c>
      <c r="D663" t="s">
        <v>20</v>
      </c>
      <c r="E663">
        <v>300</v>
      </c>
      <c r="F663" s="11" t="s">
        <v>81</v>
      </c>
      <c r="G663" t="s">
        <v>39</v>
      </c>
      <c r="H663" t="s">
        <v>19</v>
      </c>
      <c r="I663">
        <v>900</v>
      </c>
      <c r="J663" t="s">
        <v>16</v>
      </c>
      <c r="K663" t="s">
        <v>33</v>
      </c>
      <c r="L663" t="s">
        <v>18</v>
      </c>
      <c r="M663" t="s">
        <v>41</v>
      </c>
      <c r="Q663" s="1"/>
    </row>
    <row r="664" spans="1:17" x14ac:dyDescent="0.3">
      <c r="A664">
        <v>13</v>
      </c>
      <c r="B664">
        <v>8</v>
      </c>
      <c r="C664" s="11">
        <v>46268</v>
      </c>
      <c r="D664" t="s">
        <v>13</v>
      </c>
      <c r="E664">
        <v>800</v>
      </c>
      <c r="F664" s="11">
        <v>46026</v>
      </c>
      <c r="G664" t="s">
        <v>48</v>
      </c>
      <c r="H664" t="s">
        <v>30</v>
      </c>
      <c r="I664">
        <v>200</v>
      </c>
      <c r="J664" t="s">
        <v>23</v>
      </c>
      <c r="K664" t="s">
        <v>17</v>
      </c>
      <c r="L664" t="s">
        <v>18</v>
      </c>
      <c r="M664" t="s">
        <v>15</v>
      </c>
      <c r="Q664" s="1"/>
    </row>
    <row r="665" spans="1:17" x14ac:dyDescent="0.3">
      <c r="A665">
        <v>22</v>
      </c>
      <c r="B665">
        <v>14</v>
      </c>
      <c r="C665" s="11">
        <v>46238</v>
      </c>
      <c r="D665" t="s">
        <v>20</v>
      </c>
      <c r="E665">
        <v>1000</v>
      </c>
      <c r="F665" s="11" t="s">
        <v>81</v>
      </c>
      <c r="G665" t="s">
        <v>66</v>
      </c>
      <c r="H665" t="s">
        <v>19</v>
      </c>
      <c r="I665">
        <v>800</v>
      </c>
      <c r="J665" t="s">
        <v>23</v>
      </c>
      <c r="K665" t="s">
        <v>33</v>
      </c>
      <c r="L665" t="s">
        <v>18</v>
      </c>
      <c r="M665" t="s">
        <v>41</v>
      </c>
      <c r="Q665" s="1"/>
    </row>
    <row r="666" spans="1:17" x14ac:dyDescent="0.3">
      <c r="A666">
        <v>17</v>
      </c>
      <c r="B666">
        <v>11</v>
      </c>
      <c r="C666" s="11">
        <v>46146</v>
      </c>
      <c r="D666" t="s">
        <v>13</v>
      </c>
      <c r="E666">
        <v>300</v>
      </c>
      <c r="F666" s="11">
        <v>46207</v>
      </c>
      <c r="G666" t="s">
        <v>60</v>
      </c>
      <c r="H666" t="s">
        <v>15</v>
      </c>
      <c r="I666">
        <v>400</v>
      </c>
      <c r="J666" t="s">
        <v>16</v>
      </c>
      <c r="K666" t="s">
        <v>17</v>
      </c>
      <c r="L666" t="s">
        <v>18</v>
      </c>
      <c r="M666" t="s">
        <v>19</v>
      </c>
      <c r="Q666" s="1"/>
    </row>
    <row r="667" spans="1:17" x14ac:dyDescent="0.3">
      <c r="A667">
        <v>32</v>
      </c>
      <c r="B667">
        <v>18</v>
      </c>
      <c r="C667" s="11" t="s">
        <v>81</v>
      </c>
      <c r="D667" t="s">
        <v>20</v>
      </c>
      <c r="E667">
        <v>900</v>
      </c>
      <c r="F667" s="11" t="s">
        <v>81</v>
      </c>
      <c r="G667" t="s">
        <v>35</v>
      </c>
      <c r="H667" t="s">
        <v>19</v>
      </c>
      <c r="I667">
        <v>700</v>
      </c>
      <c r="J667" t="s">
        <v>16</v>
      </c>
      <c r="K667" t="s">
        <v>17</v>
      </c>
      <c r="L667" t="s">
        <v>18</v>
      </c>
      <c r="M667" t="s">
        <v>41</v>
      </c>
      <c r="Q667" s="1"/>
    </row>
    <row r="668" spans="1:17" x14ac:dyDescent="0.3">
      <c r="A668">
        <v>18</v>
      </c>
      <c r="B668">
        <v>12</v>
      </c>
      <c r="C668" s="11">
        <v>46207</v>
      </c>
      <c r="D668" t="s">
        <v>13</v>
      </c>
      <c r="E668">
        <v>100</v>
      </c>
      <c r="F668" s="11">
        <v>46269</v>
      </c>
      <c r="G668" t="s">
        <v>82</v>
      </c>
      <c r="H668" t="s">
        <v>67</v>
      </c>
      <c r="I668">
        <v>800</v>
      </c>
      <c r="J668" t="s">
        <v>23</v>
      </c>
      <c r="K668" t="s">
        <v>17</v>
      </c>
      <c r="L668" t="s">
        <v>18</v>
      </c>
      <c r="M668" t="s">
        <v>43</v>
      </c>
      <c r="Q668" s="1"/>
    </row>
    <row r="669" spans="1:17" x14ac:dyDescent="0.3">
      <c r="A669">
        <v>26</v>
      </c>
      <c r="B669">
        <v>15</v>
      </c>
      <c r="C669" s="11">
        <v>46238</v>
      </c>
      <c r="D669" t="s">
        <v>20</v>
      </c>
      <c r="E669">
        <v>2000</v>
      </c>
      <c r="F669" s="11" t="s">
        <v>81</v>
      </c>
      <c r="G669" t="s">
        <v>66</v>
      </c>
      <c r="H669" t="s">
        <v>19</v>
      </c>
      <c r="I669">
        <v>900</v>
      </c>
      <c r="J669" t="s">
        <v>16</v>
      </c>
      <c r="K669" t="s">
        <v>17</v>
      </c>
      <c r="L669" t="s">
        <v>18</v>
      </c>
      <c r="M669" t="s">
        <v>41</v>
      </c>
      <c r="Q669" s="1"/>
    </row>
    <row r="670" spans="1:17" x14ac:dyDescent="0.3">
      <c r="A670">
        <v>11</v>
      </c>
      <c r="B670">
        <v>8</v>
      </c>
      <c r="C670" s="11">
        <v>46237</v>
      </c>
      <c r="D670" t="s">
        <v>13</v>
      </c>
      <c r="E670">
        <v>4000</v>
      </c>
      <c r="F670" s="11" t="s">
        <v>64</v>
      </c>
      <c r="G670" t="s">
        <v>78</v>
      </c>
      <c r="H670" t="s">
        <v>28</v>
      </c>
      <c r="I670">
        <v>200</v>
      </c>
      <c r="J670" t="s">
        <v>23</v>
      </c>
      <c r="K670" t="s">
        <v>24</v>
      </c>
      <c r="L670" t="s">
        <v>18</v>
      </c>
      <c r="M670" t="s">
        <v>15</v>
      </c>
      <c r="Q670" s="1"/>
    </row>
    <row r="671" spans="1:17" x14ac:dyDescent="0.3">
      <c r="A671">
        <v>20</v>
      </c>
      <c r="B671">
        <v>13</v>
      </c>
      <c r="C671" s="11">
        <v>46146</v>
      </c>
      <c r="D671" t="s">
        <v>20</v>
      </c>
      <c r="E671">
        <v>500</v>
      </c>
      <c r="F671" s="11">
        <v>46207</v>
      </c>
      <c r="G671" t="s">
        <v>21</v>
      </c>
      <c r="H671" t="s">
        <v>15</v>
      </c>
      <c r="I671">
        <v>300</v>
      </c>
      <c r="J671" t="s">
        <v>16</v>
      </c>
      <c r="K671" t="s">
        <v>33</v>
      </c>
      <c r="L671" t="s">
        <v>18</v>
      </c>
      <c r="M671" t="s">
        <v>19</v>
      </c>
      <c r="Q671" s="1"/>
    </row>
    <row r="672" spans="1:17" x14ac:dyDescent="0.3">
      <c r="A672">
        <v>15</v>
      </c>
      <c r="B672">
        <v>11</v>
      </c>
      <c r="C672" s="11">
        <v>46057</v>
      </c>
      <c r="D672" t="s">
        <v>13</v>
      </c>
      <c r="E672">
        <v>6000</v>
      </c>
      <c r="F672" s="11">
        <v>46116</v>
      </c>
      <c r="G672" t="s">
        <v>55</v>
      </c>
      <c r="H672" t="s">
        <v>15</v>
      </c>
      <c r="I672">
        <v>800</v>
      </c>
      <c r="J672" t="s">
        <v>23</v>
      </c>
      <c r="K672" t="s">
        <v>33</v>
      </c>
      <c r="L672" t="s">
        <v>34</v>
      </c>
      <c r="M672" t="s">
        <v>19</v>
      </c>
      <c r="Q672" s="1"/>
    </row>
    <row r="673" spans="1:17" x14ac:dyDescent="0.3">
      <c r="A673">
        <v>30</v>
      </c>
      <c r="B673">
        <v>18</v>
      </c>
      <c r="C673" s="11">
        <v>46269</v>
      </c>
      <c r="D673" t="s">
        <v>20</v>
      </c>
      <c r="E673">
        <v>700</v>
      </c>
      <c r="F673" s="11" t="s">
        <v>81</v>
      </c>
      <c r="G673" t="s">
        <v>66</v>
      </c>
      <c r="H673" t="s">
        <v>19</v>
      </c>
      <c r="I673">
        <v>1000</v>
      </c>
      <c r="J673" t="s">
        <v>16</v>
      </c>
      <c r="K673" t="s">
        <v>17</v>
      </c>
      <c r="L673" t="s">
        <v>18</v>
      </c>
      <c r="M673" t="s">
        <v>41</v>
      </c>
      <c r="Q673" s="1"/>
    </row>
    <row r="674" spans="1:17" x14ac:dyDescent="0.3">
      <c r="A674">
        <v>9</v>
      </c>
      <c r="B674">
        <v>7</v>
      </c>
      <c r="C674" s="11">
        <v>46145</v>
      </c>
      <c r="D674" t="s">
        <v>13</v>
      </c>
      <c r="E674">
        <v>100</v>
      </c>
      <c r="F674" s="11">
        <v>46206</v>
      </c>
      <c r="G674" t="s">
        <v>42</v>
      </c>
      <c r="H674" t="s">
        <v>36</v>
      </c>
      <c r="I674">
        <v>400</v>
      </c>
      <c r="J674" t="s">
        <v>23</v>
      </c>
      <c r="K674" t="s">
        <v>17</v>
      </c>
      <c r="L674" t="s">
        <v>18</v>
      </c>
      <c r="M674" t="s">
        <v>32</v>
      </c>
      <c r="Q674" s="1"/>
    </row>
    <row r="675" spans="1:17" x14ac:dyDescent="0.3">
      <c r="A675">
        <v>24</v>
      </c>
      <c r="B675">
        <v>14</v>
      </c>
      <c r="C675" s="11">
        <v>46207</v>
      </c>
      <c r="D675" t="s">
        <v>20</v>
      </c>
      <c r="E675">
        <v>3000</v>
      </c>
      <c r="F675" s="11">
        <v>46269</v>
      </c>
      <c r="G675" t="s">
        <v>39</v>
      </c>
      <c r="H675" t="s">
        <v>19</v>
      </c>
      <c r="I675">
        <v>900</v>
      </c>
      <c r="J675" t="s">
        <v>23</v>
      </c>
      <c r="K675" t="s">
        <v>17</v>
      </c>
      <c r="L675" t="s">
        <v>18</v>
      </c>
      <c r="M675" t="s">
        <v>41</v>
      </c>
      <c r="Q675" s="1"/>
    </row>
    <row r="676" spans="1:17" x14ac:dyDescent="0.3">
      <c r="A676">
        <v>16</v>
      </c>
      <c r="B676">
        <v>12</v>
      </c>
      <c r="C676" s="11">
        <v>46116</v>
      </c>
      <c r="D676" t="s">
        <v>13</v>
      </c>
      <c r="E676">
        <v>200</v>
      </c>
      <c r="F676" s="11">
        <v>46177</v>
      </c>
      <c r="G676" t="s">
        <v>48</v>
      </c>
      <c r="H676" t="s">
        <v>15</v>
      </c>
      <c r="I676">
        <v>500</v>
      </c>
      <c r="J676" t="s">
        <v>23</v>
      </c>
      <c r="K676" t="s">
        <v>33</v>
      </c>
      <c r="L676" t="s">
        <v>18</v>
      </c>
      <c r="M676" t="s">
        <v>19</v>
      </c>
      <c r="Q676" s="1"/>
    </row>
    <row r="677" spans="1:17" x14ac:dyDescent="0.3">
      <c r="A677">
        <v>31</v>
      </c>
      <c r="B677">
        <v>18</v>
      </c>
      <c r="C677" s="11">
        <v>46269</v>
      </c>
      <c r="D677" t="s">
        <v>20</v>
      </c>
      <c r="E677">
        <v>5000</v>
      </c>
      <c r="F677" s="11" t="s">
        <v>81</v>
      </c>
      <c r="G677" t="s">
        <v>66</v>
      </c>
      <c r="H677" t="s">
        <v>19</v>
      </c>
      <c r="I677">
        <v>700</v>
      </c>
      <c r="J677" t="s">
        <v>16</v>
      </c>
      <c r="K677" t="s">
        <v>17</v>
      </c>
      <c r="L677" t="s">
        <v>18</v>
      </c>
      <c r="M677" t="s">
        <v>41</v>
      </c>
      <c r="Q677" s="1"/>
    </row>
    <row r="678" spans="1:17" x14ac:dyDescent="0.3">
      <c r="A678">
        <v>14</v>
      </c>
      <c r="B678">
        <v>10</v>
      </c>
      <c r="C678" s="11">
        <v>46057</v>
      </c>
      <c r="D678" t="s">
        <v>13</v>
      </c>
      <c r="E678">
        <v>300</v>
      </c>
      <c r="F678" s="11">
        <v>46116</v>
      </c>
      <c r="G678" t="s">
        <v>31</v>
      </c>
      <c r="H678" t="s">
        <v>15</v>
      </c>
      <c r="I678">
        <v>400</v>
      </c>
      <c r="J678" t="s">
        <v>16</v>
      </c>
      <c r="K678" t="s">
        <v>33</v>
      </c>
      <c r="L678" t="s">
        <v>18</v>
      </c>
      <c r="M678" t="s">
        <v>19</v>
      </c>
      <c r="Q678" s="1"/>
    </row>
    <row r="679" spans="1:17" x14ac:dyDescent="0.3">
      <c r="A679">
        <v>28</v>
      </c>
      <c r="B679">
        <v>17</v>
      </c>
      <c r="C679" s="11">
        <v>46269</v>
      </c>
      <c r="D679" t="s">
        <v>20</v>
      </c>
      <c r="E679">
        <v>700</v>
      </c>
      <c r="F679" s="11" t="s">
        <v>81</v>
      </c>
      <c r="G679" t="s">
        <v>35</v>
      </c>
      <c r="H679" t="s">
        <v>19</v>
      </c>
      <c r="I679">
        <v>900</v>
      </c>
      <c r="J679" t="s">
        <v>16</v>
      </c>
      <c r="K679" t="s">
        <v>33</v>
      </c>
      <c r="L679" t="s">
        <v>18</v>
      </c>
      <c r="M679" t="s">
        <v>41</v>
      </c>
      <c r="Q679" s="1"/>
    </row>
    <row r="680" spans="1:17" x14ac:dyDescent="0.3">
      <c r="A680">
        <v>12</v>
      </c>
      <c r="B680">
        <v>8</v>
      </c>
      <c r="C680" s="11">
        <v>46206</v>
      </c>
      <c r="D680" t="s">
        <v>13</v>
      </c>
      <c r="E680">
        <v>1000</v>
      </c>
      <c r="F680" s="11">
        <v>46268</v>
      </c>
      <c r="G680" t="s">
        <v>60</v>
      </c>
      <c r="H680" t="s">
        <v>63</v>
      </c>
      <c r="I680">
        <v>200</v>
      </c>
      <c r="J680" t="s">
        <v>16</v>
      </c>
      <c r="K680" t="s">
        <v>17</v>
      </c>
      <c r="L680" t="s">
        <v>18</v>
      </c>
      <c r="M680" t="s">
        <v>15</v>
      </c>
      <c r="Q680" s="1"/>
    </row>
    <row r="681" spans="1:17" x14ac:dyDescent="0.3">
      <c r="A681">
        <v>25</v>
      </c>
      <c r="B681">
        <v>15</v>
      </c>
      <c r="C681" s="11">
        <v>46269</v>
      </c>
      <c r="D681" t="s">
        <v>20</v>
      </c>
      <c r="E681">
        <v>800</v>
      </c>
      <c r="F681" s="11" t="s">
        <v>81</v>
      </c>
      <c r="G681" t="s">
        <v>39</v>
      </c>
      <c r="H681" t="s">
        <v>19</v>
      </c>
      <c r="I681">
        <v>400</v>
      </c>
      <c r="J681" t="s">
        <v>16</v>
      </c>
      <c r="K681" t="s">
        <v>33</v>
      </c>
      <c r="L681" t="s">
        <v>18</v>
      </c>
      <c r="M681" t="s">
        <v>41</v>
      </c>
      <c r="Q681" s="1"/>
    </row>
    <row r="682" spans="1:17" x14ac:dyDescent="0.3">
      <c r="A682">
        <v>8</v>
      </c>
      <c r="B682">
        <v>7</v>
      </c>
      <c r="C682" s="11">
        <v>46176</v>
      </c>
      <c r="D682" t="s">
        <v>13</v>
      </c>
      <c r="E682">
        <v>2000</v>
      </c>
      <c r="F682" s="11">
        <v>46237</v>
      </c>
      <c r="G682" t="s">
        <v>82</v>
      </c>
      <c r="H682" t="s">
        <v>67</v>
      </c>
      <c r="I682">
        <v>500</v>
      </c>
      <c r="J682" t="s">
        <v>23</v>
      </c>
      <c r="K682" t="s">
        <v>17</v>
      </c>
      <c r="L682" t="s">
        <v>18</v>
      </c>
      <c r="M682" t="s">
        <v>43</v>
      </c>
      <c r="Q682" s="1"/>
    </row>
    <row r="683" spans="1:17" x14ac:dyDescent="0.3">
      <c r="A683">
        <v>21</v>
      </c>
      <c r="B683">
        <v>14</v>
      </c>
      <c r="C683" s="11">
        <v>46238</v>
      </c>
      <c r="D683" t="s">
        <v>20</v>
      </c>
      <c r="E683">
        <v>300</v>
      </c>
      <c r="F683" s="11" t="s">
        <v>81</v>
      </c>
      <c r="G683" t="s">
        <v>55</v>
      </c>
      <c r="H683" t="s">
        <v>19</v>
      </c>
      <c r="I683">
        <v>800</v>
      </c>
      <c r="J683" t="s">
        <v>23</v>
      </c>
      <c r="K683" t="s">
        <v>33</v>
      </c>
      <c r="L683" t="s">
        <v>18</v>
      </c>
      <c r="M683" t="s">
        <v>41</v>
      </c>
      <c r="Q683" s="1"/>
    </row>
    <row r="684" spans="1:17" x14ac:dyDescent="0.3">
      <c r="A684">
        <v>15</v>
      </c>
      <c r="B684">
        <v>12</v>
      </c>
      <c r="C684" s="11">
        <v>46085</v>
      </c>
      <c r="D684" t="s">
        <v>13</v>
      </c>
      <c r="E684">
        <v>7000</v>
      </c>
      <c r="F684" s="11">
        <v>46146</v>
      </c>
      <c r="G684" t="s">
        <v>66</v>
      </c>
      <c r="H684" t="s">
        <v>15</v>
      </c>
      <c r="I684">
        <v>900</v>
      </c>
      <c r="J684" t="s">
        <v>23</v>
      </c>
      <c r="K684" t="s">
        <v>33</v>
      </c>
      <c r="L684" t="s">
        <v>34</v>
      </c>
      <c r="M684" t="s">
        <v>19</v>
      </c>
      <c r="Q684" s="1"/>
    </row>
    <row r="685" spans="1:17" x14ac:dyDescent="0.3">
      <c r="A685">
        <v>30</v>
      </c>
      <c r="B685">
        <v>19</v>
      </c>
      <c r="C685" s="11" t="s">
        <v>81</v>
      </c>
      <c r="D685" t="s">
        <v>20</v>
      </c>
      <c r="E685">
        <v>100</v>
      </c>
      <c r="F685" s="11" t="s">
        <v>81</v>
      </c>
      <c r="G685" t="s">
        <v>39</v>
      </c>
      <c r="H685" t="s">
        <v>19</v>
      </c>
      <c r="I685">
        <v>1000</v>
      </c>
      <c r="J685" t="s">
        <v>16</v>
      </c>
      <c r="K685" t="s">
        <v>33</v>
      </c>
      <c r="L685" t="s">
        <v>18</v>
      </c>
      <c r="M685" t="s">
        <v>41</v>
      </c>
      <c r="Q685" s="1"/>
    </row>
    <row r="686" spans="1:17" x14ac:dyDescent="0.3">
      <c r="A686">
        <v>10</v>
      </c>
      <c r="B686">
        <v>8</v>
      </c>
      <c r="C686" s="11">
        <v>46176</v>
      </c>
      <c r="D686" t="s">
        <v>13</v>
      </c>
      <c r="E686">
        <v>1000</v>
      </c>
      <c r="F686" s="11">
        <v>46237</v>
      </c>
      <c r="G686" t="s">
        <v>21</v>
      </c>
      <c r="H686" t="s">
        <v>32</v>
      </c>
      <c r="I686">
        <v>300</v>
      </c>
      <c r="J686" t="s">
        <v>16</v>
      </c>
      <c r="K686" t="s">
        <v>33</v>
      </c>
      <c r="L686" t="s">
        <v>18</v>
      </c>
      <c r="M686" t="s">
        <v>61</v>
      </c>
      <c r="Q686" s="1"/>
    </row>
    <row r="687" spans="1:17" x14ac:dyDescent="0.3">
      <c r="A687">
        <v>19</v>
      </c>
      <c r="B687">
        <v>13</v>
      </c>
      <c r="C687" s="11">
        <v>46177</v>
      </c>
      <c r="D687" t="s">
        <v>20</v>
      </c>
      <c r="E687">
        <v>2000</v>
      </c>
      <c r="F687" s="11">
        <v>46238</v>
      </c>
      <c r="G687" t="s">
        <v>31</v>
      </c>
      <c r="H687" t="s">
        <v>19</v>
      </c>
      <c r="I687">
        <v>500</v>
      </c>
      <c r="J687" t="s">
        <v>23</v>
      </c>
      <c r="K687" t="s">
        <v>17</v>
      </c>
      <c r="L687" t="s">
        <v>34</v>
      </c>
      <c r="M687" t="s">
        <v>41</v>
      </c>
      <c r="Q687" s="1"/>
    </row>
    <row r="688" spans="1:17" x14ac:dyDescent="0.3">
      <c r="A688">
        <v>34</v>
      </c>
      <c r="B688">
        <v>20</v>
      </c>
      <c r="C688" s="11" t="s">
        <v>81</v>
      </c>
      <c r="D688" t="s">
        <v>13</v>
      </c>
      <c r="E688">
        <v>300</v>
      </c>
      <c r="F688" s="11" t="s">
        <v>81</v>
      </c>
      <c r="G688" t="s">
        <v>42</v>
      </c>
      <c r="H688" t="s">
        <v>19</v>
      </c>
      <c r="I688">
        <v>700</v>
      </c>
      <c r="J688" t="s">
        <v>16</v>
      </c>
      <c r="K688" t="s">
        <v>17</v>
      </c>
      <c r="L688" t="s">
        <v>18</v>
      </c>
      <c r="M688" t="s">
        <v>41</v>
      </c>
      <c r="Q688" s="1"/>
    </row>
    <row r="689" spans="1:17" x14ac:dyDescent="0.3">
      <c r="A689">
        <v>16</v>
      </c>
      <c r="B689">
        <v>13</v>
      </c>
      <c r="C689" s="11">
        <v>46146</v>
      </c>
      <c r="D689" t="s">
        <v>20</v>
      </c>
      <c r="E689">
        <v>6000</v>
      </c>
      <c r="F689" s="11">
        <v>46207</v>
      </c>
      <c r="G689" t="s">
        <v>66</v>
      </c>
      <c r="H689" t="s">
        <v>15</v>
      </c>
      <c r="I689">
        <v>800</v>
      </c>
      <c r="J689" t="s">
        <v>23</v>
      </c>
      <c r="K689" t="s">
        <v>33</v>
      </c>
      <c r="L689" t="s">
        <v>34</v>
      </c>
      <c r="M689" t="s">
        <v>19</v>
      </c>
      <c r="Q689" s="1"/>
    </row>
    <row r="690" spans="1:17" x14ac:dyDescent="0.3">
      <c r="A690">
        <v>29</v>
      </c>
      <c r="B690">
        <v>18</v>
      </c>
      <c r="C690" s="11">
        <v>46269</v>
      </c>
      <c r="D690" t="s">
        <v>13</v>
      </c>
      <c r="E690">
        <v>400</v>
      </c>
      <c r="F690" s="11" t="s">
        <v>81</v>
      </c>
      <c r="G690" t="s">
        <v>21</v>
      </c>
      <c r="H690" t="s">
        <v>19</v>
      </c>
      <c r="I690">
        <v>300</v>
      </c>
      <c r="J690" t="s">
        <v>16</v>
      </c>
      <c r="K690" t="s">
        <v>33</v>
      </c>
      <c r="L690" t="s">
        <v>18</v>
      </c>
      <c r="M690" t="s">
        <v>41</v>
      </c>
      <c r="Q690" s="1"/>
    </row>
    <row r="691" spans="1:17" x14ac:dyDescent="0.3">
      <c r="A691">
        <v>13</v>
      </c>
      <c r="B691">
        <v>9</v>
      </c>
      <c r="C691" s="11" t="s">
        <v>64</v>
      </c>
      <c r="D691" t="s">
        <v>20</v>
      </c>
      <c r="E691">
        <v>900</v>
      </c>
      <c r="F691" s="11">
        <v>46057</v>
      </c>
      <c r="G691" t="s">
        <v>78</v>
      </c>
      <c r="H691" t="s">
        <v>30</v>
      </c>
      <c r="I691">
        <v>200</v>
      </c>
      <c r="J691" t="s">
        <v>23</v>
      </c>
      <c r="K691" t="s">
        <v>17</v>
      </c>
      <c r="L691" t="s">
        <v>18</v>
      </c>
      <c r="M691" t="s">
        <v>15</v>
      </c>
      <c r="Q691" s="1"/>
    </row>
    <row r="692" spans="1:17" x14ac:dyDescent="0.3">
      <c r="A692">
        <v>22</v>
      </c>
      <c r="B692">
        <v>15</v>
      </c>
      <c r="C692" s="11">
        <v>46269</v>
      </c>
      <c r="D692" t="s">
        <v>13</v>
      </c>
      <c r="E692">
        <v>1000</v>
      </c>
      <c r="F692" s="11" t="s">
        <v>81</v>
      </c>
      <c r="G692" t="s">
        <v>60</v>
      </c>
      <c r="H692" t="s">
        <v>19</v>
      </c>
      <c r="I692">
        <v>800</v>
      </c>
      <c r="J692" t="s">
        <v>16</v>
      </c>
      <c r="K692" t="s">
        <v>17</v>
      </c>
      <c r="L692" t="s">
        <v>25</v>
      </c>
      <c r="M692" t="s">
        <v>41</v>
      </c>
      <c r="Q692" s="1"/>
    </row>
    <row r="693" spans="1:17" x14ac:dyDescent="0.3">
      <c r="A693">
        <v>17</v>
      </c>
      <c r="B693">
        <v>12</v>
      </c>
      <c r="C693" s="11">
        <v>46177</v>
      </c>
      <c r="D693" t="s">
        <v>20</v>
      </c>
      <c r="E693">
        <v>400</v>
      </c>
      <c r="F693" s="11">
        <v>46238</v>
      </c>
      <c r="G693" t="s">
        <v>35</v>
      </c>
      <c r="H693" t="s">
        <v>15</v>
      </c>
      <c r="I693">
        <v>400</v>
      </c>
      <c r="J693" t="s">
        <v>23</v>
      </c>
      <c r="K693" t="s">
        <v>33</v>
      </c>
      <c r="L693" t="s">
        <v>18</v>
      </c>
      <c r="M693" t="s">
        <v>19</v>
      </c>
      <c r="Q693" s="1"/>
    </row>
    <row r="694" spans="1:17" x14ac:dyDescent="0.3">
      <c r="A694">
        <v>32</v>
      </c>
      <c r="B694">
        <v>19</v>
      </c>
      <c r="C694" s="11" t="s">
        <v>81</v>
      </c>
      <c r="D694" t="s">
        <v>13</v>
      </c>
      <c r="E694">
        <v>700</v>
      </c>
      <c r="F694" s="11" t="s">
        <v>81</v>
      </c>
      <c r="G694" t="s">
        <v>66</v>
      </c>
      <c r="H694" t="s">
        <v>19</v>
      </c>
      <c r="I694">
        <v>700</v>
      </c>
      <c r="J694" t="s">
        <v>16</v>
      </c>
      <c r="K694" t="s">
        <v>17</v>
      </c>
      <c r="L694" t="s">
        <v>18</v>
      </c>
      <c r="M694" t="s">
        <v>41</v>
      </c>
      <c r="Q694" s="1"/>
    </row>
    <row r="695" spans="1:17" x14ac:dyDescent="0.3">
      <c r="A695">
        <v>18</v>
      </c>
      <c r="B695">
        <v>13</v>
      </c>
      <c r="C695" s="11">
        <v>46207</v>
      </c>
      <c r="D695" t="s">
        <v>20</v>
      </c>
      <c r="E695">
        <v>800</v>
      </c>
      <c r="F695" s="11">
        <v>46269</v>
      </c>
      <c r="G695" t="s">
        <v>39</v>
      </c>
      <c r="H695" t="s">
        <v>19</v>
      </c>
      <c r="I695">
        <v>900</v>
      </c>
      <c r="J695" t="s">
        <v>23</v>
      </c>
      <c r="K695" t="s">
        <v>17</v>
      </c>
      <c r="L695" t="s">
        <v>18</v>
      </c>
      <c r="M695" t="s">
        <v>41</v>
      </c>
      <c r="Q695" s="1"/>
    </row>
    <row r="696" spans="1:17" x14ac:dyDescent="0.3">
      <c r="A696">
        <v>26</v>
      </c>
      <c r="B696">
        <v>16</v>
      </c>
      <c r="C696" s="11">
        <v>46269</v>
      </c>
      <c r="D696" t="s">
        <v>13</v>
      </c>
      <c r="E696">
        <v>200</v>
      </c>
      <c r="F696" s="11" t="s">
        <v>81</v>
      </c>
      <c r="G696" t="s">
        <v>66</v>
      </c>
      <c r="H696" t="s">
        <v>19</v>
      </c>
      <c r="I696">
        <v>1000</v>
      </c>
      <c r="J696" t="s">
        <v>23</v>
      </c>
      <c r="K696" t="s">
        <v>17</v>
      </c>
      <c r="L696" t="s">
        <v>18</v>
      </c>
      <c r="M696" t="s">
        <v>41</v>
      </c>
      <c r="Q696" s="1"/>
    </row>
    <row r="697" spans="1:17" x14ac:dyDescent="0.3">
      <c r="A697">
        <v>11</v>
      </c>
      <c r="B697">
        <v>9</v>
      </c>
      <c r="C697" s="11">
        <v>46268</v>
      </c>
      <c r="D697" t="s">
        <v>20</v>
      </c>
      <c r="E697">
        <v>5000</v>
      </c>
      <c r="F697" s="11">
        <v>46026</v>
      </c>
      <c r="G697" t="s">
        <v>42</v>
      </c>
      <c r="H697" t="s">
        <v>30</v>
      </c>
      <c r="I697">
        <v>300</v>
      </c>
      <c r="J697" t="s">
        <v>23</v>
      </c>
      <c r="K697" t="s">
        <v>33</v>
      </c>
      <c r="L697" t="s">
        <v>18</v>
      </c>
      <c r="M697" t="s">
        <v>19</v>
      </c>
      <c r="Q697" s="1"/>
    </row>
    <row r="698" spans="1:17" x14ac:dyDescent="0.3">
      <c r="A698">
        <v>20</v>
      </c>
      <c r="B698">
        <v>14</v>
      </c>
      <c r="C698" s="11">
        <v>46177</v>
      </c>
      <c r="D698" t="s">
        <v>13</v>
      </c>
      <c r="E698">
        <v>300</v>
      </c>
      <c r="F698" s="11">
        <v>46238</v>
      </c>
      <c r="G698" t="s">
        <v>21</v>
      </c>
      <c r="H698" t="s">
        <v>15</v>
      </c>
      <c r="I698">
        <v>500</v>
      </c>
      <c r="J698" t="s">
        <v>23</v>
      </c>
      <c r="K698" t="s">
        <v>33</v>
      </c>
      <c r="L698" t="s">
        <v>18</v>
      </c>
      <c r="M698" t="s">
        <v>19</v>
      </c>
      <c r="Q698" s="1"/>
    </row>
    <row r="699" spans="1:17" x14ac:dyDescent="0.3">
      <c r="A699">
        <v>15</v>
      </c>
      <c r="B699">
        <v>13</v>
      </c>
      <c r="C699" s="11">
        <v>46116</v>
      </c>
      <c r="D699" t="s">
        <v>20</v>
      </c>
      <c r="E699">
        <v>7000</v>
      </c>
      <c r="F699" s="11">
        <v>46177</v>
      </c>
      <c r="G699" t="s">
        <v>66</v>
      </c>
      <c r="H699" t="s">
        <v>15</v>
      </c>
      <c r="I699">
        <v>900</v>
      </c>
      <c r="J699" t="s">
        <v>23</v>
      </c>
      <c r="K699" t="s">
        <v>33</v>
      </c>
      <c r="L699" t="s">
        <v>34</v>
      </c>
      <c r="M699" t="s">
        <v>19</v>
      </c>
      <c r="Q699" s="1"/>
    </row>
    <row r="700" spans="1:17" x14ac:dyDescent="0.3">
      <c r="A700">
        <v>30</v>
      </c>
      <c r="B700">
        <v>20</v>
      </c>
      <c r="C700" s="11" t="s">
        <v>81</v>
      </c>
      <c r="D700" t="s">
        <v>13</v>
      </c>
      <c r="E700">
        <v>100</v>
      </c>
      <c r="F700" s="11" t="s">
        <v>81</v>
      </c>
      <c r="G700" t="s">
        <v>39</v>
      </c>
      <c r="H700" t="s">
        <v>19</v>
      </c>
      <c r="I700">
        <v>1000</v>
      </c>
      <c r="J700" t="s">
        <v>16</v>
      </c>
      <c r="K700" t="s">
        <v>33</v>
      </c>
      <c r="L700" t="s">
        <v>18</v>
      </c>
      <c r="M700" t="s">
        <v>41</v>
      </c>
      <c r="Q700" s="1"/>
    </row>
    <row r="701" spans="1:17" x14ac:dyDescent="0.3">
      <c r="A701">
        <v>9</v>
      </c>
      <c r="B701">
        <v>8</v>
      </c>
      <c r="C701" s="11">
        <v>46206</v>
      </c>
      <c r="D701" t="s">
        <v>20</v>
      </c>
      <c r="E701">
        <v>2000</v>
      </c>
      <c r="F701" s="11">
        <v>46268</v>
      </c>
      <c r="G701" t="s">
        <v>31</v>
      </c>
      <c r="H701" t="s">
        <v>61</v>
      </c>
      <c r="I701">
        <v>400</v>
      </c>
      <c r="J701" t="s">
        <v>23</v>
      </c>
      <c r="K701" t="s">
        <v>33</v>
      </c>
      <c r="L701" t="s">
        <v>34</v>
      </c>
      <c r="M701" t="s">
        <v>30</v>
      </c>
      <c r="Q701" s="1"/>
    </row>
    <row r="702" spans="1:17" x14ac:dyDescent="0.3">
      <c r="A702">
        <v>24</v>
      </c>
      <c r="B702">
        <v>15</v>
      </c>
      <c r="C702" s="11">
        <v>46238</v>
      </c>
      <c r="D702" t="s">
        <v>13</v>
      </c>
      <c r="E702">
        <v>400</v>
      </c>
      <c r="F702" s="11" t="s">
        <v>81</v>
      </c>
      <c r="G702" t="s">
        <v>60</v>
      </c>
      <c r="H702" t="s">
        <v>19</v>
      </c>
      <c r="I702">
        <v>800</v>
      </c>
      <c r="J702" t="s">
        <v>16</v>
      </c>
      <c r="K702" t="s">
        <v>17</v>
      </c>
      <c r="L702" t="s">
        <v>25</v>
      </c>
      <c r="M702" t="s">
        <v>41</v>
      </c>
      <c r="Q702" s="1"/>
    </row>
    <row r="703" spans="1:17" x14ac:dyDescent="0.3">
      <c r="A703">
        <v>16</v>
      </c>
      <c r="B703">
        <v>14</v>
      </c>
      <c r="C703" s="11">
        <v>46177</v>
      </c>
      <c r="D703" t="s">
        <v>20</v>
      </c>
      <c r="E703">
        <v>6000</v>
      </c>
      <c r="F703" s="11">
        <v>46238</v>
      </c>
      <c r="G703" t="s">
        <v>66</v>
      </c>
      <c r="H703" t="s">
        <v>15</v>
      </c>
      <c r="I703">
        <v>800</v>
      </c>
      <c r="J703" t="s">
        <v>23</v>
      </c>
      <c r="K703" t="s">
        <v>33</v>
      </c>
      <c r="L703" t="s">
        <v>34</v>
      </c>
      <c r="M703" t="s">
        <v>19</v>
      </c>
      <c r="Q703" s="1"/>
    </row>
    <row r="704" spans="1:17" x14ac:dyDescent="0.3">
      <c r="A704">
        <v>11</v>
      </c>
      <c r="B704">
        <v>10</v>
      </c>
      <c r="C704" s="11" t="s">
        <v>64</v>
      </c>
      <c r="D704" t="s">
        <v>13</v>
      </c>
      <c r="E704">
        <v>300</v>
      </c>
      <c r="F704" s="11">
        <v>46057</v>
      </c>
      <c r="G704" t="s">
        <v>27</v>
      </c>
      <c r="H704" t="s">
        <v>30</v>
      </c>
      <c r="I704">
        <v>500</v>
      </c>
      <c r="J704" t="s">
        <v>23</v>
      </c>
      <c r="K704" t="s">
        <v>33</v>
      </c>
      <c r="L704" t="s">
        <v>34</v>
      </c>
      <c r="M704" t="s">
        <v>19</v>
      </c>
      <c r="Q704" s="1"/>
    </row>
    <row r="705" spans="1:17" x14ac:dyDescent="0.3">
      <c r="A705">
        <v>29</v>
      </c>
      <c r="B705">
        <v>19</v>
      </c>
      <c r="C705" s="11">
        <v>46269</v>
      </c>
      <c r="D705" t="s">
        <v>20</v>
      </c>
      <c r="E705">
        <v>700</v>
      </c>
      <c r="F705" s="11" t="s">
        <v>81</v>
      </c>
      <c r="G705" t="s">
        <v>39</v>
      </c>
      <c r="H705" t="s">
        <v>19</v>
      </c>
      <c r="I705">
        <v>1000</v>
      </c>
      <c r="J705" t="s">
        <v>16</v>
      </c>
      <c r="K705" t="s">
        <v>33</v>
      </c>
      <c r="L705" t="s">
        <v>18</v>
      </c>
      <c r="M705" t="s">
        <v>41</v>
      </c>
      <c r="Q705" s="1"/>
    </row>
    <row r="706" spans="1:17" x14ac:dyDescent="0.3">
      <c r="A706">
        <v>13</v>
      </c>
      <c r="B706">
        <v>10</v>
      </c>
      <c r="C706" s="11">
        <v>46237</v>
      </c>
      <c r="D706" t="s">
        <v>13</v>
      </c>
      <c r="E706">
        <v>900</v>
      </c>
      <c r="F706" s="11" t="s">
        <v>64</v>
      </c>
      <c r="G706" t="s">
        <v>78</v>
      </c>
      <c r="H706" t="s">
        <v>30</v>
      </c>
      <c r="I706">
        <v>200</v>
      </c>
      <c r="J706" t="s">
        <v>23</v>
      </c>
      <c r="K706" t="s">
        <v>17</v>
      </c>
      <c r="L706" t="s">
        <v>18</v>
      </c>
      <c r="M706" t="s">
        <v>15</v>
      </c>
      <c r="Q706" s="1"/>
    </row>
    <row r="707" spans="1:17" x14ac:dyDescent="0.3">
      <c r="A707">
        <v>22</v>
      </c>
      <c r="B707">
        <v>16</v>
      </c>
      <c r="C707" s="11" t="s">
        <v>81</v>
      </c>
      <c r="D707" t="s">
        <v>20</v>
      </c>
      <c r="E707">
        <v>1000</v>
      </c>
      <c r="F707" s="11" t="s">
        <v>81</v>
      </c>
      <c r="G707" t="s">
        <v>60</v>
      </c>
      <c r="H707" t="s">
        <v>19</v>
      </c>
      <c r="I707">
        <v>800</v>
      </c>
      <c r="J707" t="s">
        <v>16</v>
      </c>
      <c r="K707" t="s">
        <v>17</v>
      </c>
      <c r="L707" t="s">
        <v>25</v>
      </c>
      <c r="M707" t="s">
        <v>41</v>
      </c>
      <c r="Q707" s="1"/>
    </row>
    <row r="708" spans="1:17" x14ac:dyDescent="0.3">
      <c r="A708">
        <v>17</v>
      </c>
      <c r="B708">
        <v>13</v>
      </c>
      <c r="C708" s="11">
        <v>46207</v>
      </c>
      <c r="D708" t="s">
        <v>20</v>
      </c>
      <c r="E708">
        <v>400</v>
      </c>
      <c r="F708" s="11">
        <v>46269</v>
      </c>
      <c r="G708" t="s">
        <v>35</v>
      </c>
      <c r="H708" t="s">
        <v>19</v>
      </c>
      <c r="I708">
        <v>500</v>
      </c>
      <c r="J708" t="s">
        <v>23</v>
      </c>
      <c r="K708" t="s">
        <v>33</v>
      </c>
      <c r="L708" t="s">
        <v>18</v>
      </c>
      <c r="M708" t="s">
        <v>41</v>
      </c>
      <c r="Q708" s="1"/>
    </row>
    <row r="709" spans="1:17" x14ac:dyDescent="0.3">
      <c r="A709">
        <v>32</v>
      </c>
      <c r="B709">
        <v>20</v>
      </c>
      <c r="C709" s="11" t="s">
        <v>81</v>
      </c>
      <c r="D709" t="s">
        <v>13</v>
      </c>
      <c r="E709">
        <v>700</v>
      </c>
      <c r="F709" s="11" t="s">
        <v>81</v>
      </c>
      <c r="G709" t="s">
        <v>66</v>
      </c>
      <c r="H709" t="s">
        <v>19</v>
      </c>
      <c r="I709">
        <v>700</v>
      </c>
      <c r="J709" t="s">
        <v>16</v>
      </c>
      <c r="K709" t="s">
        <v>17</v>
      </c>
      <c r="L709" t="s">
        <v>18</v>
      </c>
      <c r="M709" t="s">
        <v>41</v>
      </c>
      <c r="Q709" s="1"/>
    </row>
    <row r="710" spans="1:17" x14ac:dyDescent="0.3">
      <c r="A710">
        <v>18</v>
      </c>
      <c r="B710">
        <v>14</v>
      </c>
      <c r="C710" s="11">
        <v>46238</v>
      </c>
      <c r="D710" t="s">
        <v>20</v>
      </c>
      <c r="E710">
        <v>800</v>
      </c>
      <c r="F710" s="11" t="s">
        <v>81</v>
      </c>
      <c r="G710" t="s">
        <v>39</v>
      </c>
      <c r="H710" t="s">
        <v>19</v>
      </c>
      <c r="I710">
        <v>900</v>
      </c>
      <c r="J710" t="s">
        <v>23</v>
      </c>
      <c r="K710" t="s">
        <v>17</v>
      </c>
      <c r="L710" t="s">
        <v>18</v>
      </c>
      <c r="M710" t="s">
        <v>41</v>
      </c>
      <c r="Q710" s="1"/>
    </row>
    <row r="711" spans="1:17" x14ac:dyDescent="0.3">
      <c r="A711">
        <v>26</v>
      </c>
      <c r="B711">
        <v>17</v>
      </c>
      <c r="C711" s="11" t="s">
        <v>81</v>
      </c>
      <c r="D711" t="s">
        <v>13</v>
      </c>
      <c r="E711">
        <v>200</v>
      </c>
      <c r="F711" s="11" t="s">
        <v>81</v>
      </c>
      <c r="G711" t="s">
        <v>66</v>
      </c>
      <c r="H711" t="s">
        <v>19</v>
      </c>
      <c r="I711">
        <v>1000</v>
      </c>
      <c r="J711" t="s">
        <v>23</v>
      </c>
      <c r="K711" t="s">
        <v>17</v>
      </c>
      <c r="L711" t="s">
        <v>18</v>
      </c>
      <c r="M711" t="s">
        <v>41</v>
      </c>
      <c r="Q711" s="1"/>
    </row>
    <row r="712" spans="1:17" x14ac:dyDescent="0.3">
      <c r="A712">
        <v>11</v>
      </c>
      <c r="B712">
        <v>11</v>
      </c>
      <c r="C712" s="11">
        <v>46026</v>
      </c>
      <c r="D712" t="s">
        <v>20</v>
      </c>
      <c r="E712">
        <v>5000</v>
      </c>
      <c r="F712" s="11">
        <v>46085</v>
      </c>
      <c r="G712" t="s">
        <v>42</v>
      </c>
      <c r="H712" t="s">
        <v>15</v>
      </c>
      <c r="I712">
        <v>300</v>
      </c>
      <c r="J712" t="s">
        <v>23</v>
      </c>
      <c r="K712" t="s">
        <v>33</v>
      </c>
      <c r="L712" t="s">
        <v>18</v>
      </c>
      <c r="M712" t="s">
        <v>19</v>
      </c>
      <c r="Q712" s="1"/>
    </row>
    <row r="713" spans="1:17" x14ac:dyDescent="0.3">
      <c r="A713">
        <v>20</v>
      </c>
      <c r="B713">
        <v>15</v>
      </c>
      <c r="C713" s="11">
        <v>46207</v>
      </c>
      <c r="D713" t="s">
        <v>13</v>
      </c>
      <c r="E713">
        <v>300</v>
      </c>
      <c r="F713" s="11">
        <v>46269</v>
      </c>
      <c r="G713" t="s">
        <v>21</v>
      </c>
      <c r="H713" t="s">
        <v>15</v>
      </c>
      <c r="I713">
        <v>500</v>
      </c>
      <c r="J713" t="s">
        <v>23</v>
      </c>
      <c r="K713" t="s">
        <v>33</v>
      </c>
      <c r="L713" t="s">
        <v>18</v>
      </c>
      <c r="M713" t="s">
        <v>19</v>
      </c>
      <c r="Q713" s="1"/>
    </row>
    <row r="714" spans="1:17" x14ac:dyDescent="0.3">
      <c r="A714">
        <v>15</v>
      </c>
      <c r="B714">
        <v>14</v>
      </c>
      <c r="C714" s="11">
        <v>46146</v>
      </c>
      <c r="D714" t="s">
        <v>20</v>
      </c>
      <c r="E714">
        <v>7000</v>
      </c>
      <c r="F714" s="11">
        <v>46207</v>
      </c>
      <c r="G714" t="s">
        <v>66</v>
      </c>
      <c r="H714" t="s">
        <v>15</v>
      </c>
      <c r="I714">
        <v>900</v>
      </c>
      <c r="J714" t="s">
        <v>23</v>
      </c>
      <c r="K714" t="s">
        <v>33</v>
      </c>
      <c r="L714" t="s">
        <v>34</v>
      </c>
      <c r="M714" t="s">
        <v>19</v>
      </c>
      <c r="Q714" s="1"/>
    </row>
    <row r="715" spans="1:17" x14ac:dyDescent="0.3">
      <c r="A715">
        <v>30</v>
      </c>
      <c r="B715">
        <v>21</v>
      </c>
      <c r="C715" s="11" t="s">
        <v>81</v>
      </c>
      <c r="D715" t="s">
        <v>13</v>
      </c>
      <c r="E715">
        <v>100</v>
      </c>
      <c r="F715" s="11" t="s">
        <v>81</v>
      </c>
      <c r="G715" t="s">
        <v>39</v>
      </c>
      <c r="H715" t="s">
        <v>19</v>
      </c>
      <c r="I715">
        <v>1000</v>
      </c>
      <c r="J715" t="s">
        <v>16</v>
      </c>
      <c r="K715" t="s">
        <v>33</v>
      </c>
      <c r="L715" t="s">
        <v>18</v>
      </c>
      <c r="M715" t="s">
        <v>41</v>
      </c>
      <c r="Q715" s="1"/>
    </row>
    <row r="716" spans="1:17" x14ac:dyDescent="0.3">
      <c r="A716">
        <v>9</v>
      </c>
      <c r="B716">
        <v>9</v>
      </c>
      <c r="C716" s="11">
        <v>46237</v>
      </c>
      <c r="D716" t="s">
        <v>20</v>
      </c>
      <c r="E716">
        <v>2000</v>
      </c>
      <c r="F716" s="11" t="s">
        <v>64</v>
      </c>
      <c r="G716" t="s">
        <v>31</v>
      </c>
      <c r="H716" t="s">
        <v>61</v>
      </c>
      <c r="I716">
        <v>400</v>
      </c>
      <c r="J716" t="s">
        <v>23</v>
      </c>
      <c r="K716" t="s">
        <v>33</v>
      </c>
      <c r="L716" t="s">
        <v>34</v>
      </c>
      <c r="M716" t="s">
        <v>30</v>
      </c>
      <c r="Q716" s="1"/>
    </row>
    <row r="717" spans="1:17" x14ac:dyDescent="0.3">
      <c r="A717">
        <v>24</v>
      </c>
      <c r="B717">
        <v>16</v>
      </c>
      <c r="C717" s="11">
        <v>46269</v>
      </c>
      <c r="D717" t="s">
        <v>13</v>
      </c>
      <c r="E717">
        <v>400</v>
      </c>
      <c r="F717" s="11" t="s">
        <v>81</v>
      </c>
      <c r="G717" t="s">
        <v>60</v>
      </c>
      <c r="H717" t="s">
        <v>19</v>
      </c>
      <c r="I717">
        <v>800</v>
      </c>
      <c r="J717" t="s">
        <v>16</v>
      </c>
      <c r="K717" t="s">
        <v>17</v>
      </c>
      <c r="L717" t="s">
        <v>25</v>
      </c>
      <c r="M717" t="s">
        <v>41</v>
      </c>
      <c r="Q717" s="1"/>
    </row>
    <row r="718" spans="1:17" x14ac:dyDescent="0.3">
      <c r="A718">
        <v>16</v>
      </c>
      <c r="B718">
        <v>15</v>
      </c>
      <c r="C718" s="11">
        <v>46207</v>
      </c>
      <c r="D718" t="s">
        <v>20</v>
      </c>
      <c r="E718">
        <v>6000</v>
      </c>
      <c r="F718" s="11">
        <v>46269</v>
      </c>
      <c r="G718" t="s">
        <v>66</v>
      </c>
      <c r="H718" t="s">
        <v>15</v>
      </c>
      <c r="I718">
        <v>800</v>
      </c>
      <c r="J718" t="s">
        <v>23</v>
      </c>
      <c r="K718" t="s">
        <v>33</v>
      </c>
      <c r="L718" t="s">
        <v>34</v>
      </c>
      <c r="M718" t="s">
        <v>19</v>
      </c>
      <c r="Q718" s="1"/>
    </row>
    <row r="719" spans="1:17" x14ac:dyDescent="0.3">
      <c r="A719">
        <v>11</v>
      </c>
      <c r="B719">
        <v>12</v>
      </c>
      <c r="C719" s="11">
        <v>46057</v>
      </c>
      <c r="D719" t="s">
        <v>13</v>
      </c>
      <c r="E719">
        <v>300</v>
      </c>
      <c r="F719" s="11">
        <v>46116</v>
      </c>
      <c r="G719" t="s">
        <v>27</v>
      </c>
      <c r="H719" t="s">
        <v>15</v>
      </c>
      <c r="I719">
        <v>500</v>
      </c>
      <c r="J719" t="s">
        <v>23</v>
      </c>
      <c r="K719" t="s">
        <v>33</v>
      </c>
      <c r="L719" t="s">
        <v>34</v>
      </c>
      <c r="M719" t="s">
        <v>19</v>
      </c>
      <c r="Q719" s="1"/>
    </row>
    <row r="720" spans="1:17" x14ac:dyDescent="0.3">
      <c r="A720">
        <v>29</v>
      </c>
      <c r="B720">
        <v>20</v>
      </c>
      <c r="C720" s="11">
        <v>46269</v>
      </c>
      <c r="D720" t="s">
        <v>20</v>
      </c>
      <c r="E720">
        <v>700</v>
      </c>
      <c r="F720" s="11" t="s">
        <v>81</v>
      </c>
      <c r="G720" t="s">
        <v>39</v>
      </c>
      <c r="H720" t="s">
        <v>19</v>
      </c>
      <c r="I720">
        <v>1000</v>
      </c>
      <c r="J720" t="s">
        <v>16</v>
      </c>
      <c r="K720" t="s">
        <v>33</v>
      </c>
      <c r="L720" t="s">
        <v>18</v>
      </c>
      <c r="M720" t="s">
        <v>41</v>
      </c>
      <c r="Q720" s="1"/>
    </row>
    <row r="721" spans="1:17" x14ac:dyDescent="0.3">
      <c r="A721">
        <v>13</v>
      </c>
      <c r="B721">
        <v>11</v>
      </c>
      <c r="C721" s="11">
        <v>46268</v>
      </c>
      <c r="D721" t="s">
        <v>13</v>
      </c>
      <c r="E721">
        <v>900</v>
      </c>
      <c r="F721" s="11">
        <v>46026</v>
      </c>
      <c r="G721" t="s">
        <v>78</v>
      </c>
      <c r="H721" t="s">
        <v>30</v>
      </c>
      <c r="I721">
        <v>200</v>
      </c>
      <c r="J721" t="s">
        <v>23</v>
      </c>
      <c r="K721" t="s">
        <v>17</v>
      </c>
      <c r="L721" t="s">
        <v>18</v>
      </c>
      <c r="M721" t="s">
        <v>15</v>
      </c>
      <c r="Q721" s="1"/>
    </row>
    <row r="722" spans="1:17" x14ac:dyDescent="0.3">
      <c r="A722">
        <v>22</v>
      </c>
      <c r="B722">
        <v>17</v>
      </c>
      <c r="C722" s="11" t="s">
        <v>81</v>
      </c>
      <c r="D722" t="s">
        <v>20</v>
      </c>
      <c r="E722">
        <v>1000</v>
      </c>
      <c r="F722" s="11" t="s">
        <v>81</v>
      </c>
      <c r="G722" t="s">
        <v>60</v>
      </c>
      <c r="H722" t="s">
        <v>19</v>
      </c>
      <c r="I722">
        <v>800</v>
      </c>
      <c r="J722" t="s">
        <v>16</v>
      </c>
      <c r="K722" t="s">
        <v>17</v>
      </c>
      <c r="L722" t="s">
        <v>25</v>
      </c>
      <c r="M722" t="s">
        <v>41</v>
      </c>
      <c r="Q722" s="1"/>
    </row>
    <row r="723" spans="1:17" x14ac:dyDescent="0.3">
      <c r="A723">
        <v>17</v>
      </c>
      <c r="B723">
        <v>14</v>
      </c>
      <c r="C723" s="11">
        <v>46238</v>
      </c>
      <c r="D723" t="s">
        <v>20</v>
      </c>
      <c r="E723">
        <v>400</v>
      </c>
      <c r="F723" s="11" t="s">
        <v>81</v>
      </c>
      <c r="G723" t="s">
        <v>35</v>
      </c>
      <c r="H723" t="s">
        <v>19</v>
      </c>
      <c r="I723">
        <v>500</v>
      </c>
      <c r="J723" t="s">
        <v>23</v>
      </c>
      <c r="K723" t="s">
        <v>33</v>
      </c>
      <c r="L723" t="s">
        <v>18</v>
      </c>
      <c r="M723" t="s">
        <v>41</v>
      </c>
      <c r="Q723" s="1"/>
    </row>
    <row r="724" spans="1:17" x14ac:dyDescent="0.3">
      <c r="A724">
        <v>32</v>
      </c>
      <c r="B724">
        <v>21</v>
      </c>
      <c r="C724" s="11" t="s">
        <v>81</v>
      </c>
      <c r="D724" t="s">
        <v>13</v>
      </c>
      <c r="E724">
        <v>700</v>
      </c>
      <c r="F724" s="11" t="s">
        <v>81</v>
      </c>
      <c r="G724" t="s">
        <v>66</v>
      </c>
      <c r="H724" t="s">
        <v>19</v>
      </c>
      <c r="I724">
        <v>700</v>
      </c>
      <c r="J724" t="s">
        <v>16</v>
      </c>
      <c r="K724" t="s">
        <v>17</v>
      </c>
      <c r="L724" t="s">
        <v>18</v>
      </c>
      <c r="M724" t="s">
        <v>41</v>
      </c>
      <c r="Q724" s="1"/>
    </row>
    <row r="725" spans="1:17" x14ac:dyDescent="0.3">
      <c r="A725">
        <v>18</v>
      </c>
      <c r="B725">
        <v>15</v>
      </c>
      <c r="C725" s="11">
        <v>46269</v>
      </c>
      <c r="D725" t="s">
        <v>20</v>
      </c>
      <c r="E725">
        <v>800</v>
      </c>
      <c r="F725" s="11" t="s">
        <v>81</v>
      </c>
      <c r="G725" t="s">
        <v>39</v>
      </c>
      <c r="H725" t="s">
        <v>19</v>
      </c>
      <c r="I725">
        <v>900</v>
      </c>
      <c r="J725" t="s">
        <v>23</v>
      </c>
      <c r="K725" t="s">
        <v>17</v>
      </c>
      <c r="L725" t="s">
        <v>18</v>
      </c>
      <c r="M725" t="s">
        <v>41</v>
      </c>
      <c r="Q725" s="1"/>
    </row>
    <row r="726" spans="1:17" x14ac:dyDescent="0.3">
      <c r="A726">
        <v>26</v>
      </c>
      <c r="B726">
        <v>18</v>
      </c>
      <c r="C726" s="11" t="s">
        <v>81</v>
      </c>
      <c r="D726" t="s">
        <v>13</v>
      </c>
      <c r="E726">
        <v>200</v>
      </c>
      <c r="F726" s="11" t="s">
        <v>81</v>
      </c>
      <c r="G726" t="s">
        <v>66</v>
      </c>
      <c r="H726" t="s">
        <v>19</v>
      </c>
      <c r="I726">
        <v>1000</v>
      </c>
      <c r="J726" t="s">
        <v>23</v>
      </c>
      <c r="K726" t="s">
        <v>17</v>
      </c>
      <c r="L726" t="s">
        <v>18</v>
      </c>
      <c r="M726" t="s">
        <v>41</v>
      </c>
      <c r="Q726" s="1"/>
    </row>
    <row r="727" spans="1:17" x14ac:dyDescent="0.3">
      <c r="A727">
        <v>11</v>
      </c>
      <c r="B727">
        <v>13</v>
      </c>
      <c r="C727" s="11">
        <v>46085</v>
      </c>
      <c r="D727" t="s">
        <v>20</v>
      </c>
      <c r="E727">
        <v>5000</v>
      </c>
      <c r="F727" s="11">
        <v>46146</v>
      </c>
      <c r="G727" t="s">
        <v>42</v>
      </c>
      <c r="H727" t="s">
        <v>15</v>
      </c>
      <c r="I727">
        <v>300</v>
      </c>
      <c r="J727" t="s">
        <v>23</v>
      </c>
      <c r="K727" t="s">
        <v>33</v>
      </c>
      <c r="L727" t="s">
        <v>18</v>
      </c>
      <c r="M727" t="s">
        <v>19</v>
      </c>
      <c r="Q727" s="1"/>
    </row>
    <row r="728" spans="1:17" x14ac:dyDescent="0.3">
      <c r="A728">
        <v>20</v>
      </c>
      <c r="B728">
        <v>16</v>
      </c>
      <c r="C728" s="11">
        <v>46238</v>
      </c>
      <c r="D728" t="s">
        <v>13</v>
      </c>
      <c r="E728">
        <v>300</v>
      </c>
      <c r="F728" s="11" t="s">
        <v>81</v>
      </c>
      <c r="G728" t="s">
        <v>21</v>
      </c>
      <c r="H728" t="s">
        <v>15</v>
      </c>
      <c r="I728">
        <v>500</v>
      </c>
      <c r="J728" t="s">
        <v>23</v>
      </c>
      <c r="K728" t="s">
        <v>33</v>
      </c>
      <c r="L728" t="s">
        <v>18</v>
      </c>
      <c r="M728" t="s">
        <v>41</v>
      </c>
      <c r="Q728" s="1"/>
    </row>
    <row r="729" spans="1:17" x14ac:dyDescent="0.3">
      <c r="A729">
        <v>15</v>
      </c>
      <c r="B729">
        <v>15</v>
      </c>
      <c r="C729" s="11">
        <v>46177</v>
      </c>
      <c r="D729" t="s">
        <v>20</v>
      </c>
      <c r="E729">
        <v>7000</v>
      </c>
      <c r="F729" s="11">
        <v>46238</v>
      </c>
      <c r="G729" t="s">
        <v>66</v>
      </c>
      <c r="H729" t="s">
        <v>15</v>
      </c>
      <c r="I729">
        <v>900</v>
      </c>
      <c r="J729" t="s">
        <v>23</v>
      </c>
      <c r="K729" t="s">
        <v>33</v>
      </c>
      <c r="L729" t="s">
        <v>34</v>
      </c>
      <c r="M729" t="s">
        <v>19</v>
      </c>
      <c r="Q729" s="1"/>
    </row>
    <row r="730" spans="1:17" x14ac:dyDescent="0.3">
      <c r="A730">
        <v>23</v>
      </c>
      <c r="B730">
        <v>10</v>
      </c>
      <c r="C730" s="11">
        <v>46057</v>
      </c>
      <c r="D730" t="s">
        <v>13</v>
      </c>
      <c r="E730">
        <v>700</v>
      </c>
      <c r="F730" s="11">
        <v>46085</v>
      </c>
      <c r="G730" t="s">
        <v>42</v>
      </c>
      <c r="H730" t="s">
        <v>51</v>
      </c>
      <c r="I730">
        <v>500</v>
      </c>
      <c r="J730" t="s">
        <v>16</v>
      </c>
      <c r="K730" t="s">
        <v>33</v>
      </c>
      <c r="L730" t="s">
        <v>18</v>
      </c>
      <c r="M730" t="s">
        <v>49</v>
      </c>
      <c r="Q730" s="1"/>
    </row>
    <row r="731" spans="1:17" x14ac:dyDescent="0.3">
      <c r="A731">
        <v>15</v>
      </c>
      <c r="B731">
        <v>5</v>
      </c>
      <c r="C731" s="11">
        <v>46237</v>
      </c>
      <c r="D731" t="s">
        <v>20</v>
      </c>
      <c r="E731">
        <v>400</v>
      </c>
      <c r="F731" s="11">
        <v>46268</v>
      </c>
      <c r="G731" t="s">
        <v>75</v>
      </c>
      <c r="H731" t="s">
        <v>84</v>
      </c>
      <c r="I731">
        <v>300</v>
      </c>
      <c r="J731" t="s">
        <v>16</v>
      </c>
      <c r="K731" t="s">
        <v>17</v>
      </c>
      <c r="L731" t="s">
        <v>18</v>
      </c>
      <c r="M731" t="s">
        <v>85</v>
      </c>
      <c r="Q731" s="1"/>
    </row>
    <row r="732" spans="1:17" x14ac:dyDescent="0.3">
      <c r="A732">
        <v>8</v>
      </c>
      <c r="B732">
        <v>2</v>
      </c>
      <c r="C732" s="11">
        <v>46146</v>
      </c>
      <c r="D732" t="s">
        <v>13</v>
      </c>
      <c r="E732">
        <v>3000</v>
      </c>
      <c r="F732" s="11">
        <v>46207</v>
      </c>
      <c r="G732" t="s">
        <v>14</v>
      </c>
      <c r="H732" t="s">
        <v>49</v>
      </c>
      <c r="I732">
        <v>2000</v>
      </c>
      <c r="J732" t="s">
        <v>16</v>
      </c>
      <c r="K732" t="s">
        <v>33</v>
      </c>
      <c r="L732" t="s">
        <v>25</v>
      </c>
      <c r="M732" t="s">
        <v>86</v>
      </c>
      <c r="Q732" s="1"/>
    </row>
    <row r="733" spans="1:17" x14ac:dyDescent="0.3">
      <c r="A733">
        <v>45</v>
      </c>
      <c r="B733">
        <v>18</v>
      </c>
      <c r="C733" s="11">
        <v>46207</v>
      </c>
      <c r="D733" t="s">
        <v>20</v>
      </c>
      <c r="E733">
        <v>2000</v>
      </c>
      <c r="F733" s="11">
        <v>46238</v>
      </c>
      <c r="G733" t="s">
        <v>27</v>
      </c>
      <c r="H733" t="s">
        <v>19</v>
      </c>
      <c r="I733">
        <v>1800</v>
      </c>
      <c r="J733" t="s">
        <v>23</v>
      </c>
      <c r="K733" t="s">
        <v>17</v>
      </c>
      <c r="L733" t="s">
        <v>18</v>
      </c>
      <c r="M733" t="s">
        <v>87</v>
      </c>
      <c r="Q733" s="1"/>
    </row>
    <row r="734" spans="1:17" x14ac:dyDescent="0.3">
      <c r="A734">
        <v>32</v>
      </c>
      <c r="B734">
        <v>12</v>
      </c>
      <c r="C734" s="11">
        <v>46026</v>
      </c>
      <c r="D734" t="s">
        <v>13</v>
      </c>
      <c r="E734">
        <v>500</v>
      </c>
      <c r="F734" s="11">
        <v>46057</v>
      </c>
      <c r="G734" t="s">
        <v>31</v>
      </c>
      <c r="H734" t="s">
        <v>88</v>
      </c>
      <c r="I734">
        <v>400</v>
      </c>
      <c r="J734" t="s">
        <v>16</v>
      </c>
      <c r="K734" t="s">
        <v>24</v>
      </c>
      <c r="L734" t="s">
        <v>34</v>
      </c>
      <c r="M734" t="s">
        <v>30</v>
      </c>
      <c r="Q734" s="1"/>
    </row>
    <row r="735" spans="1:17" x14ac:dyDescent="0.3">
      <c r="A735">
        <v>10</v>
      </c>
      <c r="B735">
        <v>3</v>
      </c>
      <c r="C735" s="11">
        <v>46268</v>
      </c>
      <c r="D735" t="s">
        <v>13</v>
      </c>
      <c r="E735">
        <v>900</v>
      </c>
      <c r="F735" s="11">
        <v>46206</v>
      </c>
      <c r="G735" t="s">
        <v>71</v>
      </c>
      <c r="H735" t="s">
        <v>89</v>
      </c>
      <c r="I735">
        <v>700</v>
      </c>
      <c r="J735" t="s">
        <v>16</v>
      </c>
      <c r="K735" t="s">
        <v>33</v>
      </c>
      <c r="L735" t="s">
        <v>18</v>
      </c>
      <c r="M735" t="s">
        <v>61</v>
      </c>
      <c r="Q735" s="1"/>
    </row>
    <row r="736" spans="1:17" x14ac:dyDescent="0.3">
      <c r="A736">
        <v>5</v>
      </c>
      <c r="B736">
        <v>1</v>
      </c>
      <c r="C736" s="11">
        <v>46056</v>
      </c>
      <c r="D736" t="s">
        <v>20</v>
      </c>
      <c r="E736">
        <v>6000</v>
      </c>
      <c r="F736" s="11">
        <v>46115</v>
      </c>
      <c r="G736" t="s">
        <v>60</v>
      </c>
      <c r="H736" t="s">
        <v>90</v>
      </c>
      <c r="I736">
        <v>600</v>
      </c>
      <c r="J736" t="s">
        <v>23</v>
      </c>
      <c r="K736" t="s">
        <v>17</v>
      </c>
      <c r="L736" t="s">
        <v>25</v>
      </c>
      <c r="M736" t="s">
        <v>91</v>
      </c>
      <c r="Q736" s="1"/>
    </row>
    <row r="737" spans="1:17" x14ac:dyDescent="0.3">
      <c r="A737">
        <v>28</v>
      </c>
      <c r="B737">
        <v>9</v>
      </c>
      <c r="C737" s="11" t="s">
        <v>64</v>
      </c>
      <c r="D737" t="s">
        <v>20</v>
      </c>
      <c r="E737">
        <v>1000</v>
      </c>
      <c r="F737" s="11">
        <v>46057</v>
      </c>
      <c r="G737" t="s">
        <v>66</v>
      </c>
      <c r="H737" t="s">
        <v>15</v>
      </c>
      <c r="I737">
        <v>900</v>
      </c>
      <c r="J737" t="s">
        <v>16</v>
      </c>
      <c r="K737" t="s">
        <v>33</v>
      </c>
      <c r="L737" t="s">
        <v>18</v>
      </c>
      <c r="M737" t="s">
        <v>88</v>
      </c>
      <c r="Q737" s="1"/>
    </row>
    <row r="738" spans="1:17" x14ac:dyDescent="0.3">
      <c r="A738">
        <v>19</v>
      </c>
      <c r="B738">
        <v>7</v>
      </c>
      <c r="C738" s="11">
        <v>46085</v>
      </c>
      <c r="D738" t="s">
        <v>13</v>
      </c>
      <c r="E738">
        <v>1500</v>
      </c>
      <c r="F738" s="11">
        <v>46177</v>
      </c>
      <c r="G738" t="s">
        <v>72</v>
      </c>
      <c r="H738" t="s">
        <v>87</v>
      </c>
      <c r="I738">
        <v>1400</v>
      </c>
      <c r="J738" t="s">
        <v>16</v>
      </c>
      <c r="K738" t="s">
        <v>17</v>
      </c>
      <c r="L738" t="s">
        <v>25</v>
      </c>
      <c r="M738" t="s">
        <v>19</v>
      </c>
      <c r="Q738" s="1"/>
    </row>
    <row r="739" spans="1:17" x14ac:dyDescent="0.3">
      <c r="A739">
        <v>38</v>
      </c>
      <c r="B739">
        <v>15</v>
      </c>
      <c r="C739" s="11">
        <v>46177</v>
      </c>
      <c r="D739" t="s">
        <v>20</v>
      </c>
      <c r="E739">
        <v>200</v>
      </c>
      <c r="F739" s="11">
        <v>46146</v>
      </c>
      <c r="G739" t="s">
        <v>39</v>
      </c>
      <c r="H739" t="s">
        <v>86</v>
      </c>
      <c r="I739">
        <v>180</v>
      </c>
      <c r="J739" t="s">
        <v>23</v>
      </c>
      <c r="K739" t="s">
        <v>24</v>
      </c>
      <c r="L739" t="s">
        <v>34</v>
      </c>
      <c r="M739" t="s">
        <v>40</v>
      </c>
      <c r="Q739" s="1"/>
    </row>
    <row r="740" spans="1:17" x14ac:dyDescent="0.3">
      <c r="A740">
        <v>12</v>
      </c>
      <c r="B740">
        <v>4</v>
      </c>
      <c r="C740" s="11">
        <v>46145</v>
      </c>
      <c r="D740" t="s">
        <v>20</v>
      </c>
      <c r="E740">
        <v>400</v>
      </c>
      <c r="F740" s="11">
        <v>46176</v>
      </c>
      <c r="G740" t="s">
        <v>47</v>
      </c>
      <c r="H740" t="s">
        <v>91</v>
      </c>
      <c r="I740">
        <v>300</v>
      </c>
      <c r="J740" t="s">
        <v>16</v>
      </c>
      <c r="K740" t="s">
        <v>17</v>
      </c>
      <c r="L740" t="s">
        <v>18</v>
      </c>
      <c r="M740" t="s">
        <v>28</v>
      </c>
      <c r="Q740" s="1"/>
    </row>
    <row r="741" spans="1:17" x14ac:dyDescent="0.3">
      <c r="A741">
        <v>20</v>
      </c>
      <c r="B741">
        <v>6</v>
      </c>
      <c r="C741" s="11">
        <v>46206</v>
      </c>
      <c r="D741" t="s">
        <v>13</v>
      </c>
      <c r="E741">
        <v>700</v>
      </c>
      <c r="F741" s="11">
        <v>46268</v>
      </c>
      <c r="G741" t="s">
        <v>21</v>
      </c>
      <c r="H741" t="s">
        <v>30</v>
      </c>
      <c r="I741">
        <v>600</v>
      </c>
      <c r="J741" t="s">
        <v>23</v>
      </c>
      <c r="K741" t="s">
        <v>33</v>
      </c>
      <c r="L741" t="s">
        <v>18</v>
      </c>
      <c r="M741" t="s">
        <v>92</v>
      </c>
      <c r="Q741" s="1"/>
    </row>
    <row r="742" spans="1:17" x14ac:dyDescent="0.3">
      <c r="A742">
        <v>7</v>
      </c>
      <c r="B742">
        <v>2</v>
      </c>
      <c r="C742" s="11">
        <v>46238</v>
      </c>
      <c r="D742" t="s">
        <v>13</v>
      </c>
      <c r="E742">
        <v>2000</v>
      </c>
      <c r="F742" s="11">
        <v>46269</v>
      </c>
      <c r="G742" t="s">
        <v>65</v>
      </c>
      <c r="H742" t="s">
        <v>49</v>
      </c>
      <c r="I742">
        <v>1900</v>
      </c>
      <c r="J742" t="s">
        <v>16</v>
      </c>
      <c r="K742" t="s">
        <v>24</v>
      </c>
      <c r="L742" t="s">
        <v>25</v>
      </c>
      <c r="M742" t="s">
        <v>88</v>
      </c>
      <c r="Q742" s="1"/>
    </row>
    <row r="743" spans="1:17" x14ac:dyDescent="0.3">
      <c r="A743">
        <v>42</v>
      </c>
      <c r="B743">
        <v>17</v>
      </c>
      <c r="C743" s="11">
        <v>46269</v>
      </c>
      <c r="D743" t="s">
        <v>20</v>
      </c>
      <c r="E743">
        <v>3000</v>
      </c>
      <c r="F743" s="11">
        <v>46207</v>
      </c>
      <c r="G743" t="s">
        <v>69</v>
      </c>
      <c r="H743" t="s">
        <v>93</v>
      </c>
      <c r="I743">
        <v>2500</v>
      </c>
      <c r="J743" t="s">
        <v>23</v>
      </c>
      <c r="K743" t="s">
        <v>17</v>
      </c>
      <c r="L743" t="s">
        <v>18</v>
      </c>
      <c r="M743" t="s">
        <v>15</v>
      </c>
      <c r="Q743" s="1"/>
    </row>
    <row r="744" spans="1:17" x14ac:dyDescent="0.3">
      <c r="A744">
        <v>25</v>
      </c>
      <c r="B744">
        <v>8</v>
      </c>
      <c r="C744" s="11">
        <v>46116</v>
      </c>
      <c r="D744" t="s">
        <v>20</v>
      </c>
      <c r="E744">
        <v>800</v>
      </c>
      <c r="F744" s="11">
        <v>46146</v>
      </c>
      <c r="G744" t="s">
        <v>55</v>
      </c>
      <c r="H744" t="s">
        <v>51</v>
      </c>
      <c r="I744">
        <v>700</v>
      </c>
      <c r="J744" t="s">
        <v>16</v>
      </c>
      <c r="K744" t="s">
        <v>33</v>
      </c>
      <c r="L744" t="s">
        <v>18</v>
      </c>
      <c r="M744" t="s">
        <v>94</v>
      </c>
      <c r="Q744" s="1"/>
    </row>
    <row r="745" spans="1:17" x14ac:dyDescent="0.3">
      <c r="A745">
        <v>30</v>
      </c>
      <c r="B745">
        <v>11</v>
      </c>
      <c r="C745" s="11">
        <v>46085</v>
      </c>
      <c r="D745" t="s">
        <v>13</v>
      </c>
      <c r="E745">
        <v>1000</v>
      </c>
      <c r="F745" s="11">
        <v>46116</v>
      </c>
      <c r="G745" t="s">
        <v>48</v>
      </c>
      <c r="H745" t="s">
        <v>94</v>
      </c>
      <c r="I745">
        <v>900</v>
      </c>
      <c r="J745" t="s">
        <v>23</v>
      </c>
      <c r="K745" t="s">
        <v>17</v>
      </c>
      <c r="L745" t="s">
        <v>25</v>
      </c>
      <c r="M745" t="s">
        <v>30</v>
      </c>
      <c r="Q745" s="1"/>
    </row>
    <row r="746" spans="1:17" x14ac:dyDescent="0.3">
      <c r="A746">
        <v>14</v>
      </c>
      <c r="B746">
        <v>5</v>
      </c>
      <c r="C746" s="11">
        <v>46176</v>
      </c>
      <c r="D746" t="s">
        <v>13</v>
      </c>
      <c r="E746">
        <v>500</v>
      </c>
      <c r="F746" s="11">
        <v>46145</v>
      </c>
      <c r="G746" t="s">
        <v>77</v>
      </c>
      <c r="H746" t="s">
        <v>28</v>
      </c>
      <c r="I746">
        <v>400</v>
      </c>
      <c r="J746" t="s">
        <v>16</v>
      </c>
      <c r="K746" t="s">
        <v>24</v>
      </c>
      <c r="L746" t="s">
        <v>34</v>
      </c>
      <c r="M746" t="s">
        <v>63</v>
      </c>
      <c r="Q746" s="1"/>
    </row>
    <row r="747" spans="1:17" x14ac:dyDescent="0.3">
      <c r="A747">
        <v>6</v>
      </c>
      <c r="B747">
        <v>2</v>
      </c>
      <c r="C747" s="11" t="s">
        <v>52</v>
      </c>
      <c r="D747" t="s">
        <v>20</v>
      </c>
      <c r="E747">
        <v>6000</v>
      </c>
      <c r="F747" s="11">
        <v>46025</v>
      </c>
      <c r="G747" t="s">
        <v>95</v>
      </c>
      <c r="H747" t="s">
        <v>61</v>
      </c>
      <c r="I747">
        <v>500</v>
      </c>
      <c r="J747" t="s">
        <v>23</v>
      </c>
      <c r="K747" t="s">
        <v>17</v>
      </c>
      <c r="L747" t="s">
        <v>25</v>
      </c>
      <c r="M747" t="s">
        <v>90</v>
      </c>
      <c r="Q747" s="1"/>
    </row>
    <row r="748" spans="1:17" x14ac:dyDescent="0.3">
      <c r="A748">
        <v>35</v>
      </c>
      <c r="B748">
        <v>14</v>
      </c>
      <c r="C748" s="11">
        <v>46146</v>
      </c>
      <c r="D748" t="s">
        <v>20</v>
      </c>
      <c r="E748">
        <v>300</v>
      </c>
      <c r="F748" s="11">
        <v>46177</v>
      </c>
      <c r="G748" t="s">
        <v>74</v>
      </c>
      <c r="H748" t="s">
        <v>87</v>
      </c>
      <c r="I748">
        <v>250</v>
      </c>
      <c r="J748" t="s">
        <v>16</v>
      </c>
      <c r="K748" t="s">
        <v>33</v>
      </c>
      <c r="L748" t="s">
        <v>18</v>
      </c>
      <c r="M748" t="s">
        <v>93</v>
      </c>
      <c r="Q748" s="1"/>
    </row>
    <row r="749" spans="1:17" x14ac:dyDescent="0.3">
      <c r="A749">
        <v>18</v>
      </c>
      <c r="B749">
        <v>7</v>
      </c>
      <c r="C749" s="11">
        <v>46026</v>
      </c>
      <c r="D749" t="s">
        <v>13</v>
      </c>
      <c r="E749">
        <v>900</v>
      </c>
      <c r="F749" s="11">
        <v>46085</v>
      </c>
      <c r="G749" t="s">
        <v>96</v>
      </c>
      <c r="H749" t="s">
        <v>85</v>
      </c>
      <c r="I749">
        <v>800</v>
      </c>
      <c r="J749" t="s">
        <v>16</v>
      </c>
      <c r="K749" t="s">
        <v>17</v>
      </c>
      <c r="L749" t="s">
        <v>18</v>
      </c>
      <c r="M749" t="s">
        <v>30</v>
      </c>
      <c r="Q749" s="1"/>
    </row>
    <row r="750" spans="1:17" x14ac:dyDescent="0.3">
      <c r="A750">
        <v>9</v>
      </c>
      <c r="B750">
        <v>3</v>
      </c>
      <c r="C750" s="11">
        <v>46207</v>
      </c>
      <c r="D750" t="s">
        <v>20</v>
      </c>
      <c r="E750">
        <v>1500</v>
      </c>
      <c r="F750" s="11">
        <v>46238</v>
      </c>
      <c r="G750" t="s">
        <v>97</v>
      </c>
      <c r="H750" t="s">
        <v>19</v>
      </c>
      <c r="I750">
        <v>1300</v>
      </c>
      <c r="J750" t="s">
        <v>23</v>
      </c>
      <c r="K750" t="s">
        <v>33</v>
      </c>
      <c r="L750" t="s">
        <v>25</v>
      </c>
      <c r="M750" t="s">
        <v>49</v>
      </c>
      <c r="Q750" s="1"/>
    </row>
    <row r="751" spans="1:17" x14ac:dyDescent="0.3">
      <c r="A751">
        <v>22</v>
      </c>
      <c r="B751">
        <v>9</v>
      </c>
      <c r="C751" s="11" t="s">
        <v>64</v>
      </c>
      <c r="D751" t="s">
        <v>13</v>
      </c>
      <c r="E751">
        <v>400</v>
      </c>
      <c r="F751" s="11">
        <v>46026</v>
      </c>
      <c r="G751" t="s">
        <v>35</v>
      </c>
      <c r="H751" t="s">
        <v>92</v>
      </c>
      <c r="I751">
        <v>300</v>
      </c>
      <c r="J751" t="s">
        <v>16</v>
      </c>
      <c r="K751" t="s">
        <v>24</v>
      </c>
      <c r="L751" t="s">
        <v>34</v>
      </c>
      <c r="M751" t="s">
        <v>85</v>
      </c>
      <c r="Q751" s="1"/>
    </row>
    <row r="752" spans="1:17" x14ac:dyDescent="0.3">
      <c r="A752">
        <v>11</v>
      </c>
      <c r="B752">
        <v>4</v>
      </c>
      <c r="C752" s="11">
        <v>46237</v>
      </c>
      <c r="D752" t="s">
        <v>20</v>
      </c>
      <c r="E752">
        <v>700</v>
      </c>
      <c r="F752" s="11">
        <v>46206</v>
      </c>
      <c r="G752" t="s">
        <v>98</v>
      </c>
      <c r="H752" t="s">
        <v>63</v>
      </c>
      <c r="I752">
        <v>600</v>
      </c>
      <c r="J752" t="s">
        <v>23</v>
      </c>
      <c r="K752" t="s">
        <v>17</v>
      </c>
      <c r="L752" t="s">
        <v>25</v>
      </c>
      <c r="M752" t="s">
        <v>91</v>
      </c>
      <c r="Q752" s="1"/>
    </row>
    <row r="753" spans="1:17" x14ac:dyDescent="0.3">
      <c r="A753">
        <v>16</v>
      </c>
      <c r="B753">
        <v>6</v>
      </c>
      <c r="C753" s="11">
        <v>46057</v>
      </c>
      <c r="D753" t="s">
        <v>20</v>
      </c>
      <c r="E753">
        <v>2000</v>
      </c>
      <c r="F753" s="11">
        <v>46116</v>
      </c>
      <c r="G753" t="s">
        <v>57</v>
      </c>
      <c r="H753" t="s">
        <v>88</v>
      </c>
      <c r="I753">
        <v>1800</v>
      </c>
      <c r="J753" t="s">
        <v>16</v>
      </c>
      <c r="K753" t="s">
        <v>33</v>
      </c>
      <c r="L753" t="s">
        <v>18</v>
      </c>
      <c r="M753" t="s">
        <v>51</v>
      </c>
      <c r="Q753" s="1"/>
    </row>
    <row r="754" spans="1:17" x14ac:dyDescent="0.3">
      <c r="A754">
        <v>40</v>
      </c>
      <c r="B754">
        <v>16</v>
      </c>
      <c r="C754" s="11">
        <v>46116</v>
      </c>
      <c r="D754" t="s">
        <v>13</v>
      </c>
      <c r="E754">
        <v>100</v>
      </c>
      <c r="F754" s="11">
        <v>46085</v>
      </c>
      <c r="G754" t="s">
        <v>99</v>
      </c>
      <c r="H754" t="s">
        <v>93</v>
      </c>
      <c r="I754">
        <v>90</v>
      </c>
      <c r="J754" t="s">
        <v>16</v>
      </c>
      <c r="K754" t="s">
        <v>24</v>
      </c>
      <c r="L754" t="s">
        <v>34</v>
      </c>
      <c r="M754" t="s">
        <v>51</v>
      </c>
      <c r="Q754" s="1"/>
    </row>
    <row r="755" spans="1:17" x14ac:dyDescent="0.3">
      <c r="A755">
        <v>29</v>
      </c>
      <c r="B755">
        <v>11</v>
      </c>
      <c r="C755" s="11">
        <v>46085</v>
      </c>
      <c r="D755" t="s">
        <v>13</v>
      </c>
      <c r="E755">
        <v>600</v>
      </c>
      <c r="F755" s="11">
        <v>46146</v>
      </c>
      <c r="G755" t="s">
        <v>31</v>
      </c>
      <c r="H755" t="s">
        <v>30</v>
      </c>
      <c r="I755">
        <v>500</v>
      </c>
      <c r="J755" t="s">
        <v>16</v>
      </c>
      <c r="K755" t="s">
        <v>33</v>
      </c>
      <c r="L755" t="s">
        <v>18</v>
      </c>
      <c r="M755" t="s">
        <v>94</v>
      </c>
      <c r="Q755" s="1"/>
    </row>
    <row r="756" spans="1:17" x14ac:dyDescent="0.3">
      <c r="A756">
        <v>13</v>
      </c>
      <c r="B756">
        <v>5</v>
      </c>
      <c r="C756" s="11">
        <v>46206</v>
      </c>
      <c r="D756" t="s">
        <v>20</v>
      </c>
      <c r="E756">
        <v>5000</v>
      </c>
      <c r="F756" s="11">
        <v>46268</v>
      </c>
      <c r="G756" t="s">
        <v>42</v>
      </c>
      <c r="H756" t="s">
        <v>28</v>
      </c>
      <c r="I756">
        <v>4500</v>
      </c>
      <c r="J756" t="s">
        <v>23</v>
      </c>
      <c r="K756" t="s">
        <v>17</v>
      </c>
      <c r="L756" t="s">
        <v>25</v>
      </c>
      <c r="M756" t="s">
        <v>85</v>
      </c>
      <c r="Q756" s="1"/>
    </row>
    <row r="757" spans="1:17" x14ac:dyDescent="0.3">
      <c r="A757">
        <v>8</v>
      </c>
      <c r="B757">
        <v>3</v>
      </c>
      <c r="C757" s="11">
        <v>46177</v>
      </c>
      <c r="D757" t="s">
        <v>20</v>
      </c>
      <c r="E757">
        <v>800</v>
      </c>
      <c r="F757" s="11">
        <v>46207</v>
      </c>
      <c r="G757" t="s">
        <v>83</v>
      </c>
      <c r="H757" t="s">
        <v>49</v>
      </c>
      <c r="I757">
        <v>700</v>
      </c>
      <c r="J757" t="s">
        <v>16</v>
      </c>
      <c r="K757" t="s">
        <v>33</v>
      </c>
      <c r="L757" t="s">
        <v>18</v>
      </c>
      <c r="M757" t="s">
        <v>93</v>
      </c>
      <c r="Q757" s="1"/>
    </row>
    <row r="758" spans="1:17" x14ac:dyDescent="0.3">
      <c r="A758">
        <v>36</v>
      </c>
      <c r="B758">
        <v>14</v>
      </c>
      <c r="C758" s="11">
        <v>46146</v>
      </c>
      <c r="D758" t="s">
        <v>13</v>
      </c>
      <c r="E758">
        <v>3000</v>
      </c>
      <c r="F758" s="11">
        <v>46238</v>
      </c>
      <c r="G758" t="s">
        <v>66</v>
      </c>
      <c r="H758" t="s">
        <v>86</v>
      </c>
      <c r="I758">
        <v>2700</v>
      </c>
      <c r="J758" t="s">
        <v>23</v>
      </c>
      <c r="K758" t="s">
        <v>17</v>
      </c>
      <c r="L758" t="s">
        <v>25</v>
      </c>
      <c r="M758" t="s">
        <v>87</v>
      </c>
      <c r="Q758" s="1"/>
    </row>
    <row r="759" spans="1:17" x14ac:dyDescent="0.3">
      <c r="A759">
        <v>21</v>
      </c>
      <c r="B759">
        <v>8</v>
      </c>
      <c r="C759" s="11">
        <v>46057</v>
      </c>
      <c r="D759" t="s">
        <v>20</v>
      </c>
      <c r="E759">
        <v>700</v>
      </c>
      <c r="F759" s="11">
        <v>46085</v>
      </c>
      <c r="G759" t="s">
        <v>39</v>
      </c>
      <c r="H759" t="s">
        <v>88</v>
      </c>
      <c r="I759">
        <v>600</v>
      </c>
      <c r="J759" t="s">
        <v>16</v>
      </c>
      <c r="K759" t="s">
        <v>33</v>
      </c>
      <c r="L759" t="s">
        <v>18</v>
      </c>
      <c r="M759" t="s">
        <v>92</v>
      </c>
      <c r="Q759" s="1"/>
    </row>
    <row r="760" spans="1:17" x14ac:dyDescent="0.3">
      <c r="A760">
        <v>45</v>
      </c>
      <c r="B760">
        <v>18</v>
      </c>
      <c r="C760" s="11">
        <v>46238</v>
      </c>
      <c r="D760" t="s">
        <v>13</v>
      </c>
      <c r="E760">
        <v>2000</v>
      </c>
      <c r="F760" s="11">
        <v>46207</v>
      </c>
      <c r="G760" t="s">
        <v>21</v>
      </c>
      <c r="H760" t="s">
        <v>15</v>
      </c>
      <c r="I760">
        <v>1800</v>
      </c>
      <c r="J760" t="s">
        <v>16</v>
      </c>
      <c r="K760" t="s">
        <v>17</v>
      </c>
      <c r="L760" t="s">
        <v>18</v>
      </c>
      <c r="M760" t="s">
        <v>51</v>
      </c>
      <c r="Q760" s="1"/>
    </row>
    <row r="761" spans="1:17" x14ac:dyDescent="0.3">
      <c r="A761">
        <v>10</v>
      </c>
      <c r="B761">
        <v>4</v>
      </c>
      <c r="C761" s="11">
        <v>46268</v>
      </c>
      <c r="D761" t="s">
        <v>13</v>
      </c>
      <c r="E761">
        <v>400</v>
      </c>
      <c r="F761" s="11">
        <v>46237</v>
      </c>
      <c r="G761" t="s">
        <v>78</v>
      </c>
      <c r="H761" t="s">
        <v>90</v>
      </c>
      <c r="I761">
        <v>300</v>
      </c>
      <c r="J761" t="s">
        <v>23</v>
      </c>
      <c r="K761" t="s">
        <v>33</v>
      </c>
      <c r="L761" t="s">
        <v>18</v>
      </c>
      <c r="M761" t="s">
        <v>61</v>
      </c>
      <c r="Q761" s="1"/>
    </row>
    <row r="762" spans="1:17" x14ac:dyDescent="0.3">
      <c r="A762">
        <v>27</v>
      </c>
      <c r="B762">
        <v>10</v>
      </c>
      <c r="C762" s="11">
        <v>46026</v>
      </c>
      <c r="D762" t="s">
        <v>20</v>
      </c>
      <c r="E762">
        <v>1000</v>
      </c>
      <c r="F762" s="11">
        <v>46057</v>
      </c>
      <c r="G762" t="s">
        <v>57</v>
      </c>
      <c r="H762" t="s">
        <v>94</v>
      </c>
      <c r="I762">
        <v>900</v>
      </c>
      <c r="J762" t="s">
        <v>16</v>
      </c>
      <c r="K762" t="s">
        <v>17</v>
      </c>
      <c r="L762" t="s">
        <v>25</v>
      </c>
      <c r="M762" t="s">
        <v>84</v>
      </c>
      <c r="Q762" s="1"/>
    </row>
    <row r="763" spans="1:17" x14ac:dyDescent="0.3">
      <c r="A763">
        <v>17</v>
      </c>
      <c r="B763">
        <v>7</v>
      </c>
      <c r="C763" s="11">
        <v>46145</v>
      </c>
      <c r="D763" t="s">
        <v>13</v>
      </c>
      <c r="E763">
        <v>900</v>
      </c>
      <c r="F763" s="11">
        <v>46206</v>
      </c>
      <c r="G763" t="s">
        <v>53</v>
      </c>
      <c r="H763" t="s">
        <v>91</v>
      </c>
      <c r="I763">
        <v>800</v>
      </c>
      <c r="J763" t="s">
        <v>23</v>
      </c>
      <c r="K763" t="s">
        <v>33</v>
      </c>
      <c r="L763" t="s">
        <v>18</v>
      </c>
      <c r="M763" t="s">
        <v>63</v>
      </c>
      <c r="Q763" s="1"/>
    </row>
    <row r="764" spans="1:17" x14ac:dyDescent="0.3">
      <c r="A764">
        <v>33</v>
      </c>
      <c r="B764">
        <v>13</v>
      </c>
      <c r="C764" s="11">
        <v>46177</v>
      </c>
      <c r="D764" t="s">
        <v>20</v>
      </c>
      <c r="E764">
        <v>1500</v>
      </c>
      <c r="F764" s="11">
        <v>46146</v>
      </c>
      <c r="G764" t="s">
        <v>65</v>
      </c>
      <c r="H764" t="s">
        <v>51</v>
      </c>
      <c r="I764">
        <v>1400</v>
      </c>
      <c r="J764" t="s">
        <v>16</v>
      </c>
      <c r="K764" t="s">
        <v>24</v>
      </c>
      <c r="L764" t="s">
        <v>34</v>
      </c>
      <c r="M764" t="s">
        <v>88</v>
      </c>
      <c r="Q764" s="1"/>
    </row>
    <row r="765" spans="1:17" x14ac:dyDescent="0.3">
      <c r="A765">
        <v>5</v>
      </c>
      <c r="B765">
        <v>2</v>
      </c>
      <c r="C765" s="11">
        <v>46056</v>
      </c>
      <c r="D765" t="s">
        <v>13</v>
      </c>
      <c r="E765">
        <v>600</v>
      </c>
      <c r="F765" s="11">
        <v>46084</v>
      </c>
      <c r="G765" t="s">
        <v>74</v>
      </c>
      <c r="H765" t="s">
        <v>61</v>
      </c>
      <c r="I765">
        <v>500</v>
      </c>
      <c r="J765" t="s">
        <v>23</v>
      </c>
      <c r="K765" t="s">
        <v>17</v>
      </c>
      <c r="L765" t="s">
        <v>25</v>
      </c>
      <c r="M765" t="s">
        <v>90</v>
      </c>
      <c r="Q765" s="1"/>
    </row>
    <row r="766" spans="1:17" x14ac:dyDescent="0.3">
      <c r="A766">
        <v>39</v>
      </c>
      <c r="B766">
        <v>15</v>
      </c>
      <c r="C766" s="11">
        <v>46207</v>
      </c>
      <c r="D766" t="s">
        <v>13</v>
      </c>
      <c r="E766">
        <v>100</v>
      </c>
      <c r="F766" s="11">
        <v>46177</v>
      </c>
      <c r="G766" t="s">
        <v>71</v>
      </c>
      <c r="H766" t="s">
        <v>49</v>
      </c>
      <c r="I766">
        <v>90</v>
      </c>
      <c r="J766" t="s">
        <v>16</v>
      </c>
      <c r="K766" t="s">
        <v>33</v>
      </c>
      <c r="L766" t="s">
        <v>18</v>
      </c>
      <c r="M766" t="s">
        <v>93</v>
      </c>
      <c r="Q766" s="1"/>
    </row>
    <row r="767" spans="1:17" x14ac:dyDescent="0.3">
      <c r="A767">
        <v>24</v>
      </c>
      <c r="B767">
        <v>9</v>
      </c>
      <c r="C767" s="11">
        <v>46116</v>
      </c>
      <c r="D767" t="s">
        <v>20</v>
      </c>
      <c r="E767">
        <v>2000</v>
      </c>
      <c r="F767" s="11">
        <v>46146</v>
      </c>
      <c r="G767" t="s">
        <v>27</v>
      </c>
      <c r="H767" t="s">
        <v>19</v>
      </c>
      <c r="I767">
        <v>1800</v>
      </c>
      <c r="J767" t="s">
        <v>23</v>
      </c>
      <c r="K767" t="s">
        <v>17</v>
      </c>
      <c r="L767" t="s">
        <v>18</v>
      </c>
      <c r="M767" t="s">
        <v>87</v>
      </c>
      <c r="Q767" s="1"/>
    </row>
    <row r="768" spans="1:17" x14ac:dyDescent="0.3">
      <c r="A768">
        <v>12</v>
      </c>
      <c r="B768">
        <v>4</v>
      </c>
      <c r="C768" s="11">
        <v>46237</v>
      </c>
      <c r="D768" t="s">
        <v>13</v>
      </c>
      <c r="E768">
        <v>500</v>
      </c>
      <c r="F768" s="11">
        <v>46206</v>
      </c>
      <c r="G768" t="s">
        <v>47</v>
      </c>
      <c r="H768" t="s">
        <v>84</v>
      </c>
      <c r="I768">
        <v>400</v>
      </c>
      <c r="J768" t="s">
        <v>16</v>
      </c>
      <c r="K768" t="s">
        <v>33</v>
      </c>
      <c r="L768" t="s">
        <v>18</v>
      </c>
      <c r="M768" t="s">
        <v>28</v>
      </c>
      <c r="Q768" s="1"/>
    </row>
    <row r="769" spans="1:17" x14ac:dyDescent="0.3">
      <c r="A769">
        <v>41</v>
      </c>
      <c r="B769">
        <v>16</v>
      </c>
      <c r="C769" s="11">
        <v>46085</v>
      </c>
      <c r="D769" t="s">
        <v>20</v>
      </c>
      <c r="E769">
        <v>3000</v>
      </c>
      <c r="F769" s="11">
        <v>46116</v>
      </c>
      <c r="G769" t="s">
        <v>35</v>
      </c>
      <c r="H769" t="s">
        <v>92</v>
      </c>
      <c r="I769">
        <v>2800</v>
      </c>
      <c r="J769" t="s">
        <v>23</v>
      </c>
      <c r="K769" t="s">
        <v>17</v>
      </c>
      <c r="L769" t="s">
        <v>25</v>
      </c>
      <c r="M769" t="s">
        <v>51</v>
      </c>
      <c r="Q769" s="1"/>
    </row>
    <row r="770" spans="1:17" x14ac:dyDescent="0.3">
      <c r="A770">
        <v>19</v>
      </c>
      <c r="B770">
        <v>7</v>
      </c>
      <c r="C770" s="11">
        <v>46268</v>
      </c>
      <c r="D770" t="s">
        <v>13</v>
      </c>
      <c r="E770">
        <v>800</v>
      </c>
      <c r="F770" s="11" t="s">
        <v>64</v>
      </c>
      <c r="G770" t="s">
        <v>100</v>
      </c>
      <c r="H770" t="s">
        <v>63</v>
      </c>
      <c r="I770">
        <v>700</v>
      </c>
      <c r="J770" t="s">
        <v>16</v>
      </c>
      <c r="K770" t="s">
        <v>33</v>
      </c>
      <c r="L770" t="s">
        <v>18</v>
      </c>
      <c r="M770" t="s">
        <v>90</v>
      </c>
      <c r="Q770" s="1"/>
    </row>
    <row r="771" spans="1:17" x14ac:dyDescent="0.3">
      <c r="A771">
        <v>30</v>
      </c>
      <c r="B771">
        <v>11</v>
      </c>
      <c r="C771" s="11">
        <v>46146</v>
      </c>
      <c r="D771" t="s">
        <v>20</v>
      </c>
      <c r="E771">
        <v>1000</v>
      </c>
      <c r="F771" s="11">
        <v>46177</v>
      </c>
      <c r="G771" t="s">
        <v>14</v>
      </c>
      <c r="H771" t="s">
        <v>93</v>
      </c>
      <c r="I771">
        <v>900</v>
      </c>
      <c r="J771" t="s">
        <v>16</v>
      </c>
      <c r="K771" t="s">
        <v>17</v>
      </c>
      <c r="L771" t="s">
        <v>25</v>
      </c>
      <c r="M771" t="s">
        <v>88</v>
      </c>
      <c r="Q771" s="1"/>
    </row>
    <row r="772" spans="1:17" x14ac:dyDescent="0.3">
      <c r="A772">
        <v>14</v>
      </c>
      <c r="B772">
        <v>5</v>
      </c>
      <c r="C772" s="11">
        <v>46176</v>
      </c>
      <c r="D772" t="s">
        <v>13</v>
      </c>
      <c r="E772">
        <v>700</v>
      </c>
      <c r="F772" s="11">
        <v>46145</v>
      </c>
      <c r="G772" t="s">
        <v>60</v>
      </c>
      <c r="H772" t="s">
        <v>61</v>
      </c>
      <c r="I772">
        <v>600</v>
      </c>
      <c r="J772" t="s">
        <v>23</v>
      </c>
      <c r="K772" t="s">
        <v>33</v>
      </c>
      <c r="L772" t="s">
        <v>18</v>
      </c>
      <c r="M772" t="s">
        <v>101</v>
      </c>
      <c r="Q772" s="1"/>
    </row>
    <row r="773" spans="1:17" x14ac:dyDescent="0.3">
      <c r="A773">
        <v>28</v>
      </c>
      <c r="B773">
        <v>10</v>
      </c>
      <c r="C773" s="11">
        <v>46238</v>
      </c>
      <c r="D773" t="s">
        <v>13</v>
      </c>
      <c r="E773">
        <v>1500</v>
      </c>
      <c r="F773" s="11">
        <v>46207</v>
      </c>
      <c r="G773" t="s">
        <v>68</v>
      </c>
      <c r="H773" t="s">
        <v>51</v>
      </c>
      <c r="I773">
        <v>1400</v>
      </c>
      <c r="J773" t="s">
        <v>16</v>
      </c>
      <c r="K773" t="s">
        <v>24</v>
      </c>
      <c r="L773" t="s">
        <v>34</v>
      </c>
      <c r="M773" t="s">
        <v>30</v>
      </c>
      <c r="Q773" s="1"/>
    </row>
    <row r="774" spans="1:17" x14ac:dyDescent="0.3">
      <c r="A774">
        <v>8</v>
      </c>
      <c r="B774">
        <v>3</v>
      </c>
      <c r="C774" s="11">
        <v>46084</v>
      </c>
      <c r="D774" t="s">
        <v>20</v>
      </c>
      <c r="E774">
        <v>6000</v>
      </c>
      <c r="F774" s="11">
        <v>46145</v>
      </c>
      <c r="G774" t="s">
        <v>102</v>
      </c>
      <c r="H774" t="s">
        <v>101</v>
      </c>
      <c r="I774">
        <v>550</v>
      </c>
      <c r="J774" t="s">
        <v>23</v>
      </c>
      <c r="K774" t="s">
        <v>17</v>
      </c>
      <c r="L774" t="s">
        <v>25</v>
      </c>
      <c r="M774" t="s">
        <v>43</v>
      </c>
      <c r="Q774" s="1"/>
    </row>
    <row r="775" spans="1:17" x14ac:dyDescent="0.3">
      <c r="A775">
        <v>25</v>
      </c>
      <c r="B775">
        <v>9</v>
      </c>
      <c r="C775" s="11">
        <v>46057</v>
      </c>
      <c r="D775" t="s">
        <v>13</v>
      </c>
      <c r="E775">
        <v>200</v>
      </c>
      <c r="F775" s="11">
        <v>46116</v>
      </c>
      <c r="G775" t="s">
        <v>44</v>
      </c>
      <c r="H775" t="s">
        <v>94</v>
      </c>
      <c r="I775">
        <v>190</v>
      </c>
      <c r="J775" t="s">
        <v>16</v>
      </c>
      <c r="K775" t="s">
        <v>33</v>
      </c>
      <c r="L775" t="s">
        <v>18</v>
      </c>
      <c r="M775" t="s">
        <v>85</v>
      </c>
      <c r="Q775" s="1"/>
    </row>
    <row r="776" spans="1:17" x14ac:dyDescent="0.3">
      <c r="A776">
        <v>35</v>
      </c>
      <c r="B776">
        <v>14</v>
      </c>
      <c r="C776" s="11">
        <v>46177</v>
      </c>
      <c r="D776" t="s">
        <v>20</v>
      </c>
      <c r="E776">
        <v>1000</v>
      </c>
      <c r="F776" s="11">
        <v>46207</v>
      </c>
      <c r="G776" t="s">
        <v>39</v>
      </c>
      <c r="H776" t="s">
        <v>87</v>
      </c>
      <c r="I776">
        <v>950</v>
      </c>
      <c r="J776" t="s">
        <v>16</v>
      </c>
      <c r="K776" t="s">
        <v>17</v>
      </c>
      <c r="L776" t="s">
        <v>25</v>
      </c>
      <c r="M776" t="s">
        <v>49</v>
      </c>
      <c r="Q776" s="1"/>
    </row>
    <row r="777" spans="1:17" x14ac:dyDescent="0.3">
      <c r="A777">
        <v>9</v>
      </c>
      <c r="B777">
        <v>4</v>
      </c>
      <c r="C777" s="11">
        <v>46026</v>
      </c>
      <c r="D777" t="s">
        <v>20</v>
      </c>
      <c r="E777">
        <v>400</v>
      </c>
      <c r="F777" s="11">
        <v>46085</v>
      </c>
      <c r="G777" t="s">
        <v>55</v>
      </c>
      <c r="H777" t="s">
        <v>92</v>
      </c>
      <c r="I777">
        <v>300</v>
      </c>
      <c r="J777" t="s">
        <v>16</v>
      </c>
      <c r="K777" t="s">
        <v>33</v>
      </c>
      <c r="L777" t="s">
        <v>18</v>
      </c>
      <c r="M777" t="s">
        <v>94</v>
      </c>
      <c r="Q777" s="1"/>
    </row>
    <row r="778" spans="1:17" x14ac:dyDescent="0.3">
      <c r="A778">
        <v>20</v>
      </c>
      <c r="B778">
        <v>8</v>
      </c>
      <c r="C778" s="11">
        <v>46206</v>
      </c>
      <c r="D778" t="s">
        <v>13</v>
      </c>
      <c r="E778">
        <v>900</v>
      </c>
      <c r="F778" s="11">
        <v>46268</v>
      </c>
      <c r="G778" t="s">
        <v>69</v>
      </c>
      <c r="H778" t="s">
        <v>91</v>
      </c>
      <c r="I778">
        <v>800</v>
      </c>
      <c r="J778" t="s">
        <v>23</v>
      </c>
      <c r="K778" t="s">
        <v>17</v>
      </c>
      <c r="L778" t="s">
        <v>18</v>
      </c>
      <c r="M778" t="s">
        <v>63</v>
      </c>
      <c r="Q778" s="1"/>
    </row>
    <row r="779" spans="1:17" x14ac:dyDescent="0.3">
      <c r="A779">
        <v>16</v>
      </c>
      <c r="B779">
        <v>6</v>
      </c>
      <c r="C779" s="11">
        <v>46237</v>
      </c>
      <c r="D779" t="s">
        <v>20</v>
      </c>
      <c r="E779">
        <v>700</v>
      </c>
      <c r="F779" s="11" t="s">
        <v>64</v>
      </c>
      <c r="G779" t="s">
        <v>70</v>
      </c>
      <c r="H779" t="s">
        <v>84</v>
      </c>
      <c r="I779">
        <v>600</v>
      </c>
      <c r="J779" t="s">
        <v>16</v>
      </c>
      <c r="K779" t="s">
        <v>33</v>
      </c>
      <c r="L779" t="s">
        <v>18</v>
      </c>
      <c r="M779" t="s">
        <v>28</v>
      </c>
      <c r="Q779" s="1"/>
    </row>
    <row r="780" spans="1:17" x14ac:dyDescent="0.3">
      <c r="A780">
        <v>32</v>
      </c>
      <c r="B780">
        <v>12</v>
      </c>
      <c r="C780" s="11">
        <v>46116</v>
      </c>
      <c r="D780" t="s">
        <v>13</v>
      </c>
      <c r="E780">
        <v>2000</v>
      </c>
      <c r="F780" s="11">
        <v>46146</v>
      </c>
      <c r="G780" t="s">
        <v>75</v>
      </c>
      <c r="H780" t="s">
        <v>15</v>
      </c>
      <c r="I780">
        <v>1800</v>
      </c>
      <c r="J780" t="s">
        <v>23</v>
      </c>
      <c r="K780" t="s">
        <v>17</v>
      </c>
      <c r="L780" t="s">
        <v>18</v>
      </c>
      <c r="M780" t="s">
        <v>88</v>
      </c>
      <c r="Q780" s="1"/>
    </row>
    <row r="781" spans="1:17" x14ac:dyDescent="0.3">
      <c r="A781">
        <v>10</v>
      </c>
      <c r="B781">
        <v>3</v>
      </c>
      <c r="C781" s="11" t="s">
        <v>64</v>
      </c>
      <c r="D781" t="s">
        <v>20</v>
      </c>
      <c r="E781">
        <v>600</v>
      </c>
      <c r="F781" s="11">
        <v>46026</v>
      </c>
      <c r="G781" t="s">
        <v>27</v>
      </c>
      <c r="H781" t="s">
        <v>51</v>
      </c>
      <c r="I781">
        <v>500</v>
      </c>
      <c r="J781" t="s">
        <v>16</v>
      </c>
      <c r="K781" t="s">
        <v>33</v>
      </c>
      <c r="L781" t="s">
        <v>18</v>
      </c>
      <c r="M781" t="s">
        <v>92</v>
      </c>
      <c r="Q781" s="1"/>
    </row>
    <row r="782" spans="1:17" x14ac:dyDescent="0.3">
      <c r="A782">
        <v>24</v>
      </c>
      <c r="B782">
        <v>9</v>
      </c>
      <c r="C782" s="11">
        <v>46177</v>
      </c>
      <c r="D782" t="s">
        <v>13</v>
      </c>
      <c r="E782">
        <v>1000</v>
      </c>
      <c r="F782" s="11">
        <v>46207</v>
      </c>
      <c r="G782" t="s">
        <v>48</v>
      </c>
      <c r="H782" t="s">
        <v>87</v>
      </c>
      <c r="I782">
        <v>900</v>
      </c>
      <c r="J782" t="s">
        <v>16</v>
      </c>
      <c r="K782" t="s">
        <v>17</v>
      </c>
      <c r="L782" t="s">
        <v>25</v>
      </c>
      <c r="M782" t="s">
        <v>49</v>
      </c>
      <c r="Q782" s="1"/>
    </row>
    <row r="783" spans="1:17" x14ac:dyDescent="0.3">
      <c r="A783">
        <v>7</v>
      </c>
      <c r="B783">
        <v>2</v>
      </c>
      <c r="C783" s="11">
        <v>46145</v>
      </c>
      <c r="D783" t="s">
        <v>20</v>
      </c>
      <c r="E783">
        <v>5000</v>
      </c>
      <c r="F783" s="11">
        <v>46206</v>
      </c>
      <c r="G783" t="s">
        <v>80</v>
      </c>
      <c r="H783" t="s">
        <v>61</v>
      </c>
      <c r="I783">
        <v>4500</v>
      </c>
      <c r="J783" t="s">
        <v>23</v>
      </c>
      <c r="K783" t="s">
        <v>33</v>
      </c>
      <c r="L783" t="s">
        <v>34</v>
      </c>
      <c r="M783" t="s">
        <v>90</v>
      </c>
      <c r="Q783" s="1"/>
    </row>
    <row r="784" spans="1:17" x14ac:dyDescent="0.3">
      <c r="A784">
        <v>39</v>
      </c>
      <c r="B784">
        <v>15</v>
      </c>
      <c r="C784" s="11">
        <v>46269</v>
      </c>
      <c r="D784" t="s">
        <v>13</v>
      </c>
      <c r="E784">
        <v>300</v>
      </c>
      <c r="F784" s="11">
        <v>46238</v>
      </c>
      <c r="G784" t="s">
        <v>48</v>
      </c>
      <c r="H784" t="s">
        <v>86</v>
      </c>
      <c r="I784">
        <v>280</v>
      </c>
      <c r="J784" t="s">
        <v>16</v>
      </c>
      <c r="K784" t="s">
        <v>24</v>
      </c>
      <c r="L784" t="s">
        <v>34</v>
      </c>
      <c r="M784" t="s">
        <v>87</v>
      </c>
      <c r="Q784" s="1"/>
    </row>
    <row r="785" spans="1:17" x14ac:dyDescent="0.3">
      <c r="A785">
        <v>18</v>
      </c>
      <c r="B785">
        <v>7</v>
      </c>
      <c r="C785" s="11">
        <v>46085</v>
      </c>
      <c r="D785" t="s">
        <v>20</v>
      </c>
      <c r="E785">
        <v>900</v>
      </c>
      <c r="F785" s="11">
        <v>46116</v>
      </c>
      <c r="G785" t="s">
        <v>66</v>
      </c>
      <c r="H785" t="s">
        <v>88</v>
      </c>
      <c r="I785">
        <v>800</v>
      </c>
      <c r="J785" t="s">
        <v>16</v>
      </c>
      <c r="K785" t="s">
        <v>33</v>
      </c>
      <c r="L785" t="s">
        <v>18</v>
      </c>
      <c r="M785" t="s">
        <v>51</v>
      </c>
      <c r="Q785" s="1"/>
    </row>
    <row r="786" spans="1:17" x14ac:dyDescent="0.3">
      <c r="A786">
        <v>29</v>
      </c>
      <c r="B786">
        <v>11</v>
      </c>
      <c r="C786" s="11">
        <v>46207</v>
      </c>
      <c r="D786" t="s">
        <v>13</v>
      </c>
      <c r="E786">
        <v>1500</v>
      </c>
      <c r="F786" s="11">
        <v>46177</v>
      </c>
      <c r="G786" t="s">
        <v>78</v>
      </c>
      <c r="H786" t="s">
        <v>93</v>
      </c>
      <c r="I786">
        <v>1400</v>
      </c>
      <c r="J786" t="s">
        <v>23</v>
      </c>
      <c r="K786" t="s">
        <v>17</v>
      </c>
      <c r="L786" t="s">
        <v>25</v>
      </c>
      <c r="M786" t="s">
        <v>15</v>
      </c>
      <c r="Q786" s="1"/>
    </row>
    <row r="787" spans="1:17" x14ac:dyDescent="0.3">
      <c r="A787">
        <v>13</v>
      </c>
      <c r="B787">
        <v>5</v>
      </c>
      <c r="C787" s="11">
        <v>46176</v>
      </c>
      <c r="D787" t="s">
        <v>20</v>
      </c>
      <c r="E787">
        <v>400</v>
      </c>
      <c r="F787" s="11">
        <v>46145</v>
      </c>
      <c r="G787" t="s">
        <v>53</v>
      </c>
      <c r="H787" t="s">
        <v>63</v>
      </c>
      <c r="I787">
        <v>300</v>
      </c>
      <c r="J787" t="s">
        <v>16</v>
      </c>
      <c r="K787" t="s">
        <v>33</v>
      </c>
      <c r="L787" t="s">
        <v>18</v>
      </c>
      <c r="M787" t="s">
        <v>90</v>
      </c>
      <c r="Q787" s="1"/>
    </row>
    <row r="788" spans="1:17" x14ac:dyDescent="0.3">
      <c r="A788">
        <v>26</v>
      </c>
      <c r="B788">
        <v>10</v>
      </c>
      <c r="C788" s="11">
        <v>46026</v>
      </c>
      <c r="D788" t="s">
        <v>13</v>
      </c>
      <c r="E788">
        <v>800</v>
      </c>
      <c r="F788" s="11">
        <v>46085</v>
      </c>
      <c r="G788" t="s">
        <v>98</v>
      </c>
      <c r="H788" t="s">
        <v>30</v>
      </c>
      <c r="I788">
        <v>700</v>
      </c>
      <c r="J788" t="s">
        <v>16</v>
      </c>
      <c r="K788" t="s">
        <v>17</v>
      </c>
      <c r="L788" t="s">
        <v>18</v>
      </c>
      <c r="M788" t="s">
        <v>94</v>
      </c>
      <c r="Q788" s="1"/>
    </row>
    <row r="789" spans="1:17" x14ac:dyDescent="0.3">
      <c r="A789">
        <v>8</v>
      </c>
      <c r="B789">
        <v>3</v>
      </c>
      <c r="C789" s="11">
        <v>46057</v>
      </c>
      <c r="D789" t="s">
        <v>13</v>
      </c>
      <c r="E789">
        <v>2000</v>
      </c>
      <c r="F789" s="11">
        <v>46116</v>
      </c>
      <c r="G789" t="s">
        <v>72</v>
      </c>
      <c r="H789" t="s">
        <v>51</v>
      </c>
      <c r="I789">
        <v>1900</v>
      </c>
      <c r="J789" t="s">
        <v>23</v>
      </c>
      <c r="K789" t="s">
        <v>33</v>
      </c>
      <c r="L789" t="s">
        <v>25</v>
      </c>
      <c r="M789" t="s">
        <v>92</v>
      </c>
      <c r="Q789" s="1"/>
    </row>
    <row r="790" spans="1:17" x14ac:dyDescent="0.3">
      <c r="A790">
        <v>34</v>
      </c>
      <c r="B790">
        <v>13</v>
      </c>
      <c r="C790" s="11">
        <v>46146</v>
      </c>
      <c r="D790" t="s">
        <v>20</v>
      </c>
      <c r="E790">
        <v>100</v>
      </c>
      <c r="F790" s="11">
        <v>46177</v>
      </c>
      <c r="G790" t="s">
        <v>80</v>
      </c>
      <c r="H790" t="s">
        <v>19</v>
      </c>
      <c r="I790">
        <v>90</v>
      </c>
      <c r="J790" t="s">
        <v>16</v>
      </c>
      <c r="K790" t="s">
        <v>24</v>
      </c>
      <c r="L790" t="s">
        <v>34</v>
      </c>
      <c r="M790" t="s">
        <v>87</v>
      </c>
      <c r="Q790" s="1"/>
    </row>
    <row r="791" spans="1:17" x14ac:dyDescent="0.3">
      <c r="A791">
        <v>21</v>
      </c>
      <c r="B791">
        <v>8</v>
      </c>
      <c r="C791" s="11">
        <v>46268</v>
      </c>
      <c r="D791" t="s">
        <v>20</v>
      </c>
      <c r="E791">
        <v>700</v>
      </c>
      <c r="F791" s="11">
        <v>46026</v>
      </c>
      <c r="G791" t="s">
        <v>74</v>
      </c>
      <c r="H791" t="s">
        <v>85</v>
      </c>
      <c r="I791">
        <v>600</v>
      </c>
      <c r="J791" t="s">
        <v>16</v>
      </c>
      <c r="K791" t="s">
        <v>33</v>
      </c>
      <c r="L791" t="s">
        <v>18</v>
      </c>
      <c r="M791" t="s">
        <v>84</v>
      </c>
      <c r="Q791" s="1"/>
    </row>
    <row r="792" spans="1:17" x14ac:dyDescent="0.3">
      <c r="A792">
        <v>45</v>
      </c>
      <c r="B792">
        <v>18</v>
      </c>
      <c r="C792" s="11">
        <v>46238</v>
      </c>
      <c r="D792" t="s">
        <v>13</v>
      </c>
      <c r="E792">
        <v>2000</v>
      </c>
      <c r="F792" s="11">
        <v>46207</v>
      </c>
      <c r="G792" t="s">
        <v>42</v>
      </c>
      <c r="H792" t="s">
        <v>93</v>
      </c>
      <c r="I792">
        <v>1800</v>
      </c>
      <c r="J792" t="s">
        <v>23</v>
      </c>
      <c r="K792" t="s">
        <v>17</v>
      </c>
      <c r="L792" t="s">
        <v>18</v>
      </c>
      <c r="M792" t="s">
        <v>15</v>
      </c>
      <c r="Q792" s="1"/>
    </row>
    <row r="793" spans="1:17" x14ac:dyDescent="0.3">
      <c r="A793">
        <v>10</v>
      </c>
      <c r="B793">
        <v>4</v>
      </c>
      <c r="C793" s="11">
        <v>46206</v>
      </c>
      <c r="D793" t="s">
        <v>13</v>
      </c>
      <c r="E793">
        <v>500</v>
      </c>
      <c r="F793" s="11">
        <v>46268</v>
      </c>
      <c r="G793" t="s">
        <v>96</v>
      </c>
      <c r="H793" t="s">
        <v>91</v>
      </c>
      <c r="I793">
        <v>400</v>
      </c>
      <c r="J793" t="s">
        <v>16</v>
      </c>
      <c r="K793" t="s">
        <v>33</v>
      </c>
      <c r="L793" t="s">
        <v>18</v>
      </c>
      <c r="M793" t="s">
        <v>63</v>
      </c>
      <c r="Q793" s="1"/>
    </row>
    <row r="794" spans="1:17" x14ac:dyDescent="0.3">
      <c r="A794">
        <v>27</v>
      </c>
      <c r="B794">
        <v>10</v>
      </c>
      <c r="C794" s="11">
        <v>46085</v>
      </c>
      <c r="D794" t="s">
        <v>20</v>
      </c>
      <c r="E794">
        <v>1500</v>
      </c>
      <c r="F794" s="11">
        <v>46146</v>
      </c>
      <c r="G794" t="s">
        <v>39</v>
      </c>
      <c r="H794" t="s">
        <v>92</v>
      </c>
      <c r="I794">
        <v>1400</v>
      </c>
      <c r="J794" t="s">
        <v>23</v>
      </c>
      <c r="K794" t="s">
        <v>17</v>
      </c>
      <c r="L794" t="s">
        <v>25</v>
      </c>
      <c r="M794" t="s">
        <v>94</v>
      </c>
      <c r="Q794" s="1"/>
    </row>
    <row r="795" spans="1:17" x14ac:dyDescent="0.3">
      <c r="A795">
        <v>15</v>
      </c>
      <c r="B795">
        <v>6</v>
      </c>
      <c r="C795" s="11">
        <v>46237</v>
      </c>
      <c r="D795" t="s">
        <v>20</v>
      </c>
      <c r="E795">
        <v>5000</v>
      </c>
      <c r="F795" s="11" t="s">
        <v>64</v>
      </c>
      <c r="G795" t="s">
        <v>71</v>
      </c>
      <c r="H795" t="s">
        <v>90</v>
      </c>
      <c r="I795">
        <v>4500</v>
      </c>
      <c r="J795" t="s">
        <v>16</v>
      </c>
      <c r="K795" t="s">
        <v>33</v>
      </c>
      <c r="L795" t="s">
        <v>34</v>
      </c>
      <c r="M795" t="s">
        <v>61</v>
      </c>
      <c r="Q795" s="1"/>
    </row>
    <row r="796" spans="1:17" x14ac:dyDescent="0.3">
      <c r="A796">
        <v>31</v>
      </c>
      <c r="B796">
        <v>12</v>
      </c>
      <c r="C796" s="11">
        <v>46177</v>
      </c>
      <c r="D796" t="s">
        <v>13</v>
      </c>
      <c r="E796">
        <v>300</v>
      </c>
      <c r="F796" s="11">
        <v>46146</v>
      </c>
      <c r="G796" t="s">
        <v>48</v>
      </c>
      <c r="H796" t="s">
        <v>49</v>
      </c>
      <c r="I796">
        <v>280</v>
      </c>
      <c r="J796" t="s">
        <v>16</v>
      </c>
      <c r="K796" t="s">
        <v>24</v>
      </c>
      <c r="L796" t="s">
        <v>34</v>
      </c>
      <c r="M796" t="s">
        <v>93</v>
      </c>
      <c r="Q796" s="1"/>
    </row>
    <row r="797" spans="1:17" x14ac:dyDescent="0.3">
      <c r="A797">
        <v>6</v>
      </c>
      <c r="B797">
        <v>2</v>
      </c>
      <c r="C797" s="11">
        <v>46084</v>
      </c>
      <c r="D797" t="s">
        <v>13</v>
      </c>
      <c r="E797">
        <v>800</v>
      </c>
      <c r="F797" s="11">
        <v>46145</v>
      </c>
      <c r="G797" t="s">
        <v>50</v>
      </c>
      <c r="H797" t="s">
        <v>61</v>
      </c>
      <c r="I797">
        <v>700</v>
      </c>
      <c r="J797" t="s">
        <v>16</v>
      </c>
      <c r="K797" t="s">
        <v>17</v>
      </c>
      <c r="L797" t="s">
        <v>18</v>
      </c>
      <c r="M797" t="s">
        <v>101</v>
      </c>
      <c r="Q797" s="1"/>
    </row>
    <row r="798" spans="1:17" x14ac:dyDescent="0.3">
      <c r="A798">
        <v>38</v>
      </c>
      <c r="B798">
        <v>15</v>
      </c>
      <c r="C798" s="11">
        <v>46269</v>
      </c>
      <c r="D798" t="s">
        <v>20</v>
      </c>
      <c r="E798">
        <v>1000</v>
      </c>
      <c r="F798" s="11">
        <v>46238</v>
      </c>
      <c r="G798" t="s">
        <v>66</v>
      </c>
      <c r="H798" t="s">
        <v>19</v>
      </c>
      <c r="I798">
        <v>900</v>
      </c>
      <c r="J798" t="s">
        <v>23</v>
      </c>
      <c r="K798" t="s">
        <v>33</v>
      </c>
      <c r="L798" t="s">
        <v>25</v>
      </c>
      <c r="M798" t="s">
        <v>87</v>
      </c>
      <c r="Q798" s="1"/>
    </row>
    <row r="799" spans="1:17" x14ac:dyDescent="0.3">
      <c r="A799">
        <v>19</v>
      </c>
      <c r="B799">
        <v>7</v>
      </c>
      <c r="C799" s="11">
        <v>46206</v>
      </c>
      <c r="D799" t="s">
        <v>20</v>
      </c>
      <c r="E799">
        <v>2000</v>
      </c>
      <c r="F799" s="11">
        <v>46237</v>
      </c>
      <c r="G799" t="s">
        <v>69</v>
      </c>
      <c r="H799" t="s">
        <v>103</v>
      </c>
      <c r="I799">
        <v>1900</v>
      </c>
      <c r="J799" t="s">
        <v>16</v>
      </c>
      <c r="K799" t="s">
        <v>17</v>
      </c>
      <c r="L799" t="s">
        <v>18</v>
      </c>
      <c r="M799" t="s">
        <v>91</v>
      </c>
      <c r="Q799" s="1"/>
    </row>
    <row r="800" spans="1:17" x14ac:dyDescent="0.3">
      <c r="A800">
        <v>22</v>
      </c>
      <c r="B800">
        <v>7</v>
      </c>
      <c r="C800" s="11">
        <v>46057</v>
      </c>
      <c r="D800" t="s">
        <v>13</v>
      </c>
      <c r="E800">
        <v>1000</v>
      </c>
      <c r="F800" s="11">
        <v>46177</v>
      </c>
      <c r="G800" t="s">
        <v>55</v>
      </c>
      <c r="H800" t="s">
        <v>15</v>
      </c>
      <c r="I800">
        <v>700</v>
      </c>
      <c r="J800" t="s">
        <v>16</v>
      </c>
      <c r="K800" t="s">
        <v>33</v>
      </c>
      <c r="L800" t="s">
        <v>18</v>
      </c>
      <c r="M800" t="s">
        <v>49</v>
      </c>
      <c r="Q800" s="1"/>
    </row>
    <row r="801" spans="1:17" x14ac:dyDescent="0.3">
      <c r="A801">
        <v>8</v>
      </c>
      <c r="B801">
        <v>2</v>
      </c>
      <c r="C801" s="11">
        <v>46268</v>
      </c>
      <c r="D801" t="s">
        <v>20</v>
      </c>
      <c r="E801">
        <v>300</v>
      </c>
      <c r="F801" s="11">
        <v>46056</v>
      </c>
      <c r="G801" t="s">
        <v>48</v>
      </c>
      <c r="H801" t="s">
        <v>58</v>
      </c>
      <c r="I801">
        <v>2000</v>
      </c>
      <c r="J801" t="s">
        <v>23</v>
      </c>
      <c r="K801" t="s">
        <v>17</v>
      </c>
      <c r="L801" t="s">
        <v>18</v>
      </c>
      <c r="M801" t="s">
        <v>90</v>
      </c>
      <c r="Q801" s="1"/>
    </row>
    <row r="802" spans="1:17" x14ac:dyDescent="0.3">
      <c r="A802">
        <v>35</v>
      </c>
      <c r="B802">
        <v>14</v>
      </c>
      <c r="C802" s="11">
        <v>46207</v>
      </c>
      <c r="D802" t="s">
        <v>13</v>
      </c>
      <c r="E802">
        <v>5000</v>
      </c>
      <c r="F802" s="11">
        <v>46238</v>
      </c>
      <c r="G802" t="s">
        <v>73</v>
      </c>
      <c r="H802" t="s">
        <v>19</v>
      </c>
      <c r="I802">
        <v>9000</v>
      </c>
      <c r="J802" t="s">
        <v>23</v>
      </c>
      <c r="K802" t="s">
        <v>24</v>
      </c>
      <c r="L802" t="s">
        <v>25</v>
      </c>
      <c r="M802" t="s">
        <v>40</v>
      </c>
      <c r="Q802" s="1"/>
    </row>
    <row r="803" spans="1:17" x14ac:dyDescent="0.3">
      <c r="A803">
        <v>12</v>
      </c>
      <c r="B803">
        <v>5</v>
      </c>
      <c r="C803" s="11">
        <v>46146</v>
      </c>
      <c r="D803" t="s">
        <v>20</v>
      </c>
      <c r="E803">
        <v>2000</v>
      </c>
      <c r="F803" s="11">
        <v>46268</v>
      </c>
      <c r="G803" t="s">
        <v>59</v>
      </c>
      <c r="H803" t="s">
        <v>63</v>
      </c>
      <c r="I803">
        <v>3000</v>
      </c>
      <c r="J803" t="s">
        <v>16</v>
      </c>
      <c r="K803" t="s">
        <v>29</v>
      </c>
      <c r="L803" t="s">
        <v>18</v>
      </c>
      <c r="M803" t="s">
        <v>85</v>
      </c>
      <c r="Q803" s="1"/>
    </row>
    <row r="804" spans="1:17" x14ac:dyDescent="0.3">
      <c r="A804">
        <v>43</v>
      </c>
      <c r="B804">
        <v>18</v>
      </c>
      <c r="C804" s="11">
        <v>46269</v>
      </c>
      <c r="D804" t="s">
        <v>13</v>
      </c>
      <c r="E804">
        <v>10000</v>
      </c>
      <c r="F804" s="11">
        <v>46207</v>
      </c>
      <c r="G804" t="s">
        <v>69</v>
      </c>
      <c r="H804" t="s">
        <v>30</v>
      </c>
      <c r="I804">
        <v>4000</v>
      </c>
      <c r="J804" t="s">
        <v>16</v>
      </c>
      <c r="K804" t="s">
        <v>17</v>
      </c>
      <c r="L804" t="s">
        <v>18</v>
      </c>
      <c r="M804" t="s">
        <v>51</v>
      </c>
      <c r="Q804" s="1"/>
    </row>
    <row r="805" spans="1:17" x14ac:dyDescent="0.3">
      <c r="A805">
        <v>5</v>
      </c>
      <c r="B805">
        <v>1</v>
      </c>
      <c r="C805" s="11">
        <v>46025</v>
      </c>
      <c r="D805" t="s">
        <v>20</v>
      </c>
      <c r="E805">
        <v>100</v>
      </c>
      <c r="F805" s="11">
        <v>46144</v>
      </c>
      <c r="G805" t="s">
        <v>39</v>
      </c>
      <c r="H805" t="s">
        <v>104</v>
      </c>
      <c r="I805">
        <v>800</v>
      </c>
      <c r="J805" t="s">
        <v>23</v>
      </c>
      <c r="K805" t="s">
        <v>33</v>
      </c>
      <c r="L805" t="s">
        <v>34</v>
      </c>
      <c r="M805" t="s">
        <v>105</v>
      </c>
      <c r="Q805" s="1"/>
    </row>
    <row r="806" spans="1:17" x14ac:dyDescent="0.3">
      <c r="A806">
        <v>29</v>
      </c>
      <c r="B806">
        <v>10</v>
      </c>
      <c r="C806" s="11">
        <v>46116</v>
      </c>
      <c r="D806" t="s">
        <v>13</v>
      </c>
      <c r="E806">
        <v>3000</v>
      </c>
      <c r="F806" s="11">
        <v>46057</v>
      </c>
      <c r="G806" t="s">
        <v>66</v>
      </c>
      <c r="H806" t="s">
        <v>28</v>
      </c>
      <c r="I806">
        <v>6000</v>
      </c>
      <c r="J806" t="s">
        <v>16</v>
      </c>
      <c r="K806" t="s">
        <v>24</v>
      </c>
      <c r="L806" t="s">
        <v>25</v>
      </c>
      <c r="M806" t="s">
        <v>15</v>
      </c>
      <c r="Q806" s="1"/>
    </row>
    <row r="807" spans="1:17" x14ac:dyDescent="0.3">
      <c r="A807">
        <v>17</v>
      </c>
      <c r="B807">
        <v>4</v>
      </c>
      <c r="C807" s="11">
        <v>46237</v>
      </c>
      <c r="D807" t="s">
        <v>20</v>
      </c>
      <c r="E807">
        <v>1000</v>
      </c>
      <c r="F807" s="11">
        <v>46176</v>
      </c>
      <c r="G807" t="s">
        <v>60</v>
      </c>
      <c r="H807" t="s">
        <v>67</v>
      </c>
      <c r="I807">
        <v>700</v>
      </c>
      <c r="J807" t="s">
        <v>16</v>
      </c>
      <c r="K807" t="s">
        <v>33</v>
      </c>
      <c r="L807" t="s">
        <v>18</v>
      </c>
      <c r="M807" t="s">
        <v>61</v>
      </c>
      <c r="Q807" s="1"/>
    </row>
    <row r="808" spans="1:17" x14ac:dyDescent="0.3">
      <c r="A808">
        <v>38</v>
      </c>
      <c r="B808">
        <v>16</v>
      </c>
      <c r="C808" s="11">
        <v>46177</v>
      </c>
      <c r="D808" t="s">
        <v>13</v>
      </c>
      <c r="E808">
        <v>7000</v>
      </c>
      <c r="F808" s="11">
        <v>46269</v>
      </c>
      <c r="G808" t="s">
        <v>74</v>
      </c>
      <c r="H808" t="s">
        <v>40</v>
      </c>
      <c r="I808">
        <v>10000</v>
      </c>
      <c r="J808" t="s">
        <v>23</v>
      </c>
      <c r="K808" t="s">
        <v>17</v>
      </c>
      <c r="L808" t="s">
        <v>25</v>
      </c>
      <c r="M808" t="s">
        <v>19</v>
      </c>
      <c r="Q808" s="1"/>
    </row>
    <row r="809" spans="1:17" x14ac:dyDescent="0.3">
      <c r="A809">
        <v>3</v>
      </c>
      <c r="B809">
        <v>0</v>
      </c>
      <c r="C809" s="11">
        <v>46055</v>
      </c>
      <c r="D809" t="s">
        <v>20</v>
      </c>
      <c r="E809">
        <v>100</v>
      </c>
      <c r="F809" s="11">
        <v>46235</v>
      </c>
      <c r="G809" t="s">
        <v>31</v>
      </c>
      <c r="H809" t="s">
        <v>106</v>
      </c>
      <c r="I809">
        <v>200</v>
      </c>
      <c r="J809" t="s">
        <v>16</v>
      </c>
      <c r="K809" t="s">
        <v>33</v>
      </c>
      <c r="L809" t="s">
        <v>34</v>
      </c>
      <c r="M809" t="s">
        <v>46</v>
      </c>
      <c r="Q809" s="1"/>
    </row>
    <row r="810" spans="1:17" x14ac:dyDescent="0.3">
      <c r="A810">
        <v>25</v>
      </c>
      <c r="B810">
        <v>9</v>
      </c>
      <c r="C810" s="11">
        <v>46026</v>
      </c>
      <c r="D810" t="s">
        <v>13</v>
      </c>
      <c r="E810">
        <v>500</v>
      </c>
      <c r="F810" s="11">
        <v>46237</v>
      </c>
      <c r="G810" t="s">
        <v>76</v>
      </c>
      <c r="H810" t="s">
        <v>43</v>
      </c>
      <c r="I810">
        <v>4000</v>
      </c>
      <c r="J810" t="s">
        <v>16</v>
      </c>
      <c r="K810" t="s">
        <v>17</v>
      </c>
      <c r="L810" t="s">
        <v>18</v>
      </c>
      <c r="M810" t="s">
        <v>30</v>
      </c>
      <c r="Q810" s="1"/>
    </row>
    <row r="811" spans="1:17" x14ac:dyDescent="0.3">
      <c r="A811">
        <v>10</v>
      </c>
      <c r="B811">
        <v>3</v>
      </c>
      <c r="C811" s="11">
        <v>46145</v>
      </c>
      <c r="D811" t="s">
        <v>20</v>
      </c>
      <c r="E811">
        <v>2000</v>
      </c>
      <c r="F811" s="11">
        <v>46115</v>
      </c>
      <c r="G811" t="s">
        <v>42</v>
      </c>
      <c r="H811" t="s">
        <v>45</v>
      </c>
      <c r="I811">
        <v>500</v>
      </c>
      <c r="J811" t="s">
        <v>16</v>
      </c>
      <c r="K811" t="s">
        <v>29</v>
      </c>
      <c r="L811" t="s">
        <v>18</v>
      </c>
      <c r="M811" t="s">
        <v>63</v>
      </c>
      <c r="Q811" s="1"/>
    </row>
    <row r="812" spans="1:17" x14ac:dyDescent="0.3">
      <c r="A812">
        <v>47</v>
      </c>
      <c r="B812">
        <v>19</v>
      </c>
      <c r="C812" s="11">
        <v>46238</v>
      </c>
      <c r="D812" t="s">
        <v>13</v>
      </c>
      <c r="E812">
        <v>9000</v>
      </c>
      <c r="F812" s="11">
        <v>46146</v>
      </c>
      <c r="G812" t="s">
        <v>80</v>
      </c>
      <c r="H812" t="s">
        <v>49</v>
      </c>
      <c r="I812">
        <v>8000</v>
      </c>
      <c r="J812" t="s">
        <v>16</v>
      </c>
      <c r="K812" t="s">
        <v>17</v>
      </c>
      <c r="L812" t="s">
        <v>25</v>
      </c>
      <c r="M812" t="s">
        <v>49</v>
      </c>
      <c r="Q812" s="1"/>
    </row>
    <row r="813" spans="1:17" x14ac:dyDescent="0.3">
      <c r="A813">
        <v>2</v>
      </c>
      <c r="B813">
        <v>0</v>
      </c>
      <c r="C813" s="11">
        <v>46143</v>
      </c>
      <c r="D813" t="s">
        <v>20</v>
      </c>
      <c r="E813">
        <v>100</v>
      </c>
      <c r="F813" s="11">
        <v>46054</v>
      </c>
      <c r="G813" t="s">
        <v>47</v>
      </c>
      <c r="H813" t="s">
        <v>107</v>
      </c>
      <c r="I813">
        <v>100</v>
      </c>
      <c r="J813" t="s">
        <v>16</v>
      </c>
      <c r="K813" t="s">
        <v>33</v>
      </c>
      <c r="L813" t="s">
        <v>34</v>
      </c>
      <c r="M813" t="s">
        <v>108</v>
      </c>
      <c r="Q813" s="1"/>
    </row>
    <row r="814" spans="1:17" x14ac:dyDescent="0.3">
      <c r="A814">
        <v>31</v>
      </c>
      <c r="B814">
        <v>12</v>
      </c>
      <c r="C814" s="11">
        <v>46085</v>
      </c>
      <c r="D814" t="s">
        <v>13</v>
      </c>
      <c r="E814">
        <v>4000</v>
      </c>
      <c r="F814" s="11">
        <v>46085</v>
      </c>
      <c r="G814" t="s">
        <v>70</v>
      </c>
      <c r="H814" t="s">
        <v>61</v>
      </c>
      <c r="I814">
        <v>3000</v>
      </c>
      <c r="J814" t="s">
        <v>16</v>
      </c>
      <c r="K814" t="s">
        <v>24</v>
      </c>
      <c r="L814" t="s">
        <v>25</v>
      </c>
      <c r="M814" t="s">
        <v>51</v>
      </c>
      <c r="Q814" s="1"/>
    </row>
    <row r="815" spans="1:17" x14ac:dyDescent="0.3">
      <c r="A815">
        <v>14</v>
      </c>
      <c r="B815">
        <v>6</v>
      </c>
      <c r="C815" s="11">
        <v>46206</v>
      </c>
      <c r="D815" t="s">
        <v>20</v>
      </c>
      <c r="E815">
        <v>300</v>
      </c>
      <c r="F815" s="11">
        <v>46025</v>
      </c>
      <c r="G815" t="s">
        <v>75</v>
      </c>
      <c r="H815" t="s">
        <v>54</v>
      </c>
      <c r="I815">
        <v>1000</v>
      </c>
      <c r="J815" t="s">
        <v>16</v>
      </c>
      <c r="K815" t="s">
        <v>29</v>
      </c>
      <c r="L815" t="s">
        <v>18</v>
      </c>
      <c r="M815" t="s">
        <v>91</v>
      </c>
      <c r="Q815" s="1"/>
    </row>
    <row r="816" spans="1:17" x14ac:dyDescent="0.3">
      <c r="A816">
        <v>40</v>
      </c>
      <c r="B816">
        <v>17</v>
      </c>
      <c r="C816" s="11">
        <v>46207</v>
      </c>
      <c r="D816" t="s">
        <v>13</v>
      </c>
      <c r="E816">
        <v>6000</v>
      </c>
      <c r="F816" s="11">
        <v>46177</v>
      </c>
      <c r="G816" t="s">
        <v>77</v>
      </c>
      <c r="H816" t="s">
        <v>51</v>
      </c>
      <c r="I816">
        <v>7000</v>
      </c>
      <c r="J816" t="s">
        <v>23</v>
      </c>
      <c r="K816" t="s">
        <v>24</v>
      </c>
      <c r="L816" t="s">
        <v>25</v>
      </c>
      <c r="M816" t="s">
        <v>19</v>
      </c>
      <c r="Q816" s="1"/>
    </row>
    <row r="817" spans="1:17" x14ac:dyDescent="0.3">
      <c r="A817">
        <v>6</v>
      </c>
      <c r="B817">
        <v>1</v>
      </c>
      <c r="C817" s="11">
        <v>46144</v>
      </c>
      <c r="D817" t="s">
        <v>20</v>
      </c>
      <c r="E817">
        <v>200</v>
      </c>
      <c r="F817" s="11">
        <v>46055</v>
      </c>
      <c r="G817" t="s">
        <v>35</v>
      </c>
      <c r="H817" t="s">
        <v>38</v>
      </c>
      <c r="I817">
        <v>600</v>
      </c>
      <c r="J817" t="s">
        <v>16</v>
      </c>
      <c r="K817" t="s">
        <v>29</v>
      </c>
      <c r="L817" t="s">
        <v>18</v>
      </c>
      <c r="M817" t="s">
        <v>43</v>
      </c>
      <c r="Q817" s="1"/>
    </row>
    <row r="818" spans="1:17" x14ac:dyDescent="0.3">
      <c r="A818">
        <v>19</v>
      </c>
      <c r="B818">
        <v>8</v>
      </c>
      <c r="C818" s="11" t="s">
        <v>64</v>
      </c>
      <c r="D818" t="s">
        <v>13</v>
      </c>
      <c r="E818">
        <v>6000</v>
      </c>
      <c r="F818" s="11">
        <v>46116</v>
      </c>
      <c r="G818" t="s">
        <v>72</v>
      </c>
      <c r="H818" t="s">
        <v>26</v>
      </c>
      <c r="I818">
        <v>5000</v>
      </c>
      <c r="J818" t="s">
        <v>23</v>
      </c>
      <c r="K818" t="s">
        <v>17</v>
      </c>
      <c r="L818" t="s">
        <v>25</v>
      </c>
      <c r="M818" t="s">
        <v>15</v>
      </c>
      <c r="Q818" s="1"/>
    </row>
    <row r="819" spans="1:17" x14ac:dyDescent="0.3">
      <c r="A819">
        <v>1</v>
      </c>
      <c r="B819">
        <v>0</v>
      </c>
      <c r="C819" s="11" t="s">
        <v>41</v>
      </c>
      <c r="D819" t="s">
        <v>20</v>
      </c>
      <c r="E819">
        <v>100</v>
      </c>
      <c r="F819" s="11" t="s">
        <v>41</v>
      </c>
      <c r="G819" t="s">
        <v>99</v>
      </c>
      <c r="H819" t="s">
        <v>109</v>
      </c>
      <c r="I819">
        <v>100</v>
      </c>
      <c r="J819" t="s">
        <v>16</v>
      </c>
      <c r="K819" t="s">
        <v>33</v>
      </c>
      <c r="L819" t="s">
        <v>34</v>
      </c>
      <c r="M819" t="s">
        <v>36</v>
      </c>
      <c r="Q819" s="1"/>
    </row>
    <row r="820" spans="1:17" x14ac:dyDescent="0.3">
      <c r="A820">
        <v>34</v>
      </c>
      <c r="B820">
        <v>15</v>
      </c>
      <c r="C820" s="11">
        <v>46146</v>
      </c>
      <c r="D820" t="s">
        <v>13</v>
      </c>
      <c r="E820">
        <v>8000</v>
      </c>
      <c r="F820" s="11">
        <v>46238</v>
      </c>
      <c r="G820" t="s">
        <v>73</v>
      </c>
      <c r="H820" t="s">
        <v>19</v>
      </c>
      <c r="I820">
        <v>9000</v>
      </c>
      <c r="J820" t="s">
        <v>23</v>
      </c>
      <c r="K820" t="s">
        <v>17</v>
      </c>
      <c r="L820" t="s">
        <v>25</v>
      </c>
      <c r="M820" t="s">
        <v>40</v>
      </c>
      <c r="Q820" s="1"/>
    </row>
    <row r="821" spans="1:17" x14ac:dyDescent="0.3">
      <c r="A821">
        <v>9</v>
      </c>
      <c r="B821">
        <v>2</v>
      </c>
      <c r="C821" s="11">
        <v>46084</v>
      </c>
      <c r="D821" t="s">
        <v>20</v>
      </c>
      <c r="E821">
        <v>400</v>
      </c>
      <c r="F821" s="11">
        <v>46236</v>
      </c>
      <c r="G821" t="s">
        <v>62</v>
      </c>
      <c r="H821" t="s">
        <v>22</v>
      </c>
      <c r="I821">
        <v>800</v>
      </c>
      <c r="J821" t="s">
        <v>16</v>
      </c>
      <c r="K821" t="s">
        <v>29</v>
      </c>
      <c r="L821" t="s">
        <v>18</v>
      </c>
      <c r="M821" t="s">
        <v>90</v>
      </c>
      <c r="Q821" s="1"/>
    </row>
    <row r="822" spans="1:17" x14ac:dyDescent="0.3">
      <c r="A822">
        <v>42</v>
      </c>
      <c r="B822">
        <v>16</v>
      </c>
      <c r="C822" s="11">
        <v>46269</v>
      </c>
      <c r="D822" t="s">
        <v>13</v>
      </c>
      <c r="E822">
        <v>7000</v>
      </c>
      <c r="F822" s="11">
        <v>46207</v>
      </c>
      <c r="G822" t="s">
        <v>65</v>
      </c>
      <c r="H822" t="s">
        <v>15</v>
      </c>
      <c r="I822">
        <v>9000</v>
      </c>
      <c r="J822" t="s">
        <v>23</v>
      </c>
      <c r="K822" t="s">
        <v>24</v>
      </c>
      <c r="L822" t="s">
        <v>25</v>
      </c>
      <c r="M822" t="s">
        <v>40</v>
      </c>
      <c r="Q822" s="1"/>
    </row>
    <row r="823" spans="1:17" x14ac:dyDescent="0.3">
      <c r="A823">
        <v>4</v>
      </c>
      <c r="B823">
        <v>0</v>
      </c>
      <c r="C823" s="11" t="s">
        <v>56</v>
      </c>
      <c r="D823" t="s">
        <v>20</v>
      </c>
      <c r="E823">
        <v>100</v>
      </c>
      <c r="F823" s="11">
        <v>46143</v>
      </c>
      <c r="G823" t="s">
        <v>39</v>
      </c>
      <c r="H823" t="s">
        <v>110</v>
      </c>
      <c r="I823">
        <v>200</v>
      </c>
      <c r="J823" t="s">
        <v>16</v>
      </c>
      <c r="K823" t="s">
        <v>33</v>
      </c>
      <c r="L823" t="s">
        <v>34</v>
      </c>
      <c r="M823" t="s">
        <v>111</v>
      </c>
      <c r="Q823" s="1"/>
    </row>
    <row r="824" spans="1:17" x14ac:dyDescent="0.3">
      <c r="A824">
        <v>28</v>
      </c>
      <c r="B824">
        <v>11</v>
      </c>
      <c r="C824" s="11">
        <v>46057</v>
      </c>
      <c r="D824" t="s">
        <v>13</v>
      </c>
      <c r="E824">
        <v>2000</v>
      </c>
      <c r="F824" s="11">
        <v>46206</v>
      </c>
      <c r="G824" t="s">
        <v>53</v>
      </c>
      <c r="H824" t="s">
        <v>32</v>
      </c>
      <c r="I824">
        <v>2000</v>
      </c>
      <c r="J824" t="s">
        <v>16</v>
      </c>
      <c r="K824" t="s">
        <v>17</v>
      </c>
      <c r="L824" t="s">
        <v>18</v>
      </c>
      <c r="M824" t="s">
        <v>28</v>
      </c>
      <c r="Q824" s="1"/>
    </row>
    <row r="825" spans="1:17" x14ac:dyDescent="0.3">
      <c r="A825">
        <v>18</v>
      </c>
      <c r="B825">
        <v>7</v>
      </c>
      <c r="C825" s="11">
        <v>46026</v>
      </c>
      <c r="D825" t="s">
        <v>20</v>
      </c>
      <c r="E825">
        <v>700</v>
      </c>
      <c r="F825" s="11">
        <v>46116</v>
      </c>
      <c r="G825" t="s">
        <v>95</v>
      </c>
      <c r="H825" t="s">
        <v>58</v>
      </c>
      <c r="I825">
        <v>800</v>
      </c>
      <c r="J825" t="s">
        <v>16</v>
      </c>
      <c r="K825" t="s">
        <v>33</v>
      </c>
      <c r="L825" t="s">
        <v>18</v>
      </c>
      <c r="M825" t="s">
        <v>28</v>
      </c>
      <c r="Q825" s="1"/>
    </row>
    <row r="826" spans="1:17" x14ac:dyDescent="0.3">
      <c r="A826">
        <v>37</v>
      </c>
      <c r="B826">
        <v>15</v>
      </c>
      <c r="C826" s="11">
        <v>46177</v>
      </c>
      <c r="D826" t="s">
        <v>13</v>
      </c>
      <c r="E826">
        <v>6000</v>
      </c>
      <c r="F826" s="11">
        <v>46207</v>
      </c>
      <c r="G826" t="s">
        <v>69</v>
      </c>
      <c r="H826" t="s">
        <v>30</v>
      </c>
      <c r="I826">
        <v>5000</v>
      </c>
      <c r="J826" t="s">
        <v>23</v>
      </c>
      <c r="K826" t="s">
        <v>17</v>
      </c>
      <c r="L826" t="s">
        <v>25</v>
      </c>
      <c r="M826" t="s">
        <v>15</v>
      </c>
      <c r="Q826" s="1"/>
    </row>
    <row r="827" spans="1:17" x14ac:dyDescent="0.3">
      <c r="A827">
        <v>5</v>
      </c>
      <c r="B827">
        <v>2</v>
      </c>
      <c r="C827" s="11">
        <v>46236</v>
      </c>
      <c r="D827" t="s">
        <v>20</v>
      </c>
      <c r="E827">
        <v>100</v>
      </c>
      <c r="F827" s="11">
        <v>46024</v>
      </c>
      <c r="G827" t="s">
        <v>48</v>
      </c>
      <c r="H827" t="s">
        <v>112</v>
      </c>
      <c r="I827">
        <v>300</v>
      </c>
      <c r="J827" t="s">
        <v>16</v>
      </c>
      <c r="K827" t="s">
        <v>29</v>
      </c>
      <c r="L827" t="s">
        <v>18</v>
      </c>
      <c r="M827" t="s">
        <v>113</v>
      </c>
      <c r="Q827" s="1"/>
    </row>
    <row r="828" spans="1:17" x14ac:dyDescent="0.3">
      <c r="A828">
        <v>23</v>
      </c>
      <c r="B828">
        <v>10</v>
      </c>
      <c r="C828" s="11">
        <v>46268</v>
      </c>
      <c r="D828" t="s">
        <v>13</v>
      </c>
      <c r="E828">
        <v>2000</v>
      </c>
      <c r="F828" s="11">
        <v>46145</v>
      </c>
      <c r="G828" t="s">
        <v>21</v>
      </c>
      <c r="H828" t="s">
        <v>67</v>
      </c>
      <c r="I828">
        <v>2000</v>
      </c>
      <c r="J828" t="s">
        <v>16</v>
      </c>
      <c r="K828" t="s">
        <v>17</v>
      </c>
      <c r="L828" t="s">
        <v>18</v>
      </c>
      <c r="M828" t="s">
        <v>91</v>
      </c>
      <c r="Q828" s="1"/>
    </row>
    <row r="829" spans="1:17" x14ac:dyDescent="0.3">
      <c r="A829">
        <v>46</v>
      </c>
      <c r="B829">
        <v>18</v>
      </c>
      <c r="C829" s="11">
        <v>46238</v>
      </c>
      <c r="D829" t="s">
        <v>13</v>
      </c>
      <c r="E829">
        <v>9000</v>
      </c>
      <c r="F829" s="11">
        <v>46269</v>
      </c>
      <c r="G829" t="s">
        <v>80</v>
      </c>
      <c r="H829" t="s">
        <v>19</v>
      </c>
      <c r="I829">
        <v>10000</v>
      </c>
      <c r="J829" t="s">
        <v>23</v>
      </c>
      <c r="K829" t="s">
        <v>17</v>
      </c>
      <c r="L829" t="s">
        <v>25</v>
      </c>
      <c r="M829" t="s">
        <v>40</v>
      </c>
      <c r="Q829" s="1"/>
    </row>
    <row r="830" spans="1:17" x14ac:dyDescent="0.3">
      <c r="A830">
        <v>3</v>
      </c>
      <c r="B830">
        <v>1</v>
      </c>
      <c r="C830" s="11">
        <v>46143</v>
      </c>
      <c r="D830" t="s">
        <v>20</v>
      </c>
      <c r="E830">
        <v>100</v>
      </c>
      <c r="F830" s="11">
        <v>46054</v>
      </c>
      <c r="G830" t="s">
        <v>39</v>
      </c>
      <c r="H830" t="s">
        <v>106</v>
      </c>
      <c r="I830">
        <v>100</v>
      </c>
      <c r="J830" t="s">
        <v>16</v>
      </c>
      <c r="K830" t="s">
        <v>33</v>
      </c>
      <c r="L830" t="s">
        <v>34</v>
      </c>
      <c r="M830" t="s">
        <v>108</v>
      </c>
      <c r="Q830" s="1"/>
    </row>
    <row r="831" spans="1:17" x14ac:dyDescent="0.3">
      <c r="A831">
        <v>30</v>
      </c>
      <c r="B831">
        <v>12</v>
      </c>
      <c r="C831" s="11">
        <v>46085</v>
      </c>
      <c r="D831" t="s">
        <v>13</v>
      </c>
      <c r="E831">
        <v>4000</v>
      </c>
      <c r="F831" s="11">
        <v>46026</v>
      </c>
      <c r="G831" t="s">
        <v>70</v>
      </c>
      <c r="H831" t="s">
        <v>43</v>
      </c>
      <c r="I831">
        <v>3000</v>
      </c>
      <c r="J831" t="s">
        <v>16</v>
      </c>
      <c r="K831" t="s">
        <v>24</v>
      </c>
      <c r="L831" t="s">
        <v>25</v>
      </c>
      <c r="M831" t="s">
        <v>30</v>
      </c>
      <c r="Q831" s="1"/>
    </row>
    <row r="832" spans="1:17" x14ac:dyDescent="0.3">
      <c r="A832">
        <v>15</v>
      </c>
      <c r="B832">
        <v>6</v>
      </c>
      <c r="C832" s="11">
        <v>46176</v>
      </c>
      <c r="D832" t="s">
        <v>20</v>
      </c>
      <c r="E832">
        <v>500</v>
      </c>
      <c r="F832" s="11" t="s">
        <v>52</v>
      </c>
      <c r="G832" t="s">
        <v>75</v>
      </c>
      <c r="H832" t="s">
        <v>22</v>
      </c>
      <c r="I832">
        <v>800</v>
      </c>
      <c r="J832" t="s">
        <v>16</v>
      </c>
      <c r="K832" t="s">
        <v>29</v>
      </c>
      <c r="L832" t="s">
        <v>18</v>
      </c>
      <c r="M832" t="s">
        <v>90</v>
      </c>
      <c r="Q832" s="1"/>
    </row>
    <row r="833" spans="1:17" x14ac:dyDescent="0.3">
      <c r="A833">
        <v>39</v>
      </c>
      <c r="B833">
        <v>16</v>
      </c>
      <c r="C833" s="11">
        <v>46207</v>
      </c>
      <c r="D833" t="s">
        <v>13</v>
      </c>
      <c r="E833">
        <v>7000</v>
      </c>
      <c r="F833" s="11">
        <v>46238</v>
      </c>
      <c r="G833" t="s">
        <v>77</v>
      </c>
      <c r="H833" t="s">
        <v>15</v>
      </c>
      <c r="I833">
        <v>8000</v>
      </c>
      <c r="J833" t="s">
        <v>23</v>
      </c>
      <c r="K833" t="s">
        <v>24</v>
      </c>
      <c r="L833" t="s">
        <v>25</v>
      </c>
      <c r="M833" t="s">
        <v>19</v>
      </c>
      <c r="Q833" s="1"/>
    </row>
    <row r="834" spans="1:17" x14ac:dyDescent="0.3">
      <c r="A834">
        <v>1</v>
      </c>
      <c r="B834">
        <v>0</v>
      </c>
      <c r="C834" s="11" t="s">
        <v>41</v>
      </c>
      <c r="D834" t="s">
        <v>20</v>
      </c>
      <c r="E834">
        <v>100</v>
      </c>
      <c r="F834" s="11" t="s">
        <v>41</v>
      </c>
      <c r="G834" t="s">
        <v>99</v>
      </c>
      <c r="H834" t="s">
        <v>109</v>
      </c>
      <c r="I834">
        <v>100</v>
      </c>
      <c r="J834" t="s">
        <v>16</v>
      </c>
      <c r="K834" t="s">
        <v>33</v>
      </c>
      <c r="L834" t="s">
        <v>34</v>
      </c>
      <c r="M834" t="s">
        <v>36</v>
      </c>
      <c r="Q834" s="1"/>
    </row>
    <row r="835" spans="1:17" x14ac:dyDescent="0.3">
      <c r="A835">
        <v>26</v>
      </c>
      <c r="B835">
        <v>11</v>
      </c>
      <c r="C835" s="11" t="s">
        <v>64</v>
      </c>
      <c r="D835" t="s">
        <v>13</v>
      </c>
      <c r="E835">
        <v>3000</v>
      </c>
      <c r="F835" s="11">
        <v>46268</v>
      </c>
      <c r="G835" t="s">
        <v>31</v>
      </c>
      <c r="H835" t="s">
        <v>32</v>
      </c>
      <c r="I835">
        <v>3000</v>
      </c>
      <c r="J835" t="s">
        <v>16</v>
      </c>
      <c r="K835" t="s">
        <v>17</v>
      </c>
      <c r="L835" t="s">
        <v>18</v>
      </c>
      <c r="M835" t="s">
        <v>85</v>
      </c>
      <c r="Q835" s="1"/>
    </row>
    <row r="836" spans="1:17" x14ac:dyDescent="0.3">
      <c r="A836">
        <v>11</v>
      </c>
      <c r="B836">
        <v>4</v>
      </c>
      <c r="C836" s="11">
        <v>46115</v>
      </c>
      <c r="D836" t="s">
        <v>20</v>
      </c>
      <c r="E836">
        <v>300</v>
      </c>
      <c r="F836" s="11">
        <v>46205</v>
      </c>
      <c r="G836" t="s">
        <v>35</v>
      </c>
      <c r="H836" t="s">
        <v>54</v>
      </c>
      <c r="I836">
        <v>500</v>
      </c>
      <c r="J836" t="s">
        <v>16</v>
      </c>
      <c r="K836" t="s">
        <v>29</v>
      </c>
      <c r="L836" t="s">
        <v>18</v>
      </c>
      <c r="M836" t="s">
        <v>61</v>
      </c>
      <c r="Q836" s="1"/>
    </row>
    <row r="837" spans="1:17" x14ac:dyDescent="0.3">
      <c r="A837">
        <v>44</v>
      </c>
      <c r="B837">
        <v>17</v>
      </c>
      <c r="C837" s="11">
        <v>46238</v>
      </c>
      <c r="D837" t="s">
        <v>13</v>
      </c>
      <c r="E837">
        <v>8000</v>
      </c>
      <c r="F837" s="11">
        <v>46177</v>
      </c>
      <c r="G837" t="s">
        <v>73</v>
      </c>
      <c r="H837" t="s">
        <v>49</v>
      </c>
      <c r="I837">
        <v>9000</v>
      </c>
      <c r="J837" t="s">
        <v>23</v>
      </c>
      <c r="K837" t="s">
        <v>17</v>
      </c>
      <c r="L837" t="s">
        <v>25</v>
      </c>
      <c r="M837" t="s">
        <v>40</v>
      </c>
      <c r="Q837" s="1"/>
    </row>
    <row r="838" spans="1:17" x14ac:dyDescent="0.3">
      <c r="A838">
        <v>4</v>
      </c>
      <c r="B838">
        <v>1</v>
      </c>
      <c r="C838" s="11" t="s">
        <v>56</v>
      </c>
      <c r="D838" t="s">
        <v>20</v>
      </c>
      <c r="E838">
        <v>200</v>
      </c>
      <c r="F838" s="11">
        <v>46235</v>
      </c>
      <c r="G838" t="s">
        <v>39</v>
      </c>
      <c r="H838" t="s">
        <v>110</v>
      </c>
      <c r="I838">
        <v>200</v>
      </c>
      <c r="J838" t="s">
        <v>16</v>
      </c>
      <c r="K838" t="s">
        <v>33</v>
      </c>
      <c r="L838" t="s">
        <v>34</v>
      </c>
      <c r="M838" t="s">
        <v>111</v>
      </c>
      <c r="Q838" s="1"/>
    </row>
    <row r="839" spans="1:17" x14ac:dyDescent="0.3">
      <c r="A839">
        <v>32</v>
      </c>
      <c r="B839">
        <v>13</v>
      </c>
      <c r="C839" s="11">
        <v>46116</v>
      </c>
      <c r="D839" t="s">
        <v>13</v>
      </c>
      <c r="E839">
        <v>5000</v>
      </c>
      <c r="F839" s="11">
        <v>46146</v>
      </c>
      <c r="G839" t="s">
        <v>80</v>
      </c>
      <c r="H839" t="s">
        <v>28</v>
      </c>
      <c r="I839">
        <v>6000</v>
      </c>
      <c r="J839" t="s">
        <v>16</v>
      </c>
      <c r="K839" t="s">
        <v>24</v>
      </c>
      <c r="L839" t="s">
        <v>25</v>
      </c>
      <c r="M839" t="s">
        <v>15</v>
      </c>
      <c r="Q839" s="1"/>
    </row>
    <row r="840" spans="1:17" x14ac:dyDescent="0.3">
      <c r="A840">
        <v>13</v>
      </c>
      <c r="B840">
        <v>5</v>
      </c>
      <c r="C840" s="11">
        <v>46145</v>
      </c>
      <c r="D840" t="s">
        <v>20</v>
      </c>
      <c r="E840">
        <v>700</v>
      </c>
      <c r="F840" s="11">
        <v>46056</v>
      </c>
      <c r="G840" t="s">
        <v>42</v>
      </c>
      <c r="H840" t="s">
        <v>45</v>
      </c>
      <c r="I840">
        <v>900</v>
      </c>
      <c r="J840" t="s">
        <v>16</v>
      </c>
      <c r="K840" t="s">
        <v>29</v>
      </c>
      <c r="L840" t="s">
        <v>18</v>
      </c>
      <c r="M840" t="s">
        <v>63</v>
      </c>
      <c r="Q840" s="1"/>
    </row>
    <row r="841" spans="1:17" x14ac:dyDescent="0.3">
      <c r="A841">
        <v>41</v>
      </c>
      <c r="B841">
        <v>17</v>
      </c>
      <c r="C841" s="11">
        <v>46269</v>
      </c>
      <c r="D841" t="s">
        <v>13</v>
      </c>
      <c r="E841">
        <v>7000</v>
      </c>
      <c r="F841" s="11">
        <v>46238</v>
      </c>
      <c r="G841" t="s">
        <v>65</v>
      </c>
      <c r="H841" t="s">
        <v>49</v>
      </c>
      <c r="I841">
        <v>8000</v>
      </c>
      <c r="J841" t="s">
        <v>23</v>
      </c>
      <c r="K841" t="s">
        <v>24</v>
      </c>
      <c r="L841" t="s">
        <v>25</v>
      </c>
      <c r="M841" t="s">
        <v>40</v>
      </c>
      <c r="Q841" s="1"/>
    </row>
    <row r="842" spans="1:17" x14ac:dyDescent="0.3">
      <c r="A842">
        <v>7</v>
      </c>
      <c r="B842">
        <v>2</v>
      </c>
      <c r="C842" s="11">
        <v>46055</v>
      </c>
      <c r="D842" t="s">
        <v>20</v>
      </c>
      <c r="E842">
        <v>100</v>
      </c>
      <c r="F842" s="11">
        <v>46266</v>
      </c>
      <c r="G842" t="s">
        <v>47</v>
      </c>
      <c r="H842" t="s">
        <v>38</v>
      </c>
      <c r="I842">
        <v>300</v>
      </c>
      <c r="J842" t="s">
        <v>16</v>
      </c>
      <c r="K842" t="s">
        <v>33</v>
      </c>
      <c r="L842" t="s">
        <v>34</v>
      </c>
      <c r="M842" t="s">
        <v>105</v>
      </c>
      <c r="Q842" s="1"/>
    </row>
    <row r="843" spans="1:17" x14ac:dyDescent="0.3">
      <c r="A843">
        <v>29</v>
      </c>
      <c r="B843">
        <v>12</v>
      </c>
      <c r="C843" s="11">
        <v>46085</v>
      </c>
      <c r="D843" t="s">
        <v>13</v>
      </c>
      <c r="E843">
        <v>4000</v>
      </c>
      <c r="F843" s="11">
        <v>46057</v>
      </c>
      <c r="G843" t="s">
        <v>70</v>
      </c>
      <c r="H843" t="s">
        <v>61</v>
      </c>
      <c r="I843">
        <v>3000</v>
      </c>
      <c r="J843" t="s">
        <v>16</v>
      </c>
      <c r="K843" t="s">
        <v>24</v>
      </c>
      <c r="L843" t="s">
        <v>25</v>
      </c>
      <c r="M843" t="s">
        <v>30</v>
      </c>
      <c r="Q843" s="1"/>
    </row>
    <row r="844" spans="1:17" x14ac:dyDescent="0.3">
      <c r="A844">
        <v>16</v>
      </c>
      <c r="B844">
        <v>7</v>
      </c>
      <c r="C844" s="11">
        <v>46237</v>
      </c>
      <c r="D844" t="s">
        <v>20</v>
      </c>
      <c r="E844">
        <v>600</v>
      </c>
      <c r="F844" s="11">
        <v>46084</v>
      </c>
      <c r="G844" t="s">
        <v>60</v>
      </c>
      <c r="H844" t="s">
        <v>58</v>
      </c>
      <c r="I844">
        <v>1000</v>
      </c>
      <c r="J844" t="s">
        <v>16</v>
      </c>
      <c r="K844" t="s">
        <v>29</v>
      </c>
      <c r="L844" t="s">
        <v>18</v>
      </c>
      <c r="M844" t="s">
        <v>91</v>
      </c>
      <c r="Q844" s="1"/>
    </row>
    <row r="845" spans="1:17" x14ac:dyDescent="0.3">
      <c r="A845">
        <v>38</v>
      </c>
      <c r="B845">
        <v>16</v>
      </c>
      <c r="C845" s="11">
        <v>46207</v>
      </c>
      <c r="D845" t="s">
        <v>13</v>
      </c>
      <c r="E845">
        <v>7000</v>
      </c>
      <c r="F845" s="11">
        <v>46269</v>
      </c>
      <c r="G845" t="s">
        <v>74</v>
      </c>
      <c r="H845" t="s">
        <v>19</v>
      </c>
      <c r="I845">
        <v>10000</v>
      </c>
      <c r="J845" t="s">
        <v>23</v>
      </c>
      <c r="K845" t="s">
        <v>17</v>
      </c>
      <c r="L845" t="s">
        <v>25</v>
      </c>
      <c r="M845" t="s">
        <v>19</v>
      </c>
      <c r="Q845" s="1"/>
    </row>
    <row r="846" spans="1:17" x14ac:dyDescent="0.3">
      <c r="A846">
        <v>2</v>
      </c>
      <c r="B846">
        <v>0</v>
      </c>
      <c r="C846" s="11" t="s">
        <v>41</v>
      </c>
      <c r="D846" t="s">
        <v>20</v>
      </c>
      <c r="E846">
        <v>100</v>
      </c>
      <c r="F846" s="11" t="s">
        <v>41</v>
      </c>
      <c r="G846" t="s">
        <v>99</v>
      </c>
      <c r="H846" t="s">
        <v>109</v>
      </c>
      <c r="I846">
        <v>100</v>
      </c>
      <c r="J846" t="s">
        <v>16</v>
      </c>
      <c r="K846" t="s">
        <v>33</v>
      </c>
      <c r="L846" t="s">
        <v>34</v>
      </c>
      <c r="M846" t="s">
        <v>36</v>
      </c>
      <c r="Q846" s="1"/>
    </row>
    <row r="847" spans="1:17" x14ac:dyDescent="0.3">
      <c r="A847">
        <v>27</v>
      </c>
      <c r="B847">
        <v>11</v>
      </c>
      <c r="C847" s="11">
        <v>46026</v>
      </c>
      <c r="D847" t="s">
        <v>13</v>
      </c>
      <c r="E847">
        <v>4000</v>
      </c>
      <c r="F847" s="11">
        <v>46237</v>
      </c>
      <c r="G847" t="s">
        <v>76</v>
      </c>
      <c r="H847" t="s">
        <v>26</v>
      </c>
      <c r="I847">
        <v>4000</v>
      </c>
      <c r="J847" t="s">
        <v>16</v>
      </c>
      <c r="K847" t="s">
        <v>17</v>
      </c>
      <c r="L847" t="s">
        <v>18</v>
      </c>
      <c r="M847" t="s">
        <v>30</v>
      </c>
      <c r="Q847" s="1"/>
    </row>
    <row r="848" spans="1:17" x14ac:dyDescent="0.3">
      <c r="A848">
        <v>9</v>
      </c>
      <c r="B848">
        <v>3</v>
      </c>
      <c r="C848" s="11">
        <v>46056</v>
      </c>
      <c r="D848" t="s">
        <v>20</v>
      </c>
      <c r="E848">
        <v>400</v>
      </c>
      <c r="F848" s="11">
        <v>46267</v>
      </c>
      <c r="G848" t="s">
        <v>62</v>
      </c>
      <c r="H848" t="s">
        <v>22</v>
      </c>
      <c r="I848">
        <v>800</v>
      </c>
      <c r="J848" t="s">
        <v>16</v>
      </c>
      <c r="K848" t="s">
        <v>29</v>
      </c>
      <c r="L848" t="s">
        <v>18</v>
      </c>
      <c r="M848" t="s">
        <v>90</v>
      </c>
      <c r="Q848" s="1"/>
    </row>
    <row r="849" spans="1:17" x14ac:dyDescent="0.3">
      <c r="A849">
        <v>48</v>
      </c>
      <c r="B849">
        <v>19</v>
      </c>
      <c r="C849" s="11">
        <v>46269</v>
      </c>
      <c r="D849" t="s">
        <v>13</v>
      </c>
      <c r="E849">
        <v>10000</v>
      </c>
      <c r="F849" s="11">
        <v>46177</v>
      </c>
      <c r="G849" t="s">
        <v>80</v>
      </c>
      <c r="H849" t="s">
        <v>19</v>
      </c>
      <c r="I849">
        <v>9000</v>
      </c>
      <c r="J849" t="s">
        <v>23</v>
      </c>
      <c r="K849" t="s">
        <v>17</v>
      </c>
      <c r="L849" t="s">
        <v>25</v>
      </c>
      <c r="M849" t="s">
        <v>40</v>
      </c>
      <c r="Q849" s="1"/>
    </row>
    <row r="850" spans="1:17" x14ac:dyDescent="0.3">
      <c r="A850">
        <v>6</v>
      </c>
      <c r="B850">
        <v>1</v>
      </c>
      <c r="C850" s="11">
        <v>46144</v>
      </c>
      <c r="D850" t="s">
        <v>20</v>
      </c>
      <c r="E850">
        <v>200</v>
      </c>
      <c r="F850" s="11">
        <v>46055</v>
      </c>
      <c r="G850" t="s">
        <v>35</v>
      </c>
      <c r="H850" t="s">
        <v>112</v>
      </c>
      <c r="I850">
        <v>600</v>
      </c>
      <c r="J850" t="s">
        <v>16</v>
      </c>
      <c r="K850" t="s">
        <v>29</v>
      </c>
      <c r="L850" t="s">
        <v>18</v>
      </c>
      <c r="M850" t="s">
        <v>43</v>
      </c>
      <c r="Q850" s="1"/>
    </row>
    <row r="851" spans="1:17" x14ac:dyDescent="0.3">
      <c r="A851">
        <v>34</v>
      </c>
      <c r="B851">
        <v>14</v>
      </c>
      <c r="C851" s="11">
        <v>46146</v>
      </c>
      <c r="D851" t="s">
        <v>13</v>
      </c>
      <c r="E851">
        <v>8000</v>
      </c>
      <c r="F851" s="11">
        <v>46238</v>
      </c>
      <c r="G851" t="s">
        <v>73</v>
      </c>
      <c r="H851" t="s">
        <v>19</v>
      </c>
      <c r="I851">
        <v>9000</v>
      </c>
      <c r="J851" t="s">
        <v>23</v>
      </c>
      <c r="K851" t="s">
        <v>17</v>
      </c>
      <c r="L851" t="s">
        <v>25</v>
      </c>
      <c r="M851" t="s">
        <v>40</v>
      </c>
      <c r="Q851" s="1"/>
    </row>
    <row r="852" spans="1:17" x14ac:dyDescent="0.3">
      <c r="A852">
        <v>10</v>
      </c>
      <c r="B852">
        <v>4</v>
      </c>
      <c r="C852" s="11">
        <v>46084</v>
      </c>
      <c r="D852" t="s">
        <v>20</v>
      </c>
      <c r="E852">
        <v>500</v>
      </c>
      <c r="F852" s="11">
        <v>46236</v>
      </c>
      <c r="G852" t="s">
        <v>62</v>
      </c>
      <c r="H852" t="s">
        <v>54</v>
      </c>
      <c r="I852">
        <v>900</v>
      </c>
      <c r="J852" t="s">
        <v>16</v>
      </c>
      <c r="K852" t="s">
        <v>29</v>
      </c>
      <c r="L852" t="s">
        <v>18</v>
      </c>
      <c r="M852" t="s">
        <v>61</v>
      </c>
      <c r="Q852" s="1"/>
    </row>
    <row r="853" spans="1:17" x14ac:dyDescent="0.3">
      <c r="A853">
        <v>45</v>
      </c>
      <c r="B853">
        <v>18</v>
      </c>
      <c r="C853" s="11">
        <v>46238</v>
      </c>
      <c r="D853" t="s">
        <v>13</v>
      </c>
      <c r="E853">
        <v>9000</v>
      </c>
      <c r="F853" s="11">
        <v>46269</v>
      </c>
      <c r="G853" t="s">
        <v>80</v>
      </c>
      <c r="H853" t="s">
        <v>19</v>
      </c>
      <c r="I853">
        <v>10000</v>
      </c>
      <c r="J853" t="s">
        <v>23</v>
      </c>
      <c r="K853" t="s">
        <v>17</v>
      </c>
      <c r="L853" t="s">
        <v>25</v>
      </c>
      <c r="M853" t="s">
        <v>40</v>
      </c>
      <c r="Q853" s="1"/>
    </row>
    <row r="854" spans="1:17" x14ac:dyDescent="0.3">
      <c r="A854">
        <v>8</v>
      </c>
      <c r="B854">
        <v>2</v>
      </c>
      <c r="C854" s="11">
        <v>46236</v>
      </c>
      <c r="D854" t="s">
        <v>20</v>
      </c>
      <c r="E854">
        <v>200</v>
      </c>
      <c r="F854" s="11">
        <v>46024</v>
      </c>
      <c r="G854" t="s">
        <v>48</v>
      </c>
      <c r="H854" t="s">
        <v>38</v>
      </c>
      <c r="I854">
        <v>300</v>
      </c>
      <c r="J854" t="s">
        <v>16</v>
      </c>
      <c r="K854" t="s">
        <v>29</v>
      </c>
      <c r="L854" t="s">
        <v>18</v>
      </c>
      <c r="M854" t="s">
        <v>113</v>
      </c>
      <c r="Q854" s="1"/>
    </row>
    <row r="855" spans="1:17" x14ac:dyDescent="0.3">
      <c r="A855">
        <v>33</v>
      </c>
      <c r="B855">
        <v>13</v>
      </c>
      <c r="C855" s="11">
        <v>46116</v>
      </c>
      <c r="D855" t="s">
        <v>13</v>
      </c>
      <c r="E855">
        <v>5000</v>
      </c>
      <c r="F855" s="11">
        <v>46146</v>
      </c>
      <c r="G855" t="s">
        <v>80</v>
      </c>
      <c r="H855" t="s">
        <v>30</v>
      </c>
      <c r="I855">
        <v>6000</v>
      </c>
      <c r="J855" t="s">
        <v>16</v>
      </c>
      <c r="K855" t="s">
        <v>24</v>
      </c>
      <c r="L855" t="s">
        <v>25</v>
      </c>
      <c r="M855" t="s">
        <v>15</v>
      </c>
      <c r="Q855" s="1"/>
    </row>
    <row r="856" spans="1:17" x14ac:dyDescent="0.3">
      <c r="A856">
        <v>12</v>
      </c>
      <c r="B856">
        <v>5</v>
      </c>
      <c r="C856" s="11">
        <v>46115</v>
      </c>
      <c r="D856" t="s">
        <v>20</v>
      </c>
      <c r="E856">
        <v>600</v>
      </c>
      <c r="F856" s="11">
        <v>46025</v>
      </c>
      <c r="G856" t="s">
        <v>42</v>
      </c>
      <c r="H856" t="s">
        <v>45</v>
      </c>
      <c r="I856">
        <v>1000</v>
      </c>
      <c r="J856" t="s">
        <v>16</v>
      </c>
      <c r="K856" t="s">
        <v>29</v>
      </c>
      <c r="L856" t="s">
        <v>18</v>
      </c>
      <c r="M856" t="s">
        <v>63</v>
      </c>
      <c r="Q856" s="1"/>
    </row>
    <row r="857" spans="1:17" x14ac:dyDescent="0.3">
      <c r="A857">
        <v>50</v>
      </c>
      <c r="B857">
        <v>20</v>
      </c>
      <c r="C857" s="11" t="s">
        <v>81</v>
      </c>
      <c r="D857" t="s">
        <v>13</v>
      </c>
      <c r="E857">
        <v>10000</v>
      </c>
      <c r="F857" s="11">
        <v>46238</v>
      </c>
      <c r="G857" t="s">
        <v>53</v>
      </c>
      <c r="H857" t="s">
        <v>41</v>
      </c>
      <c r="I857">
        <v>10000</v>
      </c>
      <c r="J857" t="s">
        <v>23</v>
      </c>
      <c r="K857" t="s">
        <v>17</v>
      </c>
      <c r="L857" t="s">
        <v>25</v>
      </c>
      <c r="M857" t="s">
        <v>41</v>
      </c>
      <c r="Q857" s="1"/>
    </row>
    <row r="858" spans="1:17" x14ac:dyDescent="0.3">
      <c r="A858">
        <v>21</v>
      </c>
      <c r="B858">
        <v>9</v>
      </c>
      <c r="C858" s="11">
        <v>46268</v>
      </c>
      <c r="D858" t="s">
        <v>20</v>
      </c>
      <c r="E858">
        <v>800</v>
      </c>
      <c r="F858" s="11">
        <v>46176</v>
      </c>
      <c r="G858" t="s">
        <v>72</v>
      </c>
      <c r="H858" t="s">
        <v>67</v>
      </c>
      <c r="I858">
        <v>600</v>
      </c>
      <c r="J858" t="s">
        <v>16</v>
      </c>
      <c r="K858" t="s">
        <v>29</v>
      </c>
      <c r="L858" t="s">
        <v>18</v>
      </c>
      <c r="M858" t="s">
        <v>91</v>
      </c>
      <c r="Q858" s="1"/>
    </row>
    <row r="859" spans="1:17" x14ac:dyDescent="0.3">
      <c r="A859">
        <v>49</v>
      </c>
      <c r="B859">
        <v>19</v>
      </c>
      <c r="C859" s="11">
        <v>46269</v>
      </c>
      <c r="D859" t="s">
        <v>13</v>
      </c>
      <c r="E859">
        <v>10000</v>
      </c>
      <c r="F859" s="11">
        <v>46238</v>
      </c>
      <c r="G859" t="s">
        <v>65</v>
      </c>
      <c r="H859" t="s">
        <v>19</v>
      </c>
      <c r="I859">
        <v>9000</v>
      </c>
      <c r="J859" t="s">
        <v>23</v>
      </c>
      <c r="K859" t="s">
        <v>24</v>
      </c>
      <c r="L859" t="s">
        <v>25</v>
      </c>
      <c r="M859" t="s">
        <v>40</v>
      </c>
      <c r="Q859" s="1"/>
    </row>
    <row r="860" spans="1:17" x14ac:dyDescent="0.3">
      <c r="A860">
        <v>14</v>
      </c>
      <c r="B860">
        <v>6</v>
      </c>
      <c r="C860" s="11">
        <v>46145</v>
      </c>
      <c r="D860" t="s">
        <v>20</v>
      </c>
      <c r="E860">
        <v>700</v>
      </c>
      <c r="F860" s="11">
        <v>46056</v>
      </c>
      <c r="G860" t="s">
        <v>42</v>
      </c>
      <c r="H860" t="s">
        <v>22</v>
      </c>
      <c r="I860">
        <v>900</v>
      </c>
      <c r="J860" t="s">
        <v>16</v>
      </c>
      <c r="K860" t="s">
        <v>29</v>
      </c>
      <c r="L860" t="s">
        <v>18</v>
      </c>
      <c r="M860" t="s">
        <v>63</v>
      </c>
      <c r="Q860" s="1"/>
    </row>
    <row r="861" spans="1:17" x14ac:dyDescent="0.3">
      <c r="A861">
        <v>36</v>
      </c>
      <c r="B861">
        <v>15</v>
      </c>
      <c r="C861" s="11">
        <v>46146</v>
      </c>
      <c r="D861" t="s">
        <v>13</v>
      </c>
      <c r="E861">
        <v>6000</v>
      </c>
      <c r="F861" s="11">
        <v>46207</v>
      </c>
      <c r="G861" t="s">
        <v>69</v>
      </c>
      <c r="H861" t="s">
        <v>15</v>
      </c>
      <c r="I861">
        <v>5000</v>
      </c>
      <c r="J861" t="s">
        <v>23</v>
      </c>
      <c r="K861" t="s">
        <v>17</v>
      </c>
      <c r="L861" t="s">
        <v>25</v>
      </c>
      <c r="M861" t="s">
        <v>49</v>
      </c>
      <c r="Q861" s="1"/>
    </row>
    <row r="862" spans="1:17" x14ac:dyDescent="0.3">
      <c r="A862">
        <v>17</v>
      </c>
      <c r="B862">
        <v>8</v>
      </c>
      <c r="C862" s="11">
        <v>46206</v>
      </c>
      <c r="D862" t="s">
        <v>20</v>
      </c>
      <c r="E862">
        <v>900</v>
      </c>
      <c r="F862" s="11">
        <v>46115</v>
      </c>
      <c r="G862" t="s">
        <v>75</v>
      </c>
      <c r="H862" t="s">
        <v>58</v>
      </c>
      <c r="I862">
        <v>1200</v>
      </c>
      <c r="J862" t="s">
        <v>16</v>
      </c>
      <c r="K862" t="s">
        <v>29</v>
      </c>
      <c r="L862" t="s">
        <v>18</v>
      </c>
      <c r="M862" t="s">
        <v>28</v>
      </c>
      <c r="Q862" s="1"/>
    </row>
    <row r="863" spans="1:17" x14ac:dyDescent="0.3">
      <c r="A863">
        <v>43</v>
      </c>
      <c r="B863">
        <v>17</v>
      </c>
      <c r="C863" s="11">
        <v>46238</v>
      </c>
      <c r="D863" t="s">
        <v>13</v>
      </c>
      <c r="E863">
        <v>8000</v>
      </c>
      <c r="F863" s="11">
        <v>46207</v>
      </c>
      <c r="G863" t="s">
        <v>65</v>
      </c>
      <c r="H863" t="s">
        <v>19</v>
      </c>
      <c r="I863">
        <v>8000</v>
      </c>
      <c r="J863" t="s">
        <v>23</v>
      </c>
      <c r="K863" t="s">
        <v>17</v>
      </c>
      <c r="L863" t="s">
        <v>25</v>
      </c>
      <c r="M863" t="s">
        <v>40</v>
      </c>
      <c r="Q863" s="1"/>
    </row>
    <row r="864" spans="1:17" x14ac:dyDescent="0.3">
      <c r="A864">
        <v>19</v>
      </c>
      <c r="B864">
        <v>7</v>
      </c>
      <c r="C864" s="11">
        <v>46237</v>
      </c>
      <c r="D864" t="s">
        <v>20</v>
      </c>
      <c r="E864">
        <v>700</v>
      </c>
      <c r="F864" s="11">
        <v>46145</v>
      </c>
      <c r="G864" t="s">
        <v>95</v>
      </c>
      <c r="H864" t="s">
        <v>45</v>
      </c>
      <c r="I864">
        <v>700</v>
      </c>
      <c r="J864" t="s">
        <v>16</v>
      </c>
      <c r="K864" t="s">
        <v>29</v>
      </c>
      <c r="L864" t="s">
        <v>18</v>
      </c>
      <c r="M864" t="s">
        <v>91</v>
      </c>
      <c r="Q864" s="1"/>
    </row>
    <row r="865" spans="1:17" x14ac:dyDescent="0.3">
      <c r="A865">
        <v>35</v>
      </c>
      <c r="B865">
        <v>14</v>
      </c>
      <c r="C865" s="11">
        <v>46177</v>
      </c>
      <c r="D865" t="s">
        <v>13</v>
      </c>
      <c r="E865">
        <v>7000</v>
      </c>
      <c r="F865" s="11">
        <v>46269</v>
      </c>
      <c r="G865" t="s">
        <v>74</v>
      </c>
      <c r="H865" t="s">
        <v>40</v>
      </c>
      <c r="I865">
        <v>10000</v>
      </c>
      <c r="J865" t="s">
        <v>23</v>
      </c>
      <c r="K865" t="s">
        <v>17</v>
      </c>
      <c r="L865" t="s">
        <v>25</v>
      </c>
      <c r="M865" t="s">
        <v>19</v>
      </c>
      <c r="Q865" s="1"/>
    </row>
    <row r="866" spans="1:17" x14ac:dyDescent="0.3">
      <c r="A866">
        <v>20</v>
      </c>
      <c r="B866">
        <v>8</v>
      </c>
      <c r="C866" s="11">
        <v>46237</v>
      </c>
      <c r="D866" t="s">
        <v>20</v>
      </c>
      <c r="E866">
        <v>800</v>
      </c>
      <c r="F866" s="11">
        <v>46145</v>
      </c>
      <c r="G866" t="s">
        <v>95</v>
      </c>
      <c r="H866" t="s">
        <v>58</v>
      </c>
      <c r="I866">
        <v>800</v>
      </c>
      <c r="J866" t="s">
        <v>16</v>
      </c>
      <c r="K866" t="s">
        <v>29</v>
      </c>
      <c r="L866" t="s">
        <v>18</v>
      </c>
      <c r="M866" t="s">
        <v>28</v>
      </c>
      <c r="Q866" s="1"/>
    </row>
    <row r="867" spans="1:17" x14ac:dyDescent="0.3">
      <c r="A867">
        <v>47</v>
      </c>
      <c r="B867">
        <v>19</v>
      </c>
      <c r="C867" s="11">
        <v>46269</v>
      </c>
      <c r="D867" t="s">
        <v>13</v>
      </c>
      <c r="E867">
        <v>10000</v>
      </c>
      <c r="F867" s="11">
        <v>46207</v>
      </c>
      <c r="G867" t="s">
        <v>65</v>
      </c>
      <c r="H867" t="s">
        <v>19</v>
      </c>
      <c r="I867">
        <v>9000</v>
      </c>
      <c r="J867" t="s">
        <v>23</v>
      </c>
      <c r="K867" t="s">
        <v>24</v>
      </c>
      <c r="L867" t="s">
        <v>25</v>
      </c>
      <c r="M867" t="s">
        <v>40</v>
      </c>
      <c r="Q867" s="1"/>
    </row>
    <row r="868" spans="1:17" x14ac:dyDescent="0.3">
      <c r="A868">
        <v>22</v>
      </c>
      <c r="B868">
        <v>10</v>
      </c>
      <c r="C868" s="11" t="s">
        <v>64</v>
      </c>
      <c r="D868" t="s">
        <v>20</v>
      </c>
      <c r="E868">
        <v>800</v>
      </c>
      <c r="F868" s="11">
        <v>46206</v>
      </c>
      <c r="G868" t="s">
        <v>72</v>
      </c>
      <c r="H868" t="s">
        <v>67</v>
      </c>
      <c r="I868">
        <v>700</v>
      </c>
      <c r="J868" t="s">
        <v>16</v>
      </c>
      <c r="K868" t="s">
        <v>29</v>
      </c>
      <c r="L868" t="s">
        <v>18</v>
      </c>
      <c r="M868" t="s">
        <v>28</v>
      </c>
      <c r="Q868" s="1"/>
    </row>
    <row r="869" spans="1:17" x14ac:dyDescent="0.3">
      <c r="A869">
        <v>40</v>
      </c>
      <c r="B869">
        <v>16</v>
      </c>
      <c r="C869" s="11">
        <v>46207</v>
      </c>
      <c r="D869" t="s">
        <v>13</v>
      </c>
      <c r="E869">
        <v>7000</v>
      </c>
      <c r="F869" s="11">
        <v>46238</v>
      </c>
      <c r="G869" t="s">
        <v>77</v>
      </c>
      <c r="H869" t="s">
        <v>49</v>
      </c>
      <c r="I869">
        <v>8000</v>
      </c>
      <c r="J869" t="s">
        <v>23</v>
      </c>
      <c r="K869" t="s">
        <v>24</v>
      </c>
      <c r="L869" t="s">
        <v>25</v>
      </c>
      <c r="M869" t="s">
        <v>19</v>
      </c>
      <c r="Q869" s="1"/>
    </row>
    <row r="870" spans="1:17" x14ac:dyDescent="0.3">
      <c r="A870">
        <v>25</v>
      </c>
      <c r="B870">
        <v>11</v>
      </c>
      <c r="C870" s="11">
        <v>46057</v>
      </c>
      <c r="D870" t="s">
        <v>20</v>
      </c>
      <c r="E870">
        <v>1000</v>
      </c>
      <c r="F870" s="11">
        <v>46237</v>
      </c>
      <c r="G870" t="s">
        <v>48</v>
      </c>
      <c r="H870" t="s">
        <v>67</v>
      </c>
      <c r="I870">
        <v>1500</v>
      </c>
      <c r="J870" t="s">
        <v>16</v>
      </c>
      <c r="K870" t="s">
        <v>29</v>
      </c>
      <c r="L870" t="s">
        <v>18</v>
      </c>
      <c r="M870" t="s">
        <v>28</v>
      </c>
      <c r="Q870" s="1"/>
    </row>
    <row r="871" spans="1:17" x14ac:dyDescent="0.3">
      <c r="A871">
        <v>42</v>
      </c>
      <c r="B871">
        <v>18</v>
      </c>
      <c r="C871" s="11">
        <v>46238</v>
      </c>
      <c r="D871" t="s">
        <v>13</v>
      </c>
      <c r="E871">
        <v>8000</v>
      </c>
      <c r="F871" s="11">
        <v>46177</v>
      </c>
      <c r="G871" t="s">
        <v>65</v>
      </c>
      <c r="H871" t="s">
        <v>19</v>
      </c>
      <c r="I871">
        <v>8000</v>
      </c>
      <c r="J871" t="s">
        <v>23</v>
      </c>
      <c r="K871" t="s">
        <v>24</v>
      </c>
      <c r="L871" t="s">
        <v>25</v>
      </c>
      <c r="M871" t="s">
        <v>40</v>
      </c>
      <c r="Q871" s="1"/>
    </row>
    <row r="872" spans="1:17" x14ac:dyDescent="0.3">
      <c r="A872">
        <v>7</v>
      </c>
      <c r="B872">
        <v>3</v>
      </c>
      <c r="C872" s="11">
        <v>46144</v>
      </c>
      <c r="D872" t="s">
        <v>20</v>
      </c>
      <c r="E872">
        <v>200</v>
      </c>
      <c r="F872" s="11">
        <v>46055</v>
      </c>
      <c r="G872" t="s">
        <v>35</v>
      </c>
      <c r="H872" t="s">
        <v>38</v>
      </c>
      <c r="I872">
        <v>600</v>
      </c>
      <c r="J872" t="s">
        <v>16</v>
      </c>
      <c r="K872" t="s">
        <v>29</v>
      </c>
      <c r="L872" t="s">
        <v>18</v>
      </c>
      <c r="M872" t="s">
        <v>43</v>
      </c>
      <c r="Q872" s="1"/>
    </row>
    <row r="873" spans="1:17" x14ac:dyDescent="0.3">
      <c r="A873">
        <v>27</v>
      </c>
      <c r="B873">
        <v>12</v>
      </c>
      <c r="C873" s="11">
        <v>46026</v>
      </c>
      <c r="D873" t="s">
        <v>13</v>
      </c>
      <c r="E873">
        <v>5000</v>
      </c>
      <c r="F873" s="11">
        <v>46085</v>
      </c>
      <c r="G873" t="s">
        <v>80</v>
      </c>
      <c r="H873" t="s">
        <v>63</v>
      </c>
      <c r="I873">
        <v>5000</v>
      </c>
      <c r="J873" t="s">
        <v>16</v>
      </c>
      <c r="K873" t="s">
        <v>24</v>
      </c>
      <c r="L873" t="s">
        <v>25</v>
      </c>
      <c r="M873" t="s">
        <v>15</v>
      </c>
      <c r="Q873" s="1"/>
    </row>
    <row r="874" spans="1:17" x14ac:dyDescent="0.3">
      <c r="A874">
        <v>44</v>
      </c>
      <c r="B874">
        <v>18</v>
      </c>
      <c r="C874" s="11">
        <v>46238</v>
      </c>
      <c r="D874" t="s">
        <v>13</v>
      </c>
      <c r="E874">
        <v>9000</v>
      </c>
      <c r="F874" s="11">
        <v>46207</v>
      </c>
      <c r="G874" t="s">
        <v>65</v>
      </c>
      <c r="H874" t="s">
        <v>19</v>
      </c>
      <c r="I874">
        <v>9000</v>
      </c>
      <c r="J874" t="s">
        <v>23</v>
      </c>
      <c r="K874" t="s">
        <v>17</v>
      </c>
      <c r="L874" t="s">
        <v>25</v>
      </c>
      <c r="M874" t="s">
        <v>40</v>
      </c>
      <c r="Q874" s="1"/>
    </row>
    <row r="875" spans="1:17" x14ac:dyDescent="0.3">
      <c r="A875">
        <v>3</v>
      </c>
      <c r="B875">
        <v>1</v>
      </c>
      <c r="C875" s="11">
        <v>46143</v>
      </c>
      <c r="D875" t="s">
        <v>20</v>
      </c>
      <c r="E875">
        <v>100</v>
      </c>
      <c r="F875" s="11">
        <v>46082</v>
      </c>
      <c r="G875" t="s">
        <v>39</v>
      </c>
      <c r="H875" t="s">
        <v>104</v>
      </c>
      <c r="I875">
        <v>100</v>
      </c>
      <c r="J875" t="s">
        <v>16</v>
      </c>
      <c r="K875" t="s">
        <v>33</v>
      </c>
      <c r="L875" t="s">
        <v>34</v>
      </c>
      <c r="M875" t="s">
        <v>108</v>
      </c>
      <c r="Q875" s="1"/>
    </row>
    <row r="876" spans="1:17" x14ac:dyDescent="0.3">
      <c r="A876">
        <v>29</v>
      </c>
      <c r="B876">
        <v>13</v>
      </c>
      <c r="C876" s="11">
        <v>46116</v>
      </c>
      <c r="D876" t="s">
        <v>13</v>
      </c>
      <c r="E876">
        <v>4000</v>
      </c>
      <c r="F876" s="11">
        <v>46026</v>
      </c>
      <c r="G876" t="s">
        <v>70</v>
      </c>
      <c r="H876" t="s">
        <v>61</v>
      </c>
      <c r="I876">
        <v>3000</v>
      </c>
      <c r="J876" t="s">
        <v>16</v>
      </c>
      <c r="K876" t="s">
        <v>24</v>
      </c>
      <c r="L876" t="s">
        <v>25</v>
      </c>
      <c r="M876" t="s">
        <v>30</v>
      </c>
      <c r="Q876" s="1"/>
    </row>
    <row r="877" spans="1:17" x14ac:dyDescent="0.3">
      <c r="A877">
        <v>16</v>
      </c>
      <c r="B877">
        <v>7</v>
      </c>
      <c r="C877" s="11">
        <v>46206</v>
      </c>
      <c r="D877" t="s">
        <v>20</v>
      </c>
      <c r="E877">
        <v>600</v>
      </c>
      <c r="F877" s="11">
        <v>46084</v>
      </c>
      <c r="G877" t="s">
        <v>60</v>
      </c>
      <c r="H877" t="s">
        <v>58</v>
      </c>
      <c r="I877">
        <v>1000</v>
      </c>
      <c r="J877" t="s">
        <v>16</v>
      </c>
      <c r="K877" t="s">
        <v>29</v>
      </c>
      <c r="L877" t="s">
        <v>18</v>
      </c>
      <c r="M877" t="s">
        <v>91</v>
      </c>
      <c r="Q877" s="1"/>
    </row>
    <row r="878" spans="1:17" x14ac:dyDescent="0.3">
      <c r="A878">
        <v>46</v>
      </c>
      <c r="B878">
        <v>19</v>
      </c>
      <c r="C878" s="11">
        <v>46269</v>
      </c>
      <c r="D878" t="s">
        <v>13</v>
      </c>
      <c r="E878">
        <v>10000</v>
      </c>
      <c r="F878" s="11">
        <v>46238</v>
      </c>
      <c r="G878" t="s">
        <v>80</v>
      </c>
      <c r="H878" t="s">
        <v>19</v>
      </c>
      <c r="I878">
        <v>9000</v>
      </c>
      <c r="J878" t="s">
        <v>23</v>
      </c>
      <c r="K878" t="s">
        <v>17</v>
      </c>
      <c r="L878" t="s">
        <v>25</v>
      </c>
      <c r="M878" t="s">
        <v>40</v>
      </c>
      <c r="Q878" s="1"/>
    </row>
    <row r="879" spans="1:17" x14ac:dyDescent="0.3">
      <c r="A879">
        <v>2</v>
      </c>
      <c r="B879">
        <v>0</v>
      </c>
      <c r="C879" s="11" t="s">
        <v>41</v>
      </c>
      <c r="D879" t="s">
        <v>20</v>
      </c>
      <c r="E879">
        <v>100</v>
      </c>
      <c r="F879" s="11">
        <v>46023</v>
      </c>
      <c r="G879" t="s">
        <v>47</v>
      </c>
      <c r="H879" t="s">
        <v>106</v>
      </c>
      <c r="I879">
        <v>100</v>
      </c>
      <c r="J879" t="s">
        <v>16</v>
      </c>
      <c r="K879" t="s">
        <v>33</v>
      </c>
      <c r="L879" t="s">
        <v>34</v>
      </c>
      <c r="M879" t="s">
        <v>36</v>
      </c>
      <c r="Q879" s="1"/>
    </row>
    <row r="880" spans="1:17" x14ac:dyDescent="0.3">
      <c r="A880">
        <v>30</v>
      </c>
      <c r="B880">
        <v>13</v>
      </c>
      <c r="C880" s="11">
        <v>46146</v>
      </c>
      <c r="D880" t="s">
        <v>13</v>
      </c>
      <c r="E880">
        <v>5000</v>
      </c>
      <c r="F880" s="11">
        <v>46177</v>
      </c>
      <c r="G880" t="s">
        <v>80</v>
      </c>
      <c r="H880" t="s">
        <v>28</v>
      </c>
      <c r="I880">
        <v>6000</v>
      </c>
      <c r="J880" t="s">
        <v>16</v>
      </c>
      <c r="K880" t="s">
        <v>24</v>
      </c>
      <c r="L880" t="s">
        <v>25</v>
      </c>
      <c r="M880" t="s">
        <v>49</v>
      </c>
      <c r="Q880" s="1"/>
    </row>
    <row r="881" spans="1:17" x14ac:dyDescent="0.3">
      <c r="A881">
        <v>13</v>
      </c>
      <c r="B881">
        <v>6</v>
      </c>
      <c r="C881" s="11">
        <v>46176</v>
      </c>
      <c r="D881" t="s">
        <v>20</v>
      </c>
      <c r="E881">
        <v>800</v>
      </c>
      <c r="F881" s="11">
        <v>46115</v>
      </c>
      <c r="G881" t="s">
        <v>42</v>
      </c>
      <c r="H881" t="s">
        <v>22</v>
      </c>
      <c r="I881">
        <v>1100</v>
      </c>
      <c r="J881" t="s">
        <v>16</v>
      </c>
      <c r="K881" t="s">
        <v>29</v>
      </c>
      <c r="L881" t="s">
        <v>18</v>
      </c>
      <c r="M881" t="s">
        <v>91</v>
      </c>
      <c r="Q881" s="1"/>
    </row>
    <row r="882" spans="1:17" x14ac:dyDescent="0.3">
      <c r="A882">
        <v>45</v>
      </c>
      <c r="B882">
        <v>19</v>
      </c>
      <c r="C882" s="11">
        <v>46269</v>
      </c>
      <c r="D882" t="s">
        <v>13</v>
      </c>
      <c r="E882">
        <v>10000</v>
      </c>
      <c r="F882" s="11">
        <v>46238</v>
      </c>
      <c r="G882" t="s">
        <v>65</v>
      </c>
      <c r="H882" t="s">
        <v>19</v>
      </c>
      <c r="I882">
        <v>10000</v>
      </c>
      <c r="J882" t="s">
        <v>23</v>
      </c>
      <c r="K882" t="s">
        <v>24</v>
      </c>
      <c r="L882" t="s">
        <v>25</v>
      </c>
      <c r="M882" t="s">
        <v>40</v>
      </c>
      <c r="Q882" s="1"/>
    </row>
    <row r="883" spans="1:17" x14ac:dyDescent="0.3">
      <c r="A883">
        <v>8</v>
      </c>
      <c r="B883">
        <v>3</v>
      </c>
      <c r="C883" s="11" t="s">
        <v>52</v>
      </c>
      <c r="D883" t="s">
        <v>20</v>
      </c>
      <c r="E883">
        <v>300</v>
      </c>
      <c r="F883" s="11">
        <v>46144</v>
      </c>
      <c r="G883" t="s">
        <v>48</v>
      </c>
      <c r="H883" t="s">
        <v>112</v>
      </c>
      <c r="I883">
        <v>400</v>
      </c>
      <c r="J883" t="s">
        <v>16</v>
      </c>
      <c r="K883" t="s">
        <v>29</v>
      </c>
      <c r="L883" t="s">
        <v>18</v>
      </c>
      <c r="M883" t="s">
        <v>101</v>
      </c>
      <c r="Q883" s="1"/>
    </row>
    <row r="884" spans="1:17" x14ac:dyDescent="0.3">
      <c r="A884">
        <v>33</v>
      </c>
      <c r="B884">
        <v>14</v>
      </c>
      <c r="C884" s="11">
        <v>46116</v>
      </c>
      <c r="D884" t="s">
        <v>13</v>
      </c>
      <c r="E884">
        <v>6000</v>
      </c>
      <c r="F884" s="11">
        <v>46207</v>
      </c>
      <c r="G884" t="s">
        <v>69</v>
      </c>
      <c r="H884" t="s">
        <v>30</v>
      </c>
      <c r="I884">
        <v>5000</v>
      </c>
      <c r="J884" t="s">
        <v>23</v>
      </c>
      <c r="K884" t="s">
        <v>17</v>
      </c>
      <c r="L884" t="s">
        <v>25</v>
      </c>
      <c r="M884" t="s">
        <v>49</v>
      </c>
      <c r="Q884" s="1"/>
    </row>
    <row r="885" spans="1:17" x14ac:dyDescent="0.3">
      <c r="A885">
        <v>11</v>
      </c>
      <c r="B885">
        <v>5</v>
      </c>
      <c r="C885" s="11">
        <v>46115</v>
      </c>
      <c r="D885" t="s">
        <v>20</v>
      </c>
      <c r="E885">
        <v>600</v>
      </c>
      <c r="F885" s="11" t="s">
        <v>52</v>
      </c>
      <c r="G885" t="s">
        <v>42</v>
      </c>
      <c r="H885" t="s">
        <v>54</v>
      </c>
      <c r="I885">
        <v>1100</v>
      </c>
      <c r="J885" t="s">
        <v>16</v>
      </c>
      <c r="K885" t="s">
        <v>29</v>
      </c>
      <c r="L885" t="s">
        <v>18</v>
      </c>
      <c r="M885" t="s">
        <v>63</v>
      </c>
      <c r="Q885" s="1"/>
    </row>
    <row r="886" spans="1:17" x14ac:dyDescent="0.3">
      <c r="A886">
        <v>48</v>
      </c>
      <c r="B886">
        <v>20</v>
      </c>
      <c r="C886" s="11" t="s">
        <v>81</v>
      </c>
      <c r="D886" t="s">
        <v>13</v>
      </c>
      <c r="E886">
        <v>10000</v>
      </c>
      <c r="F886" s="11">
        <v>46269</v>
      </c>
      <c r="G886" t="s">
        <v>65</v>
      </c>
      <c r="H886" t="s">
        <v>40</v>
      </c>
      <c r="I886">
        <v>10000</v>
      </c>
      <c r="J886" t="s">
        <v>23</v>
      </c>
      <c r="K886" t="s">
        <v>17</v>
      </c>
      <c r="L886" t="s">
        <v>25</v>
      </c>
      <c r="M886" t="s">
        <v>41</v>
      </c>
      <c r="Q886" s="1"/>
    </row>
    <row r="887" spans="1:17" x14ac:dyDescent="0.3">
      <c r="A887">
        <v>4</v>
      </c>
      <c r="B887">
        <v>1</v>
      </c>
      <c r="C887" s="11" t="s">
        <v>56</v>
      </c>
      <c r="D887" t="s">
        <v>20</v>
      </c>
      <c r="E887">
        <v>200</v>
      </c>
      <c r="F887" s="11">
        <v>46266</v>
      </c>
      <c r="G887" t="s">
        <v>39</v>
      </c>
      <c r="H887" t="s">
        <v>104</v>
      </c>
      <c r="I887">
        <v>200</v>
      </c>
      <c r="J887" t="s">
        <v>16</v>
      </c>
      <c r="K887" t="s">
        <v>33</v>
      </c>
      <c r="L887" t="s">
        <v>34</v>
      </c>
      <c r="M887" t="s">
        <v>111</v>
      </c>
      <c r="Q887" s="1"/>
    </row>
    <row r="888" spans="1:17" x14ac:dyDescent="0.3">
      <c r="A888">
        <v>28</v>
      </c>
      <c r="B888">
        <v>12</v>
      </c>
      <c r="C888" s="11" t="s">
        <v>64</v>
      </c>
      <c r="D888" t="s">
        <v>13</v>
      </c>
      <c r="E888">
        <v>5000</v>
      </c>
      <c r="F888" s="11">
        <v>46237</v>
      </c>
      <c r="G888" t="s">
        <v>76</v>
      </c>
      <c r="H888" t="s">
        <v>43</v>
      </c>
      <c r="I888">
        <v>5000</v>
      </c>
      <c r="J888" t="s">
        <v>16</v>
      </c>
      <c r="K888" t="s">
        <v>24</v>
      </c>
      <c r="L888" t="s">
        <v>25</v>
      </c>
      <c r="M888" t="s">
        <v>51</v>
      </c>
      <c r="Q888" s="1"/>
    </row>
    <row r="889" spans="1:17" x14ac:dyDescent="0.3">
      <c r="A889">
        <v>14</v>
      </c>
      <c r="B889">
        <v>7</v>
      </c>
      <c r="C889" s="11">
        <v>46237</v>
      </c>
      <c r="D889" t="s">
        <v>20</v>
      </c>
      <c r="E889">
        <v>700</v>
      </c>
      <c r="F889" s="11">
        <v>46145</v>
      </c>
      <c r="G889" t="s">
        <v>42</v>
      </c>
      <c r="H889" t="s">
        <v>45</v>
      </c>
      <c r="I889">
        <v>1200</v>
      </c>
      <c r="J889" t="s">
        <v>16</v>
      </c>
      <c r="K889" t="s">
        <v>29</v>
      </c>
      <c r="L889" t="s">
        <v>18</v>
      </c>
      <c r="M889" t="s">
        <v>28</v>
      </c>
      <c r="Q889" s="1"/>
    </row>
    <row r="890" spans="1:17" x14ac:dyDescent="0.3">
      <c r="A890">
        <v>43</v>
      </c>
      <c r="B890">
        <v>18</v>
      </c>
      <c r="C890" s="11">
        <v>46238</v>
      </c>
      <c r="D890" t="s">
        <v>13</v>
      </c>
      <c r="E890">
        <v>9000</v>
      </c>
      <c r="F890" s="11">
        <v>46207</v>
      </c>
      <c r="G890" t="s">
        <v>65</v>
      </c>
      <c r="H890" t="s">
        <v>19</v>
      </c>
      <c r="I890">
        <v>9000</v>
      </c>
      <c r="J890" t="s">
        <v>23</v>
      </c>
      <c r="K890" t="s">
        <v>17</v>
      </c>
      <c r="L890" t="s">
        <v>25</v>
      </c>
      <c r="M890" t="s">
        <v>40</v>
      </c>
      <c r="Q890" s="1"/>
    </row>
    <row r="891" spans="1:17" x14ac:dyDescent="0.3">
      <c r="A891">
        <v>9</v>
      </c>
      <c r="B891">
        <v>4</v>
      </c>
      <c r="C891" s="11">
        <v>46056</v>
      </c>
      <c r="D891" t="s">
        <v>20</v>
      </c>
      <c r="E891">
        <v>400</v>
      </c>
      <c r="F891" s="11">
        <v>46205</v>
      </c>
      <c r="G891" t="s">
        <v>62</v>
      </c>
      <c r="H891" t="s">
        <v>54</v>
      </c>
      <c r="I891">
        <v>1000</v>
      </c>
      <c r="J891" t="s">
        <v>16</v>
      </c>
      <c r="K891" t="s">
        <v>29</v>
      </c>
      <c r="L891" t="s">
        <v>18</v>
      </c>
      <c r="M891" t="s">
        <v>61</v>
      </c>
      <c r="Q891" s="1"/>
    </row>
    <row r="892" spans="1:17" x14ac:dyDescent="0.3">
      <c r="A892">
        <v>34</v>
      </c>
      <c r="B892">
        <v>15</v>
      </c>
      <c r="C892" s="11">
        <v>46146</v>
      </c>
      <c r="D892" t="s">
        <v>13</v>
      </c>
      <c r="E892">
        <v>8000</v>
      </c>
      <c r="F892" s="11">
        <v>46269</v>
      </c>
      <c r="G892" t="s">
        <v>74</v>
      </c>
      <c r="H892" t="s">
        <v>40</v>
      </c>
      <c r="I892">
        <v>10000</v>
      </c>
      <c r="J892" t="s">
        <v>23</v>
      </c>
      <c r="K892" t="s">
        <v>17</v>
      </c>
      <c r="L892" t="s">
        <v>25</v>
      </c>
      <c r="M892" t="s">
        <v>19</v>
      </c>
      <c r="Q892" s="1"/>
    </row>
    <row r="893" spans="1:17" x14ac:dyDescent="0.3">
      <c r="A893">
        <v>12</v>
      </c>
      <c r="B893">
        <v>6</v>
      </c>
      <c r="C893" s="11">
        <v>46145</v>
      </c>
      <c r="D893" t="s">
        <v>20</v>
      </c>
      <c r="E893">
        <v>800</v>
      </c>
      <c r="F893" s="11">
        <v>46084</v>
      </c>
      <c r="G893" t="s">
        <v>42</v>
      </c>
      <c r="H893" t="s">
        <v>22</v>
      </c>
      <c r="I893">
        <v>1100</v>
      </c>
      <c r="J893" t="s">
        <v>16</v>
      </c>
      <c r="K893" t="s">
        <v>29</v>
      </c>
      <c r="L893" t="s">
        <v>18</v>
      </c>
      <c r="M893" t="s">
        <v>91</v>
      </c>
      <c r="Q893" s="1"/>
    </row>
    <row r="894" spans="1:17" x14ac:dyDescent="0.3">
      <c r="A894">
        <v>49</v>
      </c>
      <c r="B894">
        <v>20</v>
      </c>
      <c r="C894" s="11">
        <v>46269</v>
      </c>
      <c r="D894" t="s">
        <v>13</v>
      </c>
      <c r="E894">
        <v>10000</v>
      </c>
      <c r="F894" s="11">
        <v>46238</v>
      </c>
      <c r="G894" t="s">
        <v>65</v>
      </c>
      <c r="H894" t="s">
        <v>19</v>
      </c>
      <c r="I894">
        <v>10000</v>
      </c>
      <c r="J894" t="s">
        <v>23</v>
      </c>
      <c r="K894" t="s">
        <v>24</v>
      </c>
      <c r="L894" t="s">
        <v>25</v>
      </c>
      <c r="M894" t="s">
        <v>40</v>
      </c>
      <c r="Q894" s="1"/>
    </row>
    <row r="895" spans="1:17" x14ac:dyDescent="0.3">
      <c r="A895">
        <v>5</v>
      </c>
      <c r="B895">
        <v>2</v>
      </c>
      <c r="C895" s="11">
        <v>46083</v>
      </c>
      <c r="D895" t="s">
        <v>20</v>
      </c>
      <c r="E895">
        <v>200</v>
      </c>
      <c r="F895" s="11" t="s">
        <v>56</v>
      </c>
      <c r="G895" t="s">
        <v>48</v>
      </c>
      <c r="H895" t="s">
        <v>38</v>
      </c>
      <c r="I895">
        <v>500</v>
      </c>
      <c r="J895" t="s">
        <v>16</v>
      </c>
      <c r="K895" t="s">
        <v>29</v>
      </c>
      <c r="L895" t="s">
        <v>18</v>
      </c>
      <c r="M895" t="s">
        <v>43</v>
      </c>
      <c r="Q895" s="1"/>
    </row>
    <row r="896" spans="1:17" x14ac:dyDescent="0.3">
      <c r="A896">
        <v>31</v>
      </c>
      <c r="B896">
        <v>14</v>
      </c>
      <c r="C896" s="11">
        <v>46146</v>
      </c>
      <c r="D896" t="s">
        <v>13</v>
      </c>
      <c r="E896">
        <v>6000</v>
      </c>
      <c r="F896" s="11">
        <v>46207</v>
      </c>
      <c r="G896" t="s">
        <v>69</v>
      </c>
      <c r="H896" t="s">
        <v>51</v>
      </c>
      <c r="I896">
        <v>6000</v>
      </c>
      <c r="J896" t="s">
        <v>16</v>
      </c>
      <c r="K896" t="s">
        <v>24</v>
      </c>
      <c r="L896" t="s">
        <v>25</v>
      </c>
      <c r="M896" t="s">
        <v>49</v>
      </c>
      <c r="Q896" s="1"/>
    </row>
    <row r="897" spans="1:17" x14ac:dyDescent="0.3">
      <c r="A897">
        <v>15</v>
      </c>
      <c r="B897">
        <v>8</v>
      </c>
      <c r="C897" s="11">
        <v>46268</v>
      </c>
      <c r="D897" t="s">
        <v>20</v>
      </c>
      <c r="E897">
        <v>900</v>
      </c>
      <c r="F897" s="11">
        <v>46176</v>
      </c>
      <c r="G897" t="s">
        <v>75</v>
      </c>
      <c r="H897" t="s">
        <v>58</v>
      </c>
      <c r="I897">
        <v>1300</v>
      </c>
      <c r="J897" t="s">
        <v>16</v>
      </c>
      <c r="K897" t="s">
        <v>29</v>
      </c>
      <c r="L897" t="s">
        <v>18</v>
      </c>
      <c r="M897" t="s">
        <v>85</v>
      </c>
      <c r="Q897" s="1"/>
    </row>
    <row r="898" spans="1:17" x14ac:dyDescent="0.3">
      <c r="A898">
        <v>47</v>
      </c>
      <c r="B898">
        <v>19</v>
      </c>
      <c r="C898" s="11">
        <v>46269</v>
      </c>
      <c r="D898" t="s">
        <v>13</v>
      </c>
      <c r="E898">
        <v>10000</v>
      </c>
      <c r="F898" s="11">
        <v>46207</v>
      </c>
      <c r="G898" t="s">
        <v>65</v>
      </c>
      <c r="H898" t="s">
        <v>19</v>
      </c>
      <c r="I898">
        <v>9000</v>
      </c>
      <c r="J898" t="s">
        <v>23</v>
      </c>
      <c r="K898" t="s">
        <v>24</v>
      </c>
      <c r="L898" t="s">
        <v>25</v>
      </c>
      <c r="M898" t="s">
        <v>40</v>
      </c>
      <c r="Q898" s="1"/>
    </row>
    <row r="899" spans="1:17" x14ac:dyDescent="0.3">
      <c r="A899">
        <v>10</v>
      </c>
      <c r="B899">
        <v>5</v>
      </c>
      <c r="C899" s="11">
        <v>46084</v>
      </c>
      <c r="D899" t="s">
        <v>20</v>
      </c>
      <c r="E899">
        <v>600</v>
      </c>
      <c r="F899" s="11">
        <v>46025</v>
      </c>
      <c r="G899" t="s">
        <v>62</v>
      </c>
      <c r="H899" t="s">
        <v>22</v>
      </c>
      <c r="I899">
        <v>1100</v>
      </c>
      <c r="J899" t="s">
        <v>16</v>
      </c>
      <c r="K899" t="s">
        <v>29</v>
      </c>
      <c r="L899" t="s">
        <v>18</v>
      </c>
      <c r="M899" t="s">
        <v>63</v>
      </c>
      <c r="Q899" s="1"/>
    </row>
    <row r="900" spans="1:17" x14ac:dyDescent="0.3">
      <c r="A900">
        <v>36</v>
      </c>
      <c r="B900">
        <v>16</v>
      </c>
      <c r="C900" s="11">
        <v>46177</v>
      </c>
      <c r="D900" t="s">
        <v>13</v>
      </c>
      <c r="E900">
        <v>7000</v>
      </c>
      <c r="F900" s="11">
        <v>46238</v>
      </c>
      <c r="G900" t="s">
        <v>69</v>
      </c>
      <c r="H900" t="s">
        <v>15</v>
      </c>
      <c r="I900">
        <v>5000</v>
      </c>
      <c r="J900" t="s">
        <v>23</v>
      </c>
      <c r="K900" t="s">
        <v>17</v>
      </c>
      <c r="L900" t="s">
        <v>25</v>
      </c>
      <c r="M900" t="s">
        <v>49</v>
      </c>
      <c r="Q900" s="1"/>
    </row>
    <row r="901" spans="1:17" x14ac:dyDescent="0.3">
      <c r="A901">
        <v>17</v>
      </c>
      <c r="B901">
        <v>8</v>
      </c>
      <c r="C901" s="11">
        <v>46237</v>
      </c>
      <c r="D901" t="s">
        <v>20</v>
      </c>
      <c r="E901">
        <v>900</v>
      </c>
      <c r="F901" s="11">
        <v>46145</v>
      </c>
      <c r="G901" t="s">
        <v>75</v>
      </c>
      <c r="H901" t="s">
        <v>58</v>
      </c>
      <c r="I901">
        <v>1300</v>
      </c>
      <c r="J901" t="s">
        <v>16</v>
      </c>
      <c r="K901" t="s">
        <v>29</v>
      </c>
      <c r="L901" t="s">
        <v>18</v>
      </c>
      <c r="M901" t="s">
        <v>28</v>
      </c>
      <c r="Q901" s="1"/>
    </row>
    <row r="902" spans="1:17" x14ac:dyDescent="0.3">
      <c r="A902">
        <v>50</v>
      </c>
      <c r="B902">
        <v>20</v>
      </c>
      <c r="C902" s="11" t="s">
        <v>81</v>
      </c>
      <c r="D902" t="s">
        <v>13</v>
      </c>
      <c r="E902">
        <v>10000</v>
      </c>
      <c r="F902" s="11">
        <v>46269</v>
      </c>
      <c r="G902" t="s">
        <v>53</v>
      </c>
      <c r="H902" t="s">
        <v>41</v>
      </c>
      <c r="I902">
        <v>10000</v>
      </c>
      <c r="J902" t="s">
        <v>23</v>
      </c>
      <c r="K902" t="s">
        <v>17</v>
      </c>
      <c r="L902" t="s">
        <v>25</v>
      </c>
      <c r="M902" t="s">
        <v>41</v>
      </c>
      <c r="Q902" s="1"/>
    </row>
    <row r="903" spans="1:17" x14ac:dyDescent="0.3">
      <c r="A903">
        <v>32</v>
      </c>
      <c r="B903">
        <v>14</v>
      </c>
      <c r="C903" s="11">
        <v>46146</v>
      </c>
      <c r="D903" t="s">
        <v>13</v>
      </c>
      <c r="E903">
        <v>6000</v>
      </c>
      <c r="F903" s="11">
        <v>46238</v>
      </c>
      <c r="G903" t="s">
        <v>69</v>
      </c>
      <c r="H903" t="s">
        <v>15</v>
      </c>
      <c r="I903">
        <v>6000</v>
      </c>
      <c r="J903" t="s">
        <v>23</v>
      </c>
      <c r="K903" t="s">
        <v>17</v>
      </c>
      <c r="L903" t="s">
        <v>25</v>
      </c>
      <c r="M903" t="s">
        <v>19</v>
      </c>
      <c r="Q903" s="1"/>
    </row>
    <row r="904" spans="1:17" x14ac:dyDescent="0.3">
      <c r="A904">
        <v>18</v>
      </c>
      <c r="B904">
        <v>9</v>
      </c>
      <c r="C904" s="11" t="s">
        <v>64</v>
      </c>
      <c r="D904" t="s">
        <v>20</v>
      </c>
      <c r="E904">
        <v>1000</v>
      </c>
      <c r="F904" s="11">
        <v>46206</v>
      </c>
      <c r="G904" t="s">
        <v>95</v>
      </c>
      <c r="H904" t="s">
        <v>67</v>
      </c>
      <c r="I904">
        <v>800</v>
      </c>
      <c r="J904" t="s">
        <v>16</v>
      </c>
      <c r="K904" t="s">
        <v>29</v>
      </c>
      <c r="L904" t="s">
        <v>18</v>
      </c>
      <c r="M904" t="s">
        <v>28</v>
      </c>
      <c r="Q904" s="1"/>
    </row>
    <row r="905" spans="1:17" x14ac:dyDescent="0.3">
      <c r="A905">
        <v>37</v>
      </c>
      <c r="B905">
        <v>16</v>
      </c>
      <c r="C905" s="11">
        <v>46207</v>
      </c>
      <c r="D905" t="s">
        <v>13</v>
      </c>
      <c r="E905">
        <v>7000</v>
      </c>
      <c r="F905" s="11">
        <v>46238</v>
      </c>
      <c r="G905" t="s">
        <v>69</v>
      </c>
      <c r="H905" t="s">
        <v>49</v>
      </c>
      <c r="I905">
        <v>6000</v>
      </c>
      <c r="J905" t="s">
        <v>23</v>
      </c>
      <c r="K905" t="s">
        <v>17</v>
      </c>
      <c r="L905" t="s">
        <v>25</v>
      </c>
      <c r="M905" t="s">
        <v>19</v>
      </c>
      <c r="Q905" s="1"/>
    </row>
    <row r="906" spans="1:17" x14ac:dyDescent="0.3">
      <c r="A906">
        <v>19</v>
      </c>
      <c r="B906">
        <v>8</v>
      </c>
      <c r="C906" s="11">
        <v>46237</v>
      </c>
      <c r="D906" t="s">
        <v>20</v>
      </c>
      <c r="E906">
        <v>800</v>
      </c>
      <c r="F906" s="11">
        <v>46176</v>
      </c>
      <c r="G906" t="s">
        <v>95</v>
      </c>
      <c r="H906" t="s">
        <v>45</v>
      </c>
      <c r="I906">
        <v>700</v>
      </c>
      <c r="J906" t="s">
        <v>16</v>
      </c>
      <c r="K906" t="s">
        <v>29</v>
      </c>
      <c r="L906" t="s">
        <v>18</v>
      </c>
      <c r="M906" t="s">
        <v>91</v>
      </c>
      <c r="Q906" s="1"/>
    </row>
    <row r="907" spans="1:17" x14ac:dyDescent="0.3">
      <c r="A907">
        <v>38</v>
      </c>
      <c r="B907">
        <v>17</v>
      </c>
      <c r="C907" s="11">
        <v>46207</v>
      </c>
      <c r="D907" t="s">
        <v>13</v>
      </c>
      <c r="E907">
        <v>7000</v>
      </c>
      <c r="F907" s="11">
        <v>46238</v>
      </c>
      <c r="G907" t="s">
        <v>77</v>
      </c>
      <c r="H907" t="s">
        <v>19</v>
      </c>
      <c r="I907">
        <v>8000</v>
      </c>
      <c r="J907" t="s">
        <v>23</v>
      </c>
      <c r="K907" t="s">
        <v>24</v>
      </c>
      <c r="L907" t="s">
        <v>25</v>
      </c>
      <c r="M907" t="s">
        <v>40</v>
      </c>
      <c r="Q907" s="1"/>
    </row>
    <row r="908" spans="1:17" x14ac:dyDescent="0.3">
      <c r="A908">
        <v>6</v>
      </c>
      <c r="B908">
        <v>2</v>
      </c>
      <c r="C908" s="11">
        <v>46144</v>
      </c>
      <c r="D908" t="s">
        <v>20</v>
      </c>
      <c r="E908">
        <v>200</v>
      </c>
      <c r="F908" s="11">
        <v>46083</v>
      </c>
      <c r="G908" t="s">
        <v>35</v>
      </c>
      <c r="H908" t="s">
        <v>112</v>
      </c>
      <c r="I908">
        <v>600</v>
      </c>
      <c r="J908" t="s">
        <v>16</v>
      </c>
      <c r="K908" t="s">
        <v>29</v>
      </c>
      <c r="L908" t="s">
        <v>18</v>
      </c>
      <c r="M908" t="s">
        <v>43</v>
      </c>
      <c r="Q908" s="1"/>
    </row>
    <row r="909" spans="1:17" x14ac:dyDescent="0.3">
      <c r="A909">
        <v>35</v>
      </c>
      <c r="B909">
        <v>15</v>
      </c>
      <c r="C909" s="11">
        <v>46177</v>
      </c>
      <c r="D909" t="s">
        <v>13</v>
      </c>
      <c r="E909">
        <v>6000</v>
      </c>
      <c r="F909" s="11">
        <v>46269</v>
      </c>
      <c r="G909" t="s">
        <v>74</v>
      </c>
      <c r="H909" t="s">
        <v>40</v>
      </c>
      <c r="I909">
        <v>10000</v>
      </c>
      <c r="J909" t="s">
        <v>23</v>
      </c>
      <c r="K909" t="s">
        <v>17</v>
      </c>
      <c r="L909" t="s">
        <v>25</v>
      </c>
      <c r="M909" t="s">
        <v>19</v>
      </c>
      <c r="Q909" s="1"/>
    </row>
    <row r="910" spans="1:17" x14ac:dyDescent="0.3">
      <c r="A910">
        <v>21</v>
      </c>
      <c r="B910">
        <v>10</v>
      </c>
      <c r="C910" s="11">
        <v>46026</v>
      </c>
      <c r="D910" t="s">
        <v>20</v>
      </c>
      <c r="E910">
        <v>1000</v>
      </c>
      <c r="F910" s="11">
        <v>46237</v>
      </c>
      <c r="G910" t="s">
        <v>72</v>
      </c>
      <c r="H910" t="s">
        <v>67</v>
      </c>
      <c r="I910">
        <v>700</v>
      </c>
      <c r="J910" t="s">
        <v>16</v>
      </c>
      <c r="K910" t="s">
        <v>29</v>
      </c>
      <c r="L910" t="s">
        <v>18</v>
      </c>
      <c r="M910" t="s">
        <v>28</v>
      </c>
      <c r="Q910" s="1"/>
    </row>
    <row r="911" spans="1:17" x14ac:dyDescent="0.3">
      <c r="A911">
        <v>39</v>
      </c>
      <c r="B911">
        <v>17</v>
      </c>
      <c r="C911" s="11">
        <v>46238</v>
      </c>
      <c r="D911" t="s">
        <v>13</v>
      </c>
      <c r="E911">
        <v>8000</v>
      </c>
      <c r="F911" s="11">
        <v>46207</v>
      </c>
      <c r="G911" t="s">
        <v>65</v>
      </c>
      <c r="H911" t="s">
        <v>19</v>
      </c>
      <c r="I911">
        <v>8000</v>
      </c>
      <c r="J911" t="s">
        <v>23</v>
      </c>
      <c r="K911" t="s">
        <v>17</v>
      </c>
      <c r="L911" t="s">
        <v>25</v>
      </c>
      <c r="M911" t="s">
        <v>40</v>
      </c>
      <c r="Q911" s="1"/>
    </row>
    <row r="912" spans="1:17" x14ac:dyDescent="0.3">
      <c r="A912">
        <v>20</v>
      </c>
      <c r="B912">
        <v>9</v>
      </c>
      <c r="C912" s="11" t="s">
        <v>64</v>
      </c>
      <c r="D912" t="s">
        <v>20</v>
      </c>
      <c r="E912">
        <v>1000</v>
      </c>
      <c r="F912" s="11">
        <v>46206</v>
      </c>
      <c r="G912" t="s">
        <v>95</v>
      </c>
      <c r="H912" t="s">
        <v>58</v>
      </c>
      <c r="I912">
        <v>800</v>
      </c>
      <c r="J912" t="s">
        <v>16</v>
      </c>
      <c r="K912" t="s">
        <v>29</v>
      </c>
      <c r="L912" t="s">
        <v>18</v>
      </c>
      <c r="M912" t="s">
        <v>28</v>
      </c>
      <c r="Q912" s="1"/>
    </row>
    <row r="913" spans="1:17" x14ac:dyDescent="0.3">
      <c r="A913">
        <v>40</v>
      </c>
      <c r="B913">
        <v>17</v>
      </c>
      <c r="C913" s="11">
        <v>46238</v>
      </c>
      <c r="D913" t="s">
        <v>13</v>
      </c>
      <c r="E913">
        <v>7000</v>
      </c>
      <c r="F913" s="11">
        <v>46269</v>
      </c>
      <c r="G913" t="s">
        <v>74</v>
      </c>
      <c r="H913" t="s">
        <v>40</v>
      </c>
      <c r="I913">
        <v>10000</v>
      </c>
      <c r="J913" t="s">
        <v>23</v>
      </c>
      <c r="K913" t="s">
        <v>17</v>
      </c>
      <c r="L913" t="s">
        <v>25</v>
      </c>
      <c r="M913" t="s">
        <v>19</v>
      </c>
      <c r="Q913" s="1"/>
    </row>
    <row r="914" spans="1:17" x14ac:dyDescent="0.3">
      <c r="A914">
        <v>26</v>
      </c>
      <c r="B914">
        <v>12</v>
      </c>
      <c r="C914" s="11">
        <v>46057</v>
      </c>
      <c r="D914" t="s">
        <v>20</v>
      </c>
      <c r="E914">
        <v>1000</v>
      </c>
      <c r="F914" s="11">
        <v>46268</v>
      </c>
      <c r="G914" t="s">
        <v>48</v>
      </c>
      <c r="H914" t="s">
        <v>67</v>
      </c>
      <c r="I914">
        <v>1500</v>
      </c>
      <c r="J914" t="s">
        <v>16</v>
      </c>
      <c r="K914" t="s">
        <v>29</v>
      </c>
      <c r="L914" t="s">
        <v>18</v>
      </c>
      <c r="M914" t="s">
        <v>28</v>
      </c>
      <c r="Q914" s="1"/>
    </row>
    <row r="915" spans="1:17" x14ac:dyDescent="0.3">
      <c r="A915">
        <v>41</v>
      </c>
      <c r="B915">
        <v>18</v>
      </c>
      <c r="C915" s="11">
        <v>46238</v>
      </c>
      <c r="D915" t="s">
        <v>13</v>
      </c>
      <c r="E915">
        <v>8000</v>
      </c>
      <c r="F915" s="11">
        <v>46207</v>
      </c>
      <c r="G915" t="s">
        <v>65</v>
      </c>
      <c r="H915" t="s">
        <v>19</v>
      </c>
      <c r="I915">
        <v>8000</v>
      </c>
      <c r="J915" t="s">
        <v>23</v>
      </c>
      <c r="K915" t="s">
        <v>24</v>
      </c>
      <c r="L915" t="s">
        <v>25</v>
      </c>
      <c r="M915" t="s">
        <v>40</v>
      </c>
      <c r="Q915" s="1"/>
    </row>
    <row r="916" spans="1:17" x14ac:dyDescent="0.3">
      <c r="A916">
        <v>8</v>
      </c>
      <c r="B916">
        <v>4</v>
      </c>
      <c r="C916" s="11" t="s">
        <v>52</v>
      </c>
      <c r="D916" t="s">
        <v>20</v>
      </c>
      <c r="E916">
        <v>300</v>
      </c>
      <c r="F916" s="11">
        <v>46175</v>
      </c>
      <c r="G916" t="s">
        <v>48</v>
      </c>
      <c r="H916" t="s">
        <v>112</v>
      </c>
      <c r="I916">
        <v>400</v>
      </c>
      <c r="J916" t="s">
        <v>16</v>
      </c>
      <c r="K916" t="s">
        <v>29</v>
      </c>
      <c r="L916" t="s">
        <v>18</v>
      </c>
      <c r="M916" t="s">
        <v>101</v>
      </c>
      <c r="Q916" s="1"/>
    </row>
    <row r="917" spans="1:17" x14ac:dyDescent="0.3">
      <c r="A917">
        <v>34</v>
      </c>
      <c r="B917">
        <v>15</v>
      </c>
      <c r="C917" s="11">
        <v>46116</v>
      </c>
      <c r="D917" t="s">
        <v>13</v>
      </c>
      <c r="E917">
        <v>6000</v>
      </c>
      <c r="F917" s="11">
        <v>46207</v>
      </c>
      <c r="G917" t="s">
        <v>69</v>
      </c>
      <c r="H917" t="s">
        <v>51</v>
      </c>
      <c r="I917">
        <v>5000</v>
      </c>
      <c r="J917" t="s">
        <v>23</v>
      </c>
      <c r="K917" t="s">
        <v>17</v>
      </c>
      <c r="L917" t="s">
        <v>25</v>
      </c>
      <c r="M917" t="s">
        <v>49</v>
      </c>
      <c r="Q917" s="1"/>
    </row>
    <row r="918" spans="1:17" x14ac:dyDescent="0.3">
      <c r="A918">
        <v>45</v>
      </c>
      <c r="B918">
        <v>19</v>
      </c>
      <c r="C918" s="11">
        <v>46269</v>
      </c>
      <c r="D918" t="s">
        <v>13</v>
      </c>
      <c r="E918">
        <v>10000</v>
      </c>
      <c r="F918" s="11">
        <v>46238</v>
      </c>
      <c r="G918" t="s">
        <v>65</v>
      </c>
      <c r="H918" t="s">
        <v>19</v>
      </c>
      <c r="I918">
        <v>10000</v>
      </c>
      <c r="J918" t="s">
        <v>23</v>
      </c>
      <c r="K918" t="s">
        <v>24</v>
      </c>
      <c r="L918" t="s">
        <v>25</v>
      </c>
      <c r="M918" t="s">
        <v>40</v>
      </c>
      <c r="Q918" s="1"/>
    </row>
    <row r="919" spans="1:17" x14ac:dyDescent="0.3">
      <c r="A919">
        <v>4</v>
      </c>
      <c r="B919">
        <v>2</v>
      </c>
      <c r="C919" s="11">
        <v>46055</v>
      </c>
      <c r="D919" t="s">
        <v>20</v>
      </c>
      <c r="E919">
        <v>200</v>
      </c>
      <c r="F919" s="11" t="s">
        <v>56</v>
      </c>
      <c r="G919" t="s">
        <v>39</v>
      </c>
      <c r="H919" t="s">
        <v>104</v>
      </c>
      <c r="I919">
        <v>300</v>
      </c>
      <c r="J919" t="s">
        <v>16</v>
      </c>
      <c r="K919" t="s">
        <v>33</v>
      </c>
      <c r="L919" t="s">
        <v>34</v>
      </c>
      <c r="M919" t="s">
        <v>108</v>
      </c>
      <c r="Q919" s="1"/>
    </row>
    <row r="920" spans="1:17" x14ac:dyDescent="0.3">
      <c r="A920">
        <v>30</v>
      </c>
      <c r="B920">
        <v>14</v>
      </c>
      <c r="C920" s="11">
        <v>46146</v>
      </c>
      <c r="D920" t="s">
        <v>13</v>
      </c>
      <c r="E920">
        <v>5000</v>
      </c>
      <c r="F920" s="11">
        <v>46177</v>
      </c>
      <c r="G920" t="s">
        <v>80</v>
      </c>
      <c r="H920" t="s">
        <v>30</v>
      </c>
      <c r="I920">
        <v>6000</v>
      </c>
      <c r="J920" t="s">
        <v>16</v>
      </c>
      <c r="K920" t="s">
        <v>24</v>
      </c>
      <c r="L920" t="s">
        <v>25</v>
      </c>
      <c r="M920" t="s">
        <v>49</v>
      </c>
      <c r="Q920" s="1"/>
    </row>
    <row r="921" spans="1:17" x14ac:dyDescent="0.3">
      <c r="A921">
        <v>17</v>
      </c>
      <c r="B921">
        <v>8</v>
      </c>
      <c r="C921" s="11">
        <v>46237</v>
      </c>
      <c r="D921" t="s">
        <v>20</v>
      </c>
      <c r="E921">
        <v>700</v>
      </c>
      <c r="F921" s="11">
        <v>46115</v>
      </c>
      <c r="G921" t="s">
        <v>75</v>
      </c>
      <c r="H921" t="s">
        <v>58</v>
      </c>
      <c r="I921">
        <v>1200</v>
      </c>
      <c r="J921" t="s">
        <v>16</v>
      </c>
      <c r="K921" t="s">
        <v>29</v>
      </c>
      <c r="L921" t="s">
        <v>18</v>
      </c>
      <c r="M921" t="s">
        <v>28</v>
      </c>
      <c r="Q921" s="1"/>
    </row>
    <row r="922" spans="1:17" x14ac:dyDescent="0.3">
      <c r="A922">
        <v>47</v>
      </c>
      <c r="B922">
        <v>20</v>
      </c>
      <c r="C922" s="11" t="s">
        <v>81</v>
      </c>
      <c r="D922" t="s">
        <v>13</v>
      </c>
      <c r="E922">
        <v>10000</v>
      </c>
      <c r="F922" s="11">
        <v>46269</v>
      </c>
      <c r="G922" t="s">
        <v>65</v>
      </c>
      <c r="H922" t="s">
        <v>40</v>
      </c>
      <c r="I922">
        <v>10000</v>
      </c>
      <c r="J922" t="s">
        <v>23</v>
      </c>
      <c r="K922" t="s">
        <v>17</v>
      </c>
      <c r="L922" t="s">
        <v>25</v>
      </c>
      <c r="M922" t="s">
        <v>41</v>
      </c>
      <c r="Q922" s="1"/>
    </row>
    <row r="923" spans="1:17" x14ac:dyDescent="0.3">
      <c r="A923">
        <v>2</v>
      </c>
      <c r="B923">
        <v>1</v>
      </c>
      <c r="C923" s="11">
        <v>46082</v>
      </c>
      <c r="D923" t="s">
        <v>20</v>
      </c>
      <c r="E923">
        <v>100</v>
      </c>
      <c r="F923" s="11">
        <v>46054</v>
      </c>
      <c r="G923" t="s">
        <v>39</v>
      </c>
      <c r="H923" t="s">
        <v>106</v>
      </c>
      <c r="I923">
        <v>100</v>
      </c>
      <c r="J923" t="s">
        <v>16</v>
      </c>
      <c r="K923" t="s">
        <v>33</v>
      </c>
      <c r="L923" t="s">
        <v>34</v>
      </c>
      <c r="M923" t="s">
        <v>114</v>
      </c>
      <c r="Q923" s="1"/>
    </row>
    <row r="924" spans="1:17" x14ac:dyDescent="0.3">
      <c r="A924">
        <v>31</v>
      </c>
      <c r="B924">
        <v>15</v>
      </c>
      <c r="C924" s="11">
        <v>46177</v>
      </c>
      <c r="D924" t="s">
        <v>13</v>
      </c>
      <c r="E924">
        <v>6000</v>
      </c>
      <c r="F924" s="11">
        <v>46238</v>
      </c>
      <c r="G924" t="s">
        <v>69</v>
      </c>
      <c r="H924" t="s">
        <v>15</v>
      </c>
      <c r="I924">
        <v>6000</v>
      </c>
      <c r="J924" t="s">
        <v>23</v>
      </c>
      <c r="K924" t="s">
        <v>17</v>
      </c>
      <c r="L924" t="s">
        <v>25</v>
      </c>
      <c r="M924" t="s">
        <v>19</v>
      </c>
      <c r="Q924" s="1"/>
    </row>
    <row r="925" spans="1:17" x14ac:dyDescent="0.3">
      <c r="A925">
        <v>14</v>
      </c>
      <c r="B925">
        <v>7</v>
      </c>
      <c r="C925" s="11">
        <v>46268</v>
      </c>
      <c r="D925" t="s">
        <v>20</v>
      </c>
      <c r="E925">
        <v>800</v>
      </c>
      <c r="F925" s="11">
        <v>46176</v>
      </c>
      <c r="G925" t="s">
        <v>42</v>
      </c>
      <c r="H925" t="s">
        <v>45</v>
      </c>
      <c r="I925">
        <v>1100</v>
      </c>
      <c r="J925" t="s">
        <v>16</v>
      </c>
      <c r="K925" t="s">
        <v>29</v>
      </c>
      <c r="L925" t="s">
        <v>18</v>
      </c>
      <c r="M925" t="s">
        <v>28</v>
      </c>
      <c r="Q925" s="1"/>
    </row>
    <row r="926" spans="1:17" x14ac:dyDescent="0.3">
      <c r="A926">
        <v>48</v>
      </c>
      <c r="B926">
        <v>20</v>
      </c>
      <c r="C926" s="11" t="s">
        <v>81</v>
      </c>
      <c r="D926" t="s">
        <v>13</v>
      </c>
      <c r="E926">
        <v>10000</v>
      </c>
      <c r="F926" s="11">
        <v>46269</v>
      </c>
      <c r="G926" t="s">
        <v>65</v>
      </c>
      <c r="H926" t="s">
        <v>40</v>
      </c>
      <c r="I926">
        <v>10000</v>
      </c>
      <c r="J926" t="s">
        <v>23</v>
      </c>
      <c r="K926" t="s">
        <v>17</v>
      </c>
      <c r="L926" t="s">
        <v>25</v>
      </c>
      <c r="M926" t="s">
        <v>41</v>
      </c>
      <c r="Q926" s="1"/>
    </row>
    <row r="927" spans="1:17" x14ac:dyDescent="0.3">
      <c r="A927">
        <v>6</v>
      </c>
      <c r="B927">
        <v>3</v>
      </c>
      <c r="C927" s="11">
        <v>46144</v>
      </c>
      <c r="D927" t="s">
        <v>20</v>
      </c>
      <c r="E927">
        <v>200</v>
      </c>
      <c r="F927" s="11">
        <v>46083</v>
      </c>
      <c r="G927" t="s">
        <v>35</v>
      </c>
      <c r="H927" t="s">
        <v>112</v>
      </c>
      <c r="I927">
        <v>600</v>
      </c>
      <c r="J927" t="s">
        <v>16</v>
      </c>
      <c r="K927" t="s">
        <v>29</v>
      </c>
      <c r="L927" t="s">
        <v>18</v>
      </c>
      <c r="M927" t="s">
        <v>43</v>
      </c>
      <c r="Q927" s="1"/>
    </row>
    <row r="928" spans="1:17" x14ac:dyDescent="0.3">
      <c r="A928">
        <v>32</v>
      </c>
      <c r="B928">
        <v>15</v>
      </c>
      <c r="C928" s="11">
        <v>46116</v>
      </c>
      <c r="D928" t="s">
        <v>13</v>
      </c>
      <c r="E928">
        <v>6000</v>
      </c>
      <c r="F928" s="11">
        <v>46207</v>
      </c>
      <c r="G928" t="s">
        <v>69</v>
      </c>
      <c r="H928" t="s">
        <v>51</v>
      </c>
      <c r="I928">
        <v>6000</v>
      </c>
      <c r="J928" t="s">
        <v>23</v>
      </c>
      <c r="K928" t="s">
        <v>17</v>
      </c>
      <c r="L928" t="s">
        <v>25</v>
      </c>
      <c r="M928" t="s">
        <v>49</v>
      </c>
      <c r="Q928" s="1"/>
    </row>
    <row r="929" spans="1:17" x14ac:dyDescent="0.3">
      <c r="A929">
        <v>15</v>
      </c>
      <c r="B929">
        <v>8</v>
      </c>
      <c r="C929" s="11">
        <v>46268</v>
      </c>
      <c r="D929" t="s">
        <v>20</v>
      </c>
      <c r="E929">
        <v>900</v>
      </c>
      <c r="F929" s="11">
        <v>46145</v>
      </c>
      <c r="G929" t="s">
        <v>75</v>
      </c>
      <c r="H929" t="s">
        <v>58</v>
      </c>
      <c r="I929">
        <v>1300</v>
      </c>
      <c r="J929" t="s">
        <v>16</v>
      </c>
      <c r="K929" t="s">
        <v>29</v>
      </c>
      <c r="L929" t="s">
        <v>18</v>
      </c>
      <c r="M929" t="s">
        <v>85</v>
      </c>
      <c r="Q929" s="1"/>
    </row>
    <row r="930" spans="1:17" x14ac:dyDescent="0.3">
      <c r="A930">
        <v>48</v>
      </c>
      <c r="B930">
        <v>19</v>
      </c>
      <c r="C930" s="11">
        <v>46269</v>
      </c>
      <c r="D930" t="s">
        <v>13</v>
      </c>
      <c r="E930">
        <v>10000</v>
      </c>
      <c r="F930" s="11">
        <v>46238</v>
      </c>
      <c r="G930" t="s">
        <v>65</v>
      </c>
      <c r="H930" t="s">
        <v>19</v>
      </c>
      <c r="I930">
        <v>9000</v>
      </c>
      <c r="J930" t="s">
        <v>23</v>
      </c>
      <c r="K930" t="s">
        <v>24</v>
      </c>
      <c r="L930" t="s">
        <v>25</v>
      </c>
      <c r="M930" t="s">
        <v>40</v>
      </c>
      <c r="Q930" s="1"/>
    </row>
    <row r="931" spans="1:17" x14ac:dyDescent="0.3">
      <c r="A931">
        <v>10</v>
      </c>
      <c r="B931">
        <v>6</v>
      </c>
      <c r="C931" s="11">
        <v>46056</v>
      </c>
      <c r="D931" t="s">
        <v>20</v>
      </c>
      <c r="E931">
        <v>600</v>
      </c>
      <c r="F931" s="11">
        <v>46025</v>
      </c>
      <c r="G931" t="s">
        <v>62</v>
      </c>
      <c r="H931" t="s">
        <v>22</v>
      </c>
      <c r="I931">
        <v>1100</v>
      </c>
      <c r="J931" t="s">
        <v>16</v>
      </c>
      <c r="K931" t="s">
        <v>29</v>
      </c>
      <c r="L931" t="s">
        <v>18</v>
      </c>
      <c r="M931" t="s">
        <v>63</v>
      </c>
      <c r="Q931" s="1"/>
    </row>
    <row r="932" spans="1:17" x14ac:dyDescent="0.3">
      <c r="A932">
        <v>37</v>
      </c>
      <c r="B932">
        <v>17</v>
      </c>
      <c r="C932" s="11">
        <v>46207</v>
      </c>
      <c r="D932" t="s">
        <v>13</v>
      </c>
      <c r="E932">
        <v>7000</v>
      </c>
      <c r="F932" s="11">
        <v>46238</v>
      </c>
      <c r="G932" t="s">
        <v>69</v>
      </c>
      <c r="H932" t="s">
        <v>49</v>
      </c>
      <c r="I932">
        <v>6000</v>
      </c>
      <c r="J932" t="s">
        <v>23</v>
      </c>
      <c r="K932" t="s">
        <v>17</v>
      </c>
      <c r="L932" t="s">
        <v>25</v>
      </c>
      <c r="M932" t="s">
        <v>19</v>
      </c>
      <c r="Q932" s="1"/>
    </row>
    <row r="933" spans="1:17" x14ac:dyDescent="0.3">
      <c r="A933">
        <v>12</v>
      </c>
      <c r="B933">
        <v>7</v>
      </c>
      <c r="C933" s="11">
        <v>46145</v>
      </c>
      <c r="D933" t="s">
        <v>20</v>
      </c>
      <c r="E933">
        <v>800</v>
      </c>
      <c r="F933" s="11">
        <v>46084</v>
      </c>
      <c r="G933" t="s">
        <v>42</v>
      </c>
      <c r="H933" t="s">
        <v>22</v>
      </c>
      <c r="I933">
        <v>1100</v>
      </c>
      <c r="J933" t="s">
        <v>16</v>
      </c>
      <c r="K933" t="s">
        <v>29</v>
      </c>
      <c r="L933" t="s">
        <v>18</v>
      </c>
      <c r="M933" t="s">
        <v>91</v>
      </c>
      <c r="Q933" s="1"/>
    </row>
    <row r="934" spans="1:17" x14ac:dyDescent="0.3">
      <c r="A934">
        <v>49</v>
      </c>
      <c r="B934">
        <v>20</v>
      </c>
      <c r="C934" s="11">
        <v>46269</v>
      </c>
      <c r="D934" t="s">
        <v>13</v>
      </c>
      <c r="E934">
        <v>10000</v>
      </c>
      <c r="F934" s="11">
        <v>46238</v>
      </c>
      <c r="G934" t="s">
        <v>65</v>
      </c>
      <c r="H934" t="s">
        <v>19</v>
      </c>
      <c r="I934">
        <v>10000</v>
      </c>
      <c r="J934" t="s">
        <v>23</v>
      </c>
      <c r="K934" t="s">
        <v>24</v>
      </c>
      <c r="L934" t="s">
        <v>25</v>
      </c>
      <c r="M934" t="s">
        <v>40</v>
      </c>
      <c r="Q934" s="1"/>
    </row>
    <row r="935" spans="1:17" x14ac:dyDescent="0.3">
      <c r="A935">
        <v>5</v>
      </c>
      <c r="B935">
        <v>3</v>
      </c>
      <c r="C935" s="11">
        <v>46144</v>
      </c>
      <c r="D935" t="s">
        <v>20</v>
      </c>
      <c r="E935">
        <v>200</v>
      </c>
      <c r="F935" s="11">
        <v>46024</v>
      </c>
      <c r="G935" t="s">
        <v>48</v>
      </c>
      <c r="H935" t="s">
        <v>38</v>
      </c>
      <c r="I935">
        <v>500</v>
      </c>
      <c r="J935" t="s">
        <v>16</v>
      </c>
      <c r="K935" t="s">
        <v>29</v>
      </c>
      <c r="L935" t="s">
        <v>18</v>
      </c>
      <c r="M935" t="s">
        <v>43</v>
      </c>
      <c r="Q935" s="1"/>
    </row>
    <row r="936" spans="1:17" x14ac:dyDescent="0.3">
      <c r="A936">
        <v>33</v>
      </c>
      <c r="B936">
        <v>15</v>
      </c>
      <c r="C936" s="11">
        <v>46116</v>
      </c>
      <c r="D936" t="s">
        <v>13</v>
      </c>
      <c r="E936">
        <v>6000</v>
      </c>
      <c r="F936" s="11">
        <v>46238</v>
      </c>
      <c r="G936" t="s">
        <v>69</v>
      </c>
      <c r="H936" t="s">
        <v>15</v>
      </c>
      <c r="I936">
        <v>6000</v>
      </c>
      <c r="J936" t="s">
        <v>16</v>
      </c>
      <c r="K936" t="s">
        <v>17</v>
      </c>
      <c r="L936" t="s">
        <v>25</v>
      </c>
      <c r="M936" t="s">
        <v>19</v>
      </c>
      <c r="Q936" s="1"/>
    </row>
    <row r="937" spans="1:17" x14ac:dyDescent="0.3">
      <c r="A937">
        <v>13</v>
      </c>
      <c r="B937">
        <v>7</v>
      </c>
      <c r="C937" s="11">
        <v>46206</v>
      </c>
      <c r="D937" t="s">
        <v>20</v>
      </c>
      <c r="E937">
        <v>900</v>
      </c>
      <c r="F937" s="11">
        <v>46145</v>
      </c>
      <c r="G937" t="s">
        <v>42</v>
      </c>
      <c r="H937" t="s">
        <v>45</v>
      </c>
      <c r="I937">
        <v>1200</v>
      </c>
      <c r="J937" t="s">
        <v>16</v>
      </c>
      <c r="K937" t="s">
        <v>29</v>
      </c>
      <c r="L937" t="s">
        <v>18</v>
      </c>
      <c r="M937" t="s">
        <v>28</v>
      </c>
      <c r="Q937" s="1"/>
    </row>
    <row r="938" spans="1:17" x14ac:dyDescent="0.3">
      <c r="A938">
        <v>50</v>
      </c>
      <c r="B938">
        <v>20</v>
      </c>
      <c r="C938" s="11" t="s">
        <v>81</v>
      </c>
      <c r="D938" t="s">
        <v>13</v>
      </c>
      <c r="E938">
        <v>10000</v>
      </c>
      <c r="F938" s="11">
        <v>46269</v>
      </c>
      <c r="G938" t="s">
        <v>53</v>
      </c>
      <c r="H938" t="s">
        <v>41</v>
      </c>
      <c r="I938">
        <v>10000</v>
      </c>
      <c r="J938" t="s">
        <v>23</v>
      </c>
      <c r="K938" t="s">
        <v>17</v>
      </c>
      <c r="L938" t="s">
        <v>25</v>
      </c>
      <c r="M938" t="s">
        <v>41</v>
      </c>
      <c r="Q938" s="1"/>
    </row>
    <row r="939" spans="1:17" x14ac:dyDescent="0.3">
      <c r="A939">
        <v>7</v>
      </c>
      <c r="B939">
        <v>3</v>
      </c>
      <c r="C939" s="11">
        <v>46144</v>
      </c>
      <c r="D939" t="s">
        <v>20</v>
      </c>
      <c r="E939">
        <v>200</v>
      </c>
      <c r="F939" s="11">
        <v>46055</v>
      </c>
      <c r="G939" t="s">
        <v>35</v>
      </c>
      <c r="H939" t="s">
        <v>112</v>
      </c>
      <c r="I939">
        <v>600</v>
      </c>
      <c r="J939" t="s">
        <v>16</v>
      </c>
      <c r="K939" t="s">
        <v>29</v>
      </c>
      <c r="L939" t="s">
        <v>18</v>
      </c>
      <c r="M939" t="s">
        <v>43</v>
      </c>
      <c r="Q939" s="1"/>
    </row>
    <row r="940" spans="1:17" x14ac:dyDescent="0.3">
      <c r="A940">
        <v>35</v>
      </c>
      <c r="B940">
        <v>16</v>
      </c>
      <c r="C940" s="11">
        <v>46177</v>
      </c>
      <c r="D940" t="s">
        <v>13</v>
      </c>
      <c r="E940">
        <v>6000</v>
      </c>
      <c r="F940" s="11">
        <v>46269</v>
      </c>
      <c r="G940" t="s">
        <v>74</v>
      </c>
      <c r="H940" t="s">
        <v>40</v>
      </c>
      <c r="I940">
        <v>10000</v>
      </c>
      <c r="J940" t="s">
        <v>23</v>
      </c>
      <c r="K940" t="s">
        <v>17</v>
      </c>
      <c r="L940" t="s">
        <v>25</v>
      </c>
      <c r="M940" t="s">
        <v>19</v>
      </c>
      <c r="Q940" s="1"/>
    </row>
    <row r="941" spans="1:17" x14ac:dyDescent="0.3">
      <c r="A941">
        <v>20</v>
      </c>
      <c r="B941">
        <v>10</v>
      </c>
      <c r="C941" s="11" t="s">
        <v>64</v>
      </c>
      <c r="D941" t="s">
        <v>20</v>
      </c>
      <c r="E941">
        <v>1000</v>
      </c>
      <c r="F941" s="11">
        <v>46206</v>
      </c>
      <c r="G941" t="s">
        <v>95</v>
      </c>
      <c r="H941" t="s">
        <v>58</v>
      </c>
      <c r="I941">
        <v>800</v>
      </c>
      <c r="J941" t="s">
        <v>16</v>
      </c>
      <c r="K941" t="s">
        <v>29</v>
      </c>
      <c r="L941" t="s">
        <v>18</v>
      </c>
      <c r="M941" t="s">
        <v>28</v>
      </c>
      <c r="Q941" s="1"/>
    </row>
    <row r="942" spans="1:17" x14ac:dyDescent="0.3">
      <c r="A942">
        <v>38</v>
      </c>
      <c r="B942">
        <v>18</v>
      </c>
      <c r="C942" s="11">
        <v>46238</v>
      </c>
      <c r="D942" t="s">
        <v>13</v>
      </c>
      <c r="E942">
        <v>7000</v>
      </c>
      <c r="F942" s="11">
        <v>46238</v>
      </c>
      <c r="G942" t="s">
        <v>77</v>
      </c>
      <c r="H942" t="s">
        <v>19</v>
      </c>
      <c r="I942">
        <v>8000</v>
      </c>
      <c r="J942" t="s">
        <v>23</v>
      </c>
      <c r="K942" t="s">
        <v>24</v>
      </c>
      <c r="L942" t="s">
        <v>25</v>
      </c>
      <c r="M942" t="s">
        <v>40</v>
      </c>
      <c r="Q942" s="1"/>
    </row>
    <row r="943" spans="1:17" x14ac:dyDescent="0.3">
      <c r="A943">
        <v>9</v>
      </c>
      <c r="B943">
        <v>5</v>
      </c>
      <c r="C943" s="11">
        <v>46056</v>
      </c>
      <c r="D943" t="s">
        <v>20</v>
      </c>
      <c r="E943">
        <v>600</v>
      </c>
      <c r="F943" s="11" t="s">
        <v>52</v>
      </c>
      <c r="G943" t="s">
        <v>62</v>
      </c>
      <c r="H943" t="s">
        <v>22</v>
      </c>
      <c r="I943">
        <v>1100</v>
      </c>
      <c r="J943" t="s">
        <v>16</v>
      </c>
      <c r="K943" t="s">
        <v>29</v>
      </c>
      <c r="L943" t="s">
        <v>18</v>
      </c>
      <c r="M943" t="s">
        <v>63</v>
      </c>
      <c r="Q943" s="1"/>
    </row>
    <row r="944" spans="1:17" x14ac:dyDescent="0.3">
      <c r="A944">
        <v>36</v>
      </c>
      <c r="B944">
        <v>17</v>
      </c>
      <c r="C944" s="11">
        <v>46177</v>
      </c>
      <c r="D944" t="s">
        <v>13</v>
      </c>
      <c r="E944">
        <v>7000</v>
      </c>
      <c r="F944" s="11">
        <v>46238</v>
      </c>
      <c r="G944" t="s">
        <v>69</v>
      </c>
      <c r="H944" t="s">
        <v>49</v>
      </c>
      <c r="I944">
        <v>6000</v>
      </c>
      <c r="J944" t="s">
        <v>23</v>
      </c>
      <c r="K944" t="s">
        <v>17</v>
      </c>
      <c r="L944" t="s">
        <v>25</v>
      </c>
      <c r="M944" t="s">
        <v>19</v>
      </c>
      <c r="Q944" s="1"/>
    </row>
    <row r="945" spans="1:17" x14ac:dyDescent="0.3">
      <c r="A945">
        <v>11</v>
      </c>
      <c r="B945">
        <v>6</v>
      </c>
      <c r="C945" s="11">
        <v>46115</v>
      </c>
      <c r="D945" t="s">
        <v>20</v>
      </c>
      <c r="E945">
        <v>700</v>
      </c>
      <c r="F945" s="11">
        <v>46056</v>
      </c>
      <c r="G945" t="s">
        <v>42</v>
      </c>
      <c r="H945" t="s">
        <v>22</v>
      </c>
      <c r="I945">
        <v>1200</v>
      </c>
      <c r="J945" t="s">
        <v>16</v>
      </c>
      <c r="K945" t="s">
        <v>29</v>
      </c>
      <c r="L945" t="s">
        <v>18</v>
      </c>
      <c r="M945" t="s">
        <v>91</v>
      </c>
      <c r="Q945" s="1"/>
    </row>
    <row r="946" spans="1:17" x14ac:dyDescent="0.3">
      <c r="A946">
        <v>47</v>
      </c>
      <c r="B946">
        <v>20</v>
      </c>
      <c r="C946" s="11">
        <v>46269</v>
      </c>
      <c r="D946" t="s">
        <v>13</v>
      </c>
      <c r="E946">
        <v>10000</v>
      </c>
      <c r="F946" s="11">
        <v>46238</v>
      </c>
      <c r="G946" t="s">
        <v>65</v>
      </c>
      <c r="H946" t="s">
        <v>19</v>
      </c>
      <c r="I946">
        <v>9000</v>
      </c>
      <c r="J946" t="s">
        <v>23</v>
      </c>
      <c r="K946" t="s">
        <v>24</v>
      </c>
      <c r="L946" t="s">
        <v>25</v>
      </c>
      <c r="M946" t="s">
        <v>40</v>
      </c>
      <c r="Q946" s="1"/>
    </row>
    <row r="947" spans="1:17" x14ac:dyDescent="0.3">
      <c r="A947">
        <v>6</v>
      </c>
      <c r="B947">
        <v>4</v>
      </c>
      <c r="C947" s="11">
        <v>46175</v>
      </c>
      <c r="D947" t="s">
        <v>20</v>
      </c>
      <c r="E947">
        <v>200</v>
      </c>
      <c r="F947" s="11">
        <v>46114</v>
      </c>
      <c r="G947" t="s">
        <v>35</v>
      </c>
      <c r="H947" t="s">
        <v>54</v>
      </c>
      <c r="I947">
        <v>700</v>
      </c>
      <c r="J947" t="s">
        <v>16</v>
      </c>
      <c r="K947" t="s">
        <v>29</v>
      </c>
      <c r="L947" t="s">
        <v>18</v>
      </c>
      <c r="M947" t="s">
        <v>101</v>
      </c>
      <c r="Q947" s="1"/>
    </row>
    <row r="948" spans="1:17" x14ac:dyDescent="0.3">
      <c r="A948">
        <v>32</v>
      </c>
      <c r="B948">
        <v>16</v>
      </c>
      <c r="C948" s="11">
        <v>46116</v>
      </c>
      <c r="D948" t="s">
        <v>13</v>
      </c>
      <c r="E948">
        <v>6000</v>
      </c>
      <c r="F948" s="11">
        <v>46207</v>
      </c>
      <c r="G948" t="s">
        <v>69</v>
      </c>
      <c r="H948" t="s">
        <v>15</v>
      </c>
      <c r="I948">
        <v>6000</v>
      </c>
      <c r="J948" t="s">
        <v>16</v>
      </c>
      <c r="K948" t="s">
        <v>17</v>
      </c>
      <c r="L948" t="s">
        <v>25</v>
      </c>
      <c r="M948" t="s">
        <v>19</v>
      </c>
      <c r="Q948" s="1"/>
    </row>
    <row r="949" spans="1:17" x14ac:dyDescent="0.3">
      <c r="A949">
        <v>14</v>
      </c>
      <c r="B949">
        <v>8</v>
      </c>
      <c r="C949" s="11" t="s">
        <v>64</v>
      </c>
      <c r="D949" t="s">
        <v>20</v>
      </c>
      <c r="E949">
        <v>1000</v>
      </c>
      <c r="F949" s="11">
        <v>46237</v>
      </c>
      <c r="G949" t="s">
        <v>42</v>
      </c>
      <c r="H949" t="s">
        <v>45</v>
      </c>
      <c r="I949">
        <v>1200</v>
      </c>
      <c r="J949" t="s">
        <v>16</v>
      </c>
      <c r="K949" t="s">
        <v>29</v>
      </c>
      <c r="L949" t="s">
        <v>18</v>
      </c>
      <c r="M949" t="s">
        <v>28</v>
      </c>
      <c r="Q949" s="1"/>
    </row>
    <row r="950" spans="1:17" x14ac:dyDescent="0.3">
      <c r="A950">
        <v>49</v>
      </c>
      <c r="B950">
        <v>20</v>
      </c>
      <c r="C950" s="11">
        <v>46269</v>
      </c>
      <c r="D950" t="s">
        <v>13</v>
      </c>
      <c r="E950">
        <v>10000</v>
      </c>
      <c r="F950" s="11">
        <v>46238</v>
      </c>
      <c r="G950" t="s">
        <v>65</v>
      </c>
      <c r="H950" t="s">
        <v>19</v>
      </c>
      <c r="I950">
        <v>10000</v>
      </c>
      <c r="J950" t="s">
        <v>23</v>
      </c>
      <c r="K950" t="s">
        <v>24</v>
      </c>
      <c r="L950" t="s">
        <v>25</v>
      </c>
      <c r="M950" t="s">
        <v>40</v>
      </c>
      <c r="Q950" s="1"/>
    </row>
    <row r="951" spans="1:17" x14ac:dyDescent="0.3">
      <c r="A951">
        <v>5</v>
      </c>
      <c r="B951">
        <v>4</v>
      </c>
      <c r="C951" s="11">
        <v>46205</v>
      </c>
      <c r="D951" t="s">
        <v>20</v>
      </c>
      <c r="E951">
        <v>200</v>
      </c>
      <c r="F951" s="11">
        <v>46055</v>
      </c>
      <c r="G951" t="s">
        <v>48</v>
      </c>
      <c r="H951" t="s">
        <v>38</v>
      </c>
      <c r="I951">
        <v>500</v>
      </c>
      <c r="J951" t="s">
        <v>16</v>
      </c>
      <c r="K951" t="s">
        <v>29</v>
      </c>
      <c r="L951" t="s">
        <v>18</v>
      </c>
      <c r="M951" t="s">
        <v>43</v>
      </c>
      <c r="Q951" s="1"/>
    </row>
    <row r="952" spans="1:17" x14ac:dyDescent="0.3">
      <c r="A952">
        <v>33</v>
      </c>
      <c r="B952">
        <v>16</v>
      </c>
      <c r="C952" s="11">
        <v>46146</v>
      </c>
      <c r="D952" t="s">
        <v>13</v>
      </c>
      <c r="E952">
        <v>6000</v>
      </c>
      <c r="F952" s="11">
        <v>46238</v>
      </c>
      <c r="G952" t="s">
        <v>69</v>
      </c>
      <c r="H952" t="s">
        <v>15</v>
      </c>
      <c r="I952">
        <v>6000</v>
      </c>
      <c r="J952" t="s">
        <v>16</v>
      </c>
      <c r="K952" t="s">
        <v>17</v>
      </c>
      <c r="L952" t="s">
        <v>25</v>
      </c>
      <c r="M952" t="s">
        <v>19</v>
      </c>
      <c r="Q952" s="1"/>
    </row>
    <row r="953" spans="1:17" x14ac:dyDescent="0.3">
      <c r="A953">
        <v>15</v>
      </c>
      <c r="B953">
        <v>9</v>
      </c>
      <c r="C953" s="11">
        <v>46026</v>
      </c>
      <c r="D953" t="s">
        <v>20</v>
      </c>
      <c r="E953">
        <v>1000</v>
      </c>
      <c r="F953" s="11">
        <v>46237</v>
      </c>
      <c r="G953" t="s">
        <v>75</v>
      </c>
      <c r="H953" t="s">
        <v>58</v>
      </c>
      <c r="I953">
        <v>1300</v>
      </c>
      <c r="J953" t="s">
        <v>16</v>
      </c>
      <c r="K953" t="s">
        <v>29</v>
      </c>
      <c r="L953" t="s">
        <v>18</v>
      </c>
      <c r="M953" t="s">
        <v>85</v>
      </c>
      <c r="Q953" s="1"/>
    </row>
    <row r="954" spans="1:17" x14ac:dyDescent="0.3">
      <c r="A954">
        <v>48</v>
      </c>
      <c r="B954">
        <v>20</v>
      </c>
      <c r="C954" s="11">
        <v>46269</v>
      </c>
      <c r="D954" t="s">
        <v>13</v>
      </c>
      <c r="E954">
        <v>10000</v>
      </c>
      <c r="F954" s="11">
        <v>46238</v>
      </c>
      <c r="G954" t="s">
        <v>65</v>
      </c>
      <c r="H954" t="s">
        <v>19</v>
      </c>
      <c r="I954">
        <v>10000</v>
      </c>
      <c r="J954" t="s">
        <v>23</v>
      </c>
      <c r="K954" t="s">
        <v>17</v>
      </c>
      <c r="L954" t="s">
        <v>25</v>
      </c>
      <c r="M954" t="s">
        <v>40</v>
      </c>
      <c r="Q954" s="1"/>
    </row>
    <row r="955" spans="1:17" x14ac:dyDescent="0.3">
      <c r="A955">
        <v>7</v>
      </c>
      <c r="B955">
        <v>4</v>
      </c>
      <c r="C955" s="11">
        <v>46205</v>
      </c>
      <c r="D955" t="s">
        <v>20</v>
      </c>
      <c r="E955">
        <v>200</v>
      </c>
      <c r="F955" s="11">
        <v>46083</v>
      </c>
      <c r="G955" t="s">
        <v>35</v>
      </c>
      <c r="H955" t="s">
        <v>54</v>
      </c>
      <c r="I955">
        <v>700</v>
      </c>
      <c r="J955" t="s">
        <v>16</v>
      </c>
      <c r="K955" t="s">
        <v>29</v>
      </c>
      <c r="L955" t="s">
        <v>18</v>
      </c>
      <c r="M955" t="s">
        <v>101</v>
      </c>
      <c r="Q955" s="1"/>
    </row>
    <row r="956" spans="1:17" x14ac:dyDescent="0.3">
      <c r="A956">
        <v>34</v>
      </c>
      <c r="B956">
        <v>16</v>
      </c>
      <c r="C956" s="11">
        <v>46146</v>
      </c>
      <c r="D956" t="s">
        <v>13</v>
      </c>
      <c r="E956">
        <v>6000</v>
      </c>
      <c r="F956" s="11">
        <v>46238</v>
      </c>
      <c r="G956" t="s">
        <v>69</v>
      </c>
      <c r="H956" t="s">
        <v>15</v>
      </c>
      <c r="I956">
        <v>6000</v>
      </c>
      <c r="J956" t="s">
        <v>16</v>
      </c>
      <c r="K956" t="s">
        <v>17</v>
      </c>
      <c r="L956" t="s">
        <v>25</v>
      </c>
      <c r="M956" t="s">
        <v>19</v>
      </c>
      <c r="Q956" s="1"/>
    </row>
    <row r="957" spans="1:17" x14ac:dyDescent="0.3">
      <c r="A957">
        <v>16</v>
      </c>
      <c r="B957">
        <v>8</v>
      </c>
      <c r="C957" s="11">
        <v>46268</v>
      </c>
      <c r="D957" t="s">
        <v>20</v>
      </c>
      <c r="E957">
        <v>900</v>
      </c>
      <c r="F957" s="11">
        <v>46176</v>
      </c>
      <c r="G957" t="s">
        <v>60</v>
      </c>
      <c r="H957" t="s">
        <v>58</v>
      </c>
      <c r="I957">
        <v>1000</v>
      </c>
      <c r="J957" t="s">
        <v>16</v>
      </c>
      <c r="K957" t="s">
        <v>29</v>
      </c>
      <c r="L957" t="s">
        <v>18</v>
      </c>
      <c r="M957" t="s">
        <v>28</v>
      </c>
      <c r="Q957" s="1"/>
    </row>
    <row r="958" spans="1:17" x14ac:dyDescent="0.3">
      <c r="A958">
        <v>50</v>
      </c>
      <c r="B958">
        <v>20</v>
      </c>
      <c r="C958" s="11" t="s">
        <v>81</v>
      </c>
      <c r="D958" t="s">
        <v>13</v>
      </c>
      <c r="E958">
        <v>10000</v>
      </c>
      <c r="F958" s="11">
        <v>46269</v>
      </c>
      <c r="G958" t="s">
        <v>53</v>
      </c>
      <c r="H958" t="s">
        <v>41</v>
      </c>
      <c r="I958">
        <v>10000</v>
      </c>
      <c r="J958" t="s">
        <v>23</v>
      </c>
      <c r="K958" t="s">
        <v>17</v>
      </c>
      <c r="L958" t="s">
        <v>25</v>
      </c>
      <c r="M958" t="s">
        <v>41</v>
      </c>
      <c r="Q958" s="1"/>
    </row>
    <row r="959" spans="1:17" x14ac:dyDescent="0.3">
      <c r="A959">
        <v>8</v>
      </c>
      <c r="B959">
        <v>5</v>
      </c>
      <c r="C959" s="11" t="s">
        <v>52</v>
      </c>
      <c r="D959" t="s">
        <v>20</v>
      </c>
      <c r="E959">
        <v>300</v>
      </c>
      <c r="F959" s="11">
        <v>46205</v>
      </c>
      <c r="G959" t="s">
        <v>48</v>
      </c>
      <c r="H959" t="s">
        <v>112</v>
      </c>
      <c r="I959">
        <v>400</v>
      </c>
      <c r="J959" t="s">
        <v>16</v>
      </c>
      <c r="K959" t="s">
        <v>29</v>
      </c>
      <c r="L959" t="s">
        <v>18</v>
      </c>
      <c r="M959" t="s">
        <v>101</v>
      </c>
      <c r="Q959" s="1"/>
    </row>
    <row r="960" spans="1:17" x14ac:dyDescent="0.3">
      <c r="A960">
        <v>35</v>
      </c>
      <c r="B960">
        <v>17</v>
      </c>
      <c r="C960" s="11">
        <v>46177</v>
      </c>
      <c r="D960" t="s">
        <v>13</v>
      </c>
      <c r="E960">
        <v>7000</v>
      </c>
      <c r="F960" s="11">
        <v>46238</v>
      </c>
      <c r="G960" t="s">
        <v>74</v>
      </c>
      <c r="H960" t="s">
        <v>19</v>
      </c>
      <c r="I960">
        <v>10000</v>
      </c>
      <c r="J960" t="s">
        <v>23</v>
      </c>
      <c r="K960" t="s">
        <v>17</v>
      </c>
      <c r="L960" t="s">
        <v>25</v>
      </c>
      <c r="M960" t="s">
        <v>19</v>
      </c>
      <c r="Q960" s="1"/>
    </row>
    <row r="961" spans="1:17" x14ac:dyDescent="0.3">
      <c r="A961">
        <v>21</v>
      </c>
      <c r="B961">
        <v>11</v>
      </c>
      <c r="C961" s="11">
        <v>46026</v>
      </c>
      <c r="D961" t="s">
        <v>20</v>
      </c>
      <c r="E961">
        <v>1000</v>
      </c>
      <c r="F961" s="11">
        <v>46237</v>
      </c>
      <c r="G961" t="s">
        <v>72</v>
      </c>
      <c r="H961" t="s">
        <v>67</v>
      </c>
      <c r="I961">
        <v>800</v>
      </c>
      <c r="J961" t="s">
        <v>16</v>
      </c>
      <c r="K961" t="s">
        <v>29</v>
      </c>
      <c r="L961" t="s">
        <v>18</v>
      </c>
      <c r="M961" t="s">
        <v>28</v>
      </c>
      <c r="Q961" s="1"/>
    </row>
    <row r="962" spans="1:17" x14ac:dyDescent="0.3">
      <c r="A962">
        <v>37</v>
      </c>
      <c r="B962">
        <v>18</v>
      </c>
      <c r="C962" s="11">
        <v>46207</v>
      </c>
      <c r="D962" t="s">
        <v>13</v>
      </c>
      <c r="E962">
        <v>7000</v>
      </c>
      <c r="F962" s="11">
        <v>46238</v>
      </c>
      <c r="G962" t="s">
        <v>69</v>
      </c>
      <c r="H962" t="s">
        <v>49</v>
      </c>
      <c r="I962">
        <v>6000</v>
      </c>
      <c r="J962" t="s">
        <v>23</v>
      </c>
      <c r="K962" t="s">
        <v>17</v>
      </c>
      <c r="L962" t="s">
        <v>25</v>
      </c>
      <c r="M962" t="s">
        <v>19</v>
      </c>
      <c r="Q962" s="1"/>
    </row>
    <row r="963" spans="1:17" x14ac:dyDescent="0.3">
      <c r="A963">
        <v>10</v>
      </c>
      <c r="B963">
        <v>7</v>
      </c>
      <c r="C963" s="11">
        <v>46056</v>
      </c>
      <c r="D963" t="s">
        <v>20</v>
      </c>
      <c r="E963">
        <v>600</v>
      </c>
      <c r="F963" s="11" t="s">
        <v>52</v>
      </c>
      <c r="G963" t="s">
        <v>62</v>
      </c>
      <c r="H963" t="s">
        <v>22</v>
      </c>
      <c r="I963">
        <v>1100</v>
      </c>
      <c r="J963" t="s">
        <v>16</v>
      </c>
      <c r="K963" t="s">
        <v>29</v>
      </c>
      <c r="L963" t="s">
        <v>18</v>
      </c>
      <c r="M963" t="s">
        <v>63</v>
      </c>
      <c r="Q963" s="1"/>
    </row>
    <row r="964" spans="1:17" x14ac:dyDescent="0.3">
      <c r="A964">
        <v>38</v>
      </c>
      <c r="B964">
        <v>19</v>
      </c>
      <c r="C964" s="11">
        <v>46238</v>
      </c>
      <c r="D964" t="s">
        <v>13</v>
      </c>
      <c r="E964">
        <v>7000</v>
      </c>
      <c r="F964" s="11">
        <v>46238</v>
      </c>
      <c r="G964" t="s">
        <v>77</v>
      </c>
      <c r="H964" t="s">
        <v>19</v>
      </c>
      <c r="I964">
        <v>8000</v>
      </c>
      <c r="J964" t="s">
        <v>23</v>
      </c>
      <c r="K964" t="s">
        <v>24</v>
      </c>
      <c r="L964" t="s">
        <v>25</v>
      </c>
      <c r="M964" t="s">
        <v>40</v>
      </c>
      <c r="Q964" s="1"/>
    </row>
    <row r="965" spans="1:17" x14ac:dyDescent="0.3">
      <c r="A965">
        <v>12</v>
      </c>
      <c r="B965">
        <v>7</v>
      </c>
      <c r="C965" s="11">
        <v>46145</v>
      </c>
      <c r="D965" t="s">
        <v>20</v>
      </c>
      <c r="E965">
        <v>800</v>
      </c>
      <c r="F965" s="11">
        <v>46084</v>
      </c>
      <c r="G965" t="s">
        <v>42</v>
      </c>
      <c r="H965" t="s">
        <v>22</v>
      </c>
      <c r="I965">
        <v>1100</v>
      </c>
      <c r="J965" t="s">
        <v>16</v>
      </c>
      <c r="K965" t="s">
        <v>29</v>
      </c>
      <c r="L965" t="s">
        <v>18</v>
      </c>
      <c r="M965" t="s">
        <v>91</v>
      </c>
      <c r="Q965" s="1"/>
    </row>
    <row r="966" spans="1:17" x14ac:dyDescent="0.3">
      <c r="A966">
        <v>39</v>
      </c>
      <c r="B966">
        <v>19</v>
      </c>
      <c r="C966" s="11">
        <v>46238</v>
      </c>
      <c r="D966" t="s">
        <v>13</v>
      </c>
      <c r="E966">
        <v>8000</v>
      </c>
      <c r="F966" s="11">
        <v>46207</v>
      </c>
      <c r="G966" t="s">
        <v>65</v>
      </c>
      <c r="H966" t="s">
        <v>19</v>
      </c>
      <c r="I966">
        <v>8000</v>
      </c>
      <c r="J966" t="s">
        <v>23</v>
      </c>
      <c r="K966" t="s">
        <v>17</v>
      </c>
      <c r="L966" t="s">
        <v>25</v>
      </c>
      <c r="M966" t="s">
        <v>40</v>
      </c>
      <c r="Q966" s="1"/>
    </row>
    <row r="967" spans="1:17" x14ac:dyDescent="0.3">
      <c r="A967">
        <v>6</v>
      </c>
      <c r="B967">
        <v>5</v>
      </c>
      <c r="C967" s="11">
        <v>46236</v>
      </c>
      <c r="D967" t="s">
        <v>20</v>
      </c>
      <c r="E967">
        <v>200</v>
      </c>
      <c r="F967" s="11">
        <v>46144</v>
      </c>
      <c r="G967" t="s">
        <v>35</v>
      </c>
      <c r="H967" t="s">
        <v>54</v>
      </c>
      <c r="I967">
        <v>800</v>
      </c>
      <c r="J967" t="s">
        <v>16</v>
      </c>
      <c r="K967" t="s">
        <v>29</v>
      </c>
      <c r="L967" t="s">
        <v>18</v>
      </c>
      <c r="M967" t="s">
        <v>101</v>
      </c>
      <c r="Q967" s="1"/>
    </row>
    <row r="968" spans="1:17" x14ac:dyDescent="0.3">
      <c r="A968">
        <v>32</v>
      </c>
      <c r="B968">
        <v>17</v>
      </c>
      <c r="C968" s="11">
        <v>46146</v>
      </c>
      <c r="D968" t="s">
        <v>13</v>
      </c>
      <c r="E968">
        <v>6000</v>
      </c>
      <c r="F968" s="11">
        <v>46238</v>
      </c>
      <c r="G968" t="s">
        <v>69</v>
      </c>
      <c r="H968" t="s">
        <v>15</v>
      </c>
      <c r="I968">
        <v>6000</v>
      </c>
      <c r="J968" t="s">
        <v>16</v>
      </c>
      <c r="K968" t="s">
        <v>17</v>
      </c>
      <c r="L968" t="s">
        <v>25</v>
      </c>
      <c r="M968" t="s">
        <v>19</v>
      </c>
      <c r="Q968" s="1"/>
    </row>
    <row r="969" spans="1:17" x14ac:dyDescent="0.3">
      <c r="A969">
        <v>13</v>
      </c>
      <c r="B969">
        <v>8</v>
      </c>
      <c r="C969" s="11">
        <v>46176</v>
      </c>
      <c r="D969" t="s">
        <v>20</v>
      </c>
      <c r="E969">
        <v>900</v>
      </c>
      <c r="F969" s="11">
        <v>46115</v>
      </c>
      <c r="G969" t="s">
        <v>42</v>
      </c>
      <c r="H969" t="s">
        <v>45</v>
      </c>
      <c r="I969">
        <v>1200</v>
      </c>
      <c r="J969" t="s">
        <v>16</v>
      </c>
      <c r="K969" t="s">
        <v>29</v>
      </c>
      <c r="L969" t="s">
        <v>18</v>
      </c>
      <c r="M969" t="s">
        <v>28</v>
      </c>
      <c r="Q969" s="1"/>
    </row>
    <row r="970" spans="1:17" x14ac:dyDescent="0.3">
      <c r="A970">
        <v>49</v>
      </c>
      <c r="B970">
        <v>20</v>
      </c>
      <c r="C970" s="11">
        <v>46269</v>
      </c>
      <c r="D970" t="s">
        <v>13</v>
      </c>
      <c r="E970">
        <v>10000</v>
      </c>
      <c r="F970" s="11">
        <v>46238</v>
      </c>
      <c r="G970" t="s">
        <v>65</v>
      </c>
      <c r="H970" t="s">
        <v>19</v>
      </c>
      <c r="I970">
        <v>9000</v>
      </c>
      <c r="J970" t="s">
        <v>23</v>
      </c>
      <c r="K970" t="s">
        <v>24</v>
      </c>
      <c r="L970" t="s">
        <v>25</v>
      </c>
      <c r="M970" t="s">
        <v>40</v>
      </c>
      <c r="Q970" s="1"/>
    </row>
    <row r="971" spans="1:17" x14ac:dyDescent="0.3">
      <c r="A971">
        <v>5</v>
      </c>
      <c r="B971">
        <v>5</v>
      </c>
      <c r="C971" s="11">
        <v>46236</v>
      </c>
      <c r="D971" t="s">
        <v>20</v>
      </c>
      <c r="E971">
        <v>200</v>
      </c>
      <c r="F971" s="11">
        <v>46114</v>
      </c>
      <c r="G971" t="s">
        <v>48</v>
      </c>
      <c r="H971" t="s">
        <v>38</v>
      </c>
      <c r="I971">
        <v>500</v>
      </c>
      <c r="J971" t="s">
        <v>16</v>
      </c>
      <c r="K971" t="s">
        <v>29</v>
      </c>
      <c r="L971" t="s">
        <v>18</v>
      </c>
      <c r="M971" t="s">
        <v>43</v>
      </c>
      <c r="Q971" s="1"/>
    </row>
    <row r="972" spans="1:17" x14ac:dyDescent="0.3">
      <c r="A972">
        <v>33</v>
      </c>
      <c r="B972">
        <v>17</v>
      </c>
      <c r="C972" s="11">
        <v>46146</v>
      </c>
      <c r="D972" t="s">
        <v>13</v>
      </c>
      <c r="E972">
        <v>6000</v>
      </c>
      <c r="F972" s="11">
        <v>46238</v>
      </c>
      <c r="G972" t="s">
        <v>69</v>
      </c>
      <c r="H972" t="s">
        <v>15</v>
      </c>
      <c r="I972">
        <v>6000</v>
      </c>
      <c r="J972" t="s">
        <v>16</v>
      </c>
      <c r="K972" t="s">
        <v>17</v>
      </c>
      <c r="L972" t="s">
        <v>25</v>
      </c>
      <c r="M972" t="s">
        <v>19</v>
      </c>
      <c r="Q972" s="1"/>
    </row>
    <row r="973" spans="1:17" x14ac:dyDescent="0.3">
      <c r="A973">
        <v>14</v>
      </c>
      <c r="B973">
        <v>9</v>
      </c>
      <c r="C973" s="11" t="s">
        <v>64</v>
      </c>
      <c r="D973" t="s">
        <v>20</v>
      </c>
      <c r="E973">
        <v>1000</v>
      </c>
      <c r="F973" s="11">
        <v>46237</v>
      </c>
      <c r="G973" t="s">
        <v>42</v>
      </c>
      <c r="H973" t="s">
        <v>45</v>
      </c>
      <c r="I973">
        <v>1200</v>
      </c>
      <c r="J973" t="s">
        <v>16</v>
      </c>
      <c r="K973" t="s">
        <v>29</v>
      </c>
      <c r="L973" t="s">
        <v>18</v>
      </c>
      <c r="M973" t="s">
        <v>28</v>
      </c>
      <c r="Q973" s="1"/>
    </row>
    <row r="974" spans="1:17" x14ac:dyDescent="0.3">
      <c r="A974">
        <v>50</v>
      </c>
      <c r="B974">
        <v>20</v>
      </c>
      <c r="C974" s="11" t="s">
        <v>81</v>
      </c>
      <c r="D974" t="s">
        <v>13</v>
      </c>
      <c r="E974">
        <v>10000</v>
      </c>
      <c r="F974" s="11">
        <v>46269</v>
      </c>
      <c r="G974" t="s">
        <v>53</v>
      </c>
      <c r="H974" t="s">
        <v>41</v>
      </c>
      <c r="I974">
        <v>10000</v>
      </c>
      <c r="J974" t="s">
        <v>23</v>
      </c>
      <c r="K974" t="s">
        <v>17</v>
      </c>
      <c r="L974" t="s">
        <v>25</v>
      </c>
      <c r="M974" t="s">
        <v>41</v>
      </c>
      <c r="Q974" s="1"/>
    </row>
    <row r="975" spans="1:17" x14ac:dyDescent="0.3">
      <c r="A975">
        <v>8</v>
      </c>
      <c r="B975">
        <v>6</v>
      </c>
      <c r="C975" s="11" t="s">
        <v>52</v>
      </c>
      <c r="D975" t="s">
        <v>20</v>
      </c>
      <c r="E975">
        <v>300</v>
      </c>
      <c r="F975" s="11">
        <v>46236</v>
      </c>
      <c r="G975" t="s">
        <v>48</v>
      </c>
      <c r="H975" t="s">
        <v>112</v>
      </c>
      <c r="I975">
        <v>400</v>
      </c>
      <c r="J975" t="s">
        <v>16</v>
      </c>
      <c r="K975" t="s">
        <v>29</v>
      </c>
      <c r="L975" t="s">
        <v>18</v>
      </c>
      <c r="M975" t="s">
        <v>101</v>
      </c>
      <c r="Q975" s="1"/>
    </row>
    <row r="976" spans="1:17" x14ac:dyDescent="0.3">
      <c r="A976">
        <v>35</v>
      </c>
      <c r="B976">
        <v>18</v>
      </c>
      <c r="C976" s="11">
        <v>46177</v>
      </c>
      <c r="D976" t="s">
        <v>13</v>
      </c>
      <c r="E976">
        <v>7000</v>
      </c>
      <c r="F976" s="11">
        <v>46238</v>
      </c>
      <c r="G976" t="s">
        <v>74</v>
      </c>
      <c r="H976" t="s">
        <v>19</v>
      </c>
      <c r="I976">
        <v>10000</v>
      </c>
      <c r="J976" t="s">
        <v>23</v>
      </c>
      <c r="K976" t="s">
        <v>17</v>
      </c>
      <c r="L976" t="s">
        <v>25</v>
      </c>
      <c r="M976" t="s">
        <v>19</v>
      </c>
      <c r="Q976" s="1"/>
    </row>
    <row r="977" spans="1:17" x14ac:dyDescent="0.3">
      <c r="A977">
        <v>22</v>
      </c>
      <c r="B977">
        <v>12</v>
      </c>
      <c r="C977" s="11">
        <v>46057</v>
      </c>
      <c r="D977" t="s">
        <v>20</v>
      </c>
      <c r="E977">
        <v>1000</v>
      </c>
      <c r="F977" s="11">
        <v>46268</v>
      </c>
      <c r="G977" t="s">
        <v>72</v>
      </c>
      <c r="H977" t="s">
        <v>67</v>
      </c>
      <c r="I977">
        <v>800</v>
      </c>
      <c r="J977" t="s">
        <v>16</v>
      </c>
      <c r="K977" t="s">
        <v>29</v>
      </c>
      <c r="L977" t="s">
        <v>18</v>
      </c>
      <c r="M977" t="s">
        <v>28</v>
      </c>
      <c r="Q977" s="1"/>
    </row>
    <row r="978" spans="1:17" x14ac:dyDescent="0.3">
      <c r="A978">
        <v>37</v>
      </c>
      <c r="B978">
        <v>19</v>
      </c>
      <c r="C978" s="11">
        <v>46207</v>
      </c>
      <c r="D978" t="s">
        <v>13</v>
      </c>
      <c r="E978">
        <v>7000</v>
      </c>
      <c r="F978" s="11">
        <v>46238</v>
      </c>
      <c r="G978" t="s">
        <v>69</v>
      </c>
      <c r="H978" t="s">
        <v>49</v>
      </c>
      <c r="I978">
        <v>6000</v>
      </c>
      <c r="J978" t="s">
        <v>23</v>
      </c>
      <c r="K978" t="s">
        <v>17</v>
      </c>
      <c r="L978" t="s">
        <v>25</v>
      </c>
      <c r="M978" t="s">
        <v>19</v>
      </c>
      <c r="Q978" s="1"/>
    </row>
    <row r="979" spans="1:17" x14ac:dyDescent="0.3">
      <c r="A979">
        <v>11</v>
      </c>
      <c r="B979">
        <v>7</v>
      </c>
      <c r="C979" s="11">
        <v>46084</v>
      </c>
      <c r="D979" t="s">
        <v>20</v>
      </c>
      <c r="E979">
        <v>700</v>
      </c>
      <c r="F979" s="11">
        <v>46025</v>
      </c>
      <c r="G979" t="s">
        <v>42</v>
      </c>
      <c r="H979" t="s">
        <v>22</v>
      </c>
      <c r="I979">
        <v>1200</v>
      </c>
      <c r="J979" t="s">
        <v>16</v>
      </c>
      <c r="K979" t="s">
        <v>29</v>
      </c>
      <c r="L979" t="s">
        <v>18</v>
      </c>
      <c r="M979" t="s">
        <v>91</v>
      </c>
      <c r="Q979" s="1"/>
    </row>
    <row r="980" spans="1:17" x14ac:dyDescent="0.3">
      <c r="A980">
        <v>38</v>
      </c>
      <c r="B980">
        <v>20</v>
      </c>
      <c r="C980" s="11">
        <v>46238</v>
      </c>
      <c r="D980" t="s">
        <v>13</v>
      </c>
      <c r="E980">
        <v>7000</v>
      </c>
      <c r="F980" s="11">
        <v>46238</v>
      </c>
      <c r="G980" t="s">
        <v>77</v>
      </c>
      <c r="H980" t="s">
        <v>19</v>
      </c>
      <c r="I980">
        <v>8000</v>
      </c>
      <c r="J980" t="s">
        <v>23</v>
      </c>
      <c r="K980" t="s">
        <v>24</v>
      </c>
      <c r="L980" t="s">
        <v>25</v>
      </c>
      <c r="M980" t="s">
        <v>40</v>
      </c>
      <c r="Q980" s="1"/>
    </row>
    <row r="981" spans="1:17" x14ac:dyDescent="0.3">
      <c r="A981">
        <v>7</v>
      </c>
      <c r="B981">
        <v>5</v>
      </c>
      <c r="C981" s="11">
        <v>46267</v>
      </c>
      <c r="D981" t="s">
        <v>20</v>
      </c>
      <c r="E981">
        <v>200</v>
      </c>
      <c r="F981" s="11">
        <v>46175</v>
      </c>
      <c r="G981" t="s">
        <v>35</v>
      </c>
      <c r="H981" t="s">
        <v>54</v>
      </c>
      <c r="I981">
        <v>800</v>
      </c>
      <c r="J981" t="s">
        <v>16</v>
      </c>
      <c r="K981" t="s">
        <v>29</v>
      </c>
      <c r="L981" t="s">
        <v>18</v>
      </c>
      <c r="M981" t="s">
        <v>101</v>
      </c>
      <c r="Q981" s="1"/>
    </row>
    <row r="982" spans="1:17" x14ac:dyDescent="0.3">
      <c r="A982">
        <v>34</v>
      </c>
      <c r="B982">
        <v>18</v>
      </c>
      <c r="C982" s="11">
        <v>46177</v>
      </c>
      <c r="D982" t="s">
        <v>13</v>
      </c>
      <c r="E982">
        <v>7000</v>
      </c>
      <c r="F982" s="11">
        <v>46238</v>
      </c>
      <c r="G982" t="s">
        <v>69</v>
      </c>
      <c r="H982" t="s">
        <v>19</v>
      </c>
      <c r="I982">
        <v>7000</v>
      </c>
      <c r="J982" t="s">
        <v>16</v>
      </c>
      <c r="K982" t="s">
        <v>17</v>
      </c>
      <c r="L982" t="s">
        <v>25</v>
      </c>
      <c r="M982" t="s">
        <v>19</v>
      </c>
      <c r="Q982" s="1"/>
    </row>
    <row r="983" spans="1:17" x14ac:dyDescent="0.3">
      <c r="A983">
        <v>15</v>
      </c>
      <c r="B983">
        <v>10</v>
      </c>
      <c r="C983" s="11">
        <v>46026</v>
      </c>
      <c r="D983" t="s">
        <v>20</v>
      </c>
      <c r="E983">
        <v>1000</v>
      </c>
      <c r="F983" s="11">
        <v>46268</v>
      </c>
      <c r="G983" t="s">
        <v>75</v>
      </c>
      <c r="H983" t="s">
        <v>67</v>
      </c>
      <c r="I983">
        <v>1300</v>
      </c>
      <c r="J983" t="s">
        <v>16</v>
      </c>
      <c r="K983" t="s">
        <v>29</v>
      </c>
      <c r="L983" t="s">
        <v>18</v>
      </c>
      <c r="M983" t="s">
        <v>85</v>
      </c>
      <c r="Q983" s="1"/>
    </row>
    <row r="984" spans="1:17" x14ac:dyDescent="0.3">
      <c r="A984">
        <v>40</v>
      </c>
      <c r="B984">
        <v>19</v>
      </c>
      <c r="C984" s="11">
        <v>46238</v>
      </c>
      <c r="D984" t="s">
        <v>13</v>
      </c>
      <c r="E984">
        <v>7000</v>
      </c>
      <c r="F984" s="11">
        <v>46238</v>
      </c>
      <c r="G984" t="s">
        <v>77</v>
      </c>
      <c r="H984" t="s">
        <v>19</v>
      </c>
      <c r="I984">
        <v>8000</v>
      </c>
      <c r="J984" t="s">
        <v>23</v>
      </c>
      <c r="K984" t="s">
        <v>24</v>
      </c>
      <c r="L984" t="s">
        <v>25</v>
      </c>
      <c r="M984" t="s">
        <v>40</v>
      </c>
      <c r="Q984" s="1"/>
    </row>
    <row r="985" spans="1:17" x14ac:dyDescent="0.3">
      <c r="A985">
        <v>9</v>
      </c>
      <c r="B985">
        <v>6</v>
      </c>
      <c r="C985" s="11">
        <v>46025</v>
      </c>
      <c r="D985" t="s">
        <v>20</v>
      </c>
      <c r="E985">
        <v>300</v>
      </c>
      <c r="F985" s="11">
        <v>46267</v>
      </c>
      <c r="G985" t="s">
        <v>62</v>
      </c>
      <c r="H985" t="s">
        <v>22</v>
      </c>
      <c r="I985">
        <v>1100</v>
      </c>
      <c r="J985" t="s">
        <v>16</v>
      </c>
      <c r="K985" t="s">
        <v>29</v>
      </c>
      <c r="L985" t="s">
        <v>18</v>
      </c>
      <c r="M985" t="s">
        <v>63</v>
      </c>
      <c r="Q985" s="1"/>
    </row>
    <row r="986" spans="1:17" x14ac:dyDescent="0.3">
      <c r="A986">
        <v>40</v>
      </c>
      <c r="B986">
        <v>20</v>
      </c>
      <c r="C986" s="11">
        <v>46238</v>
      </c>
      <c r="D986" t="s">
        <v>13</v>
      </c>
      <c r="E986">
        <v>7000</v>
      </c>
      <c r="F986" s="11">
        <v>46238</v>
      </c>
      <c r="G986" t="s">
        <v>77</v>
      </c>
      <c r="H986" t="s">
        <v>19</v>
      </c>
      <c r="I986">
        <v>8000</v>
      </c>
      <c r="J986" t="s">
        <v>23</v>
      </c>
      <c r="K986" t="s">
        <v>24</v>
      </c>
      <c r="L986" t="s">
        <v>25</v>
      </c>
      <c r="M986" t="s">
        <v>40</v>
      </c>
      <c r="Q986" s="1"/>
    </row>
    <row r="987" spans="1:17" x14ac:dyDescent="0.3">
      <c r="A987">
        <v>7</v>
      </c>
      <c r="B987">
        <v>6</v>
      </c>
      <c r="C987" s="11" t="s">
        <v>52</v>
      </c>
      <c r="D987" t="s">
        <v>20</v>
      </c>
      <c r="E987">
        <v>300</v>
      </c>
      <c r="F987" s="11">
        <v>46267</v>
      </c>
      <c r="G987" t="s">
        <v>35</v>
      </c>
      <c r="H987" t="s">
        <v>22</v>
      </c>
      <c r="I987">
        <v>800</v>
      </c>
      <c r="J987" t="s">
        <v>16</v>
      </c>
      <c r="K987" t="s">
        <v>29</v>
      </c>
      <c r="L987" t="s">
        <v>18</v>
      </c>
      <c r="M987" t="s">
        <v>63</v>
      </c>
      <c r="Q987" s="1"/>
    </row>
    <row r="988" spans="1:17" x14ac:dyDescent="0.3">
      <c r="A988">
        <v>35</v>
      </c>
      <c r="B988">
        <v>19</v>
      </c>
      <c r="C988" s="11">
        <v>46207</v>
      </c>
      <c r="D988" t="s">
        <v>13</v>
      </c>
      <c r="E988">
        <v>7000</v>
      </c>
      <c r="F988" s="11">
        <v>46238</v>
      </c>
      <c r="G988" t="s">
        <v>74</v>
      </c>
      <c r="H988" t="s">
        <v>19</v>
      </c>
      <c r="I988">
        <v>10000</v>
      </c>
      <c r="J988" t="s">
        <v>23</v>
      </c>
      <c r="K988" t="s">
        <v>17</v>
      </c>
      <c r="L988" t="s">
        <v>25</v>
      </c>
      <c r="M988" t="s">
        <v>19</v>
      </c>
      <c r="Q988" s="1"/>
    </row>
    <row r="989" spans="1:17" x14ac:dyDescent="0.3">
      <c r="A989">
        <v>23</v>
      </c>
      <c r="B989">
        <v>13</v>
      </c>
      <c r="C989" s="11">
        <v>46085</v>
      </c>
      <c r="D989" t="s">
        <v>20</v>
      </c>
      <c r="E989">
        <v>1000</v>
      </c>
      <c r="F989" s="11" t="s">
        <v>64</v>
      </c>
      <c r="G989" t="s">
        <v>72</v>
      </c>
      <c r="H989" t="s">
        <v>36</v>
      </c>
      <c r="I989">
        <v>800</v>
      </c>
      <c r="J989" t="s">
        <v>16</v>
      </c>
      <c r="K989" t="s">
        <v>29</v>
      </c>
      <c r="L989" t="s">
        <v>18</v>
      </c>
      <c r="M989" t="s">
        <v>28</v>
      </c>
      <c r="Q989" s="1"/>
    </row>
    <row r="990" spans="1:17" x14ac:dyDescent="0.3">
      <c r="A990">
        <v>38</v>
      </c>
      <c r="B990">
        <v>20</v>
      </c>
      <c r="C990" s="11">
        <v>46238</v>
      </c>
      <c r="D990" t="s">
        <v>13</v>
      </c>
      <c r="E990">
        <v>7000</v>
      </c>
      <c r="F990" s="11">
        <v>46238</v>
      </c>
      <c r="G990" t="s">
        <v>77</v>
      </c>
      <c r="H990" t="s">
        <v>19</v>
      </c>
      <c r="I990">
        <v>8000</v>
      </c>
      <c r="J990" t="s">
        <v>23</v>
      </c>
      <c r="K990" t="s">
        <v>24</v>
      </c>
      <c r="L990" t="s">
        <v>25</v>
      </c>
      <c r="M990" t="s">
        <v>40</v>
      </c>
      <c r="Q990" s="1"/>
    </row>
    <row r="991" spans="1:17" x14ac:dyDescent="0.3">
      <c r="A991">
        <v>8</v>
      </c>
      <c r="B991">
        <v>7</v>
      </c>
      <c r="C991" s="11">
        <v>46025</v>
      </c>
      <c r="D991" t="s">
        <v>20</v>
      </c>
      <c r="E991">
        <v>300</v>
      </c>
      <c r="F991" s="11" t="s">
        <v>52</v>
      </c>
      <c r="G991" t="s">
        <v>48</v>
      </c>
      <c r="H991" t="s">
        <v>112</v>
      </c>
      <c r="I991">
        <v>400</v>
      </c>
      <c r="J991" t="s">
        <v>16</v>
      </c>
      <c r="K991" t="s">
        <v>29</v>
      </c>
      <c r="L991" t="s">
        <v>18</v>
      </c>
      <c r="M991" t="s">
        <v>101</v>
      </c>
      <c r="Q991" s="1"/>
    </row>
    <row r="992" spans="1:17" x14ac:dyDescent="0.3">
      <c r="A992">
        <v>36</v>
      </c>
      <c r="B992">
        <v>18</v>
      </c>
      <c r="C992" s="11">
        <v>46207</v>
      </c>
      <c r="D992" t="s">
        <v>13</v>
      </c>
      <c r="E992">
        <v>7000</v>
      </c>
      <c r="F992" s="11">
        <v>46238</v>
      </c>
      <c r="G992" t="s">
        <v>69</v>
      </c>
      <c r="H992" t="s">
        <v>49</v>
      </c>
      <c r="I992">
        <v>6000</v>
      </c>
      <c r="J992" t="s">
        <v>23</v>
      </c>
      <c r="K992" t="s">
        <v>17</v>
      </c>
      <c r="L992" t="s">
        <v>25</v>
      </c>
      <c r="M992" t="s">
        <v>19</v>
      </c>
      <c r="Q992" s="1"/>
    </row>
    <row r="993" spans="1:17" x14ac:dyDescent="0.3">
      <c r="A993">
        <v>12</v>
      </c>
      <c r="B993">
        <v>8</v>
      </c>
      <c r="C993" s="11">
        <v>46176</v>
      </c>
      <c r="D993" t="s">
        <v>20</v>
      </c>
      <c r="E993">
        <v>800</v>
      </c>
      <c r="F993" s="11">
        <v>46115</v>
      </c>
      <c r="G993" t="s">
        <v>42</v>
      </c>
      <c r="H993" t="s">
        <v>45</v>
      </c>
      <c r="I993">
        <v>1200</v>
      </c>
      <c r="J993" t="s">
        <v>16</v>
      </c>
      <c r="K993" t="s">
        <v>29</v>
      </c>
      <c r="L993" t="s">
        <v>18</v>
      </c>
      <c r="M993" t="s">
        <v>28</v>
      </c>
      <c r="Q993" s="1"/>
    </row>
    <row r="994" spans="1:17" x14ac:dyDescent="0.3">
      <c r="A994">
        <v>50</v>
      </c>
      <c r="B994">
        <v>20</v>
      </c>
      <c r="C994" s="11" t="s">
        <v>81</v>
      </c>
      <c r="D994" t="s">
        <v>13</v>
      </c>
      <c r="E994">
        <v>10000</v>
      </c>
      <c r="F994" s="11">
        <v>46269</v>
      </c>
      <c r="G994" t="s">
        <v>53</v>
      </c>
      <c r="H994" t="s">
        <v>41</v>
      </c>
      <c r="I994">
        <v>10000</v>
      </c>
      <c r="J994" t="s">
        <v>23</v>
      </c>
      <c r="K994" t="s">
        <v>17</v>
      </c>
      <c r="L994" t="s">
        <v>25</v>
      </c>
      <c r="M994" t="s">
        <v>41</v>
      </c>
      <c r="Q994" s="1"/>
    </row>
    <row r="995" spans="1:17" x14ac:dyDescent="0.3">
      <c r="A995">
        <v>9</v>
      </c>
      <c r="B995">
        <v>7</v>
      </c>
      <c r="C995" s="11">
        <v>46025</v>
      </c>
      <c r="D995" t="s">
        <v>20</v>
      </c>
      <c r="E995">
        <v>300</v>
      </c>
      <c r="F995" s="11">
        <v>46267</v>
      </c>
      <c r="G995" t="s">
        <v>62</v>
      </c>
      <c r="H995" t="s">
        <v>22</v>
      </c>
      <c r="I995">
        <v>1100</v>
      </c>
      <c r="J995" t="s">
        <v>16</v>
      </c>
      <c r="K995" t="s">
        <v>29</v>
      </c>
      <c r="L995" t="s">
        <v>18</v>
      </c>
      <c r="M995" t="s">
        <v>63</v>
      </c>
      <c r="Q995" s="1"/>
    </row>
    <row r="996" spans="1:17" x14ac:dyDescent="0.3">
      <c r="A996">
        <v>41</v>
      </c>
      <c r="B996">
        <v>20</v>
      </c>
      <c r="C996" s="11">
        <v>46238</v>
      </c>
      <c r="D996" t="s">
        <v>13</v>
      </c>
      <c r="E996">
        <v>8000</v>
      </c>
      <c r="F996" s="11">
        <v>46207</v>
      </c>
      <c r="G996" t="s">
        <v>65</v>
      </c>
      <c r="H996" t="s">
        <v>19</v>
      </c>
      <c r="I996">
        <v>8000</v>
      </c>
      <c r="J996" t="s">
        <v>23</v>
      </c>
      <c r="K996" t="s">
        <v>24</v>
      </c>
      <c r="L996" t="s">
        <v>25</v>
      </c>
      <c r="M996" t="s">
        <v>40</v>
      </c>
      <c r="Q996" s="1"/>
    </row>
    <row r="997" spans="1:17" x14ac:dyDescent="0.3">
      <c r="A997">
        <v>7</v>
      </c>
      <c r="B997">
        <v>7</v>
      </c>
      <c r="C997" s="11" t="s">
        <v>52</v>
      </c>
      <c r="D997" t="s">
        <v>20</v>
      </c>
      <c r="E997">
        <v>300</v>
      </c>
      <c r="F997" s="11">
        <v>46236</v>
      </c>
      <c r="G997" t="s">
        <v>35</v>
      </c>
      <c r="H997" t="s">
        <v>22</v>
      </c>
      <c r="I997">
        <v>800</v>
      </c>
      <c r="J997" t="s">
        <v>16</v>
      </c>
      <c r="K997" t="s">
        <v>29</v>
      </c>
      <c r="L997" t="s">
        <v>18</v>
      </c>
      <c r="M997" t="s">
        <v>63</v>
      </c>
      <c r="Q997" s="1"/>
    </row>
    <row r="998" spans="1:17" x14ac:dyDescent="0.3">
      <c r="A998">
        <v>36</v>
      </c>
      <c r="B998">
        <v>19</v>
      </c>
      <c r="C998" s="11">
        <v>46238</v>
      </c>
      <c r="D998" t="s">
        <v>13</v>
      </c>
      <c r="E998">
        <v>7000</v>
      </c>
      <c r="F998" s="11">
        <v>46238</v>
      </c>
      <c r="G998" t="s">
        <v>69</v>
      </c>
      <c r="H998" t="s">
        <v>49</v>
      </c>
      <c r="I998">
        <v>6000</v>
      </c>
      <c r="J998" t="s">
        <v>23</v>
      </c>
      <c r="K998" t="s">
        <v>17</v>
      </c>
      <c r="L998" t="s">
        <v>25</v>
      </c>
      <c r="M998" t="s">
        <v>19</v>
      </c>
      <c r="Q998" s="1"/>
    </row>
    <row r="999" spans="1:17" x14ac:dyDescent="0.3">
      <c r="A999">
        <v>13</v>
      </c>
      <c r="B999">
        <v>9</v>
      </c>
      <c r="C999" s="11">
        <v>46206</v>
      </c>
      <c r="D999" t="s">
        <v>20</v>
      </c>
      <c r="E999">
        <v>900</v>
      </c>
      <c r="F999" s="11">
        <v>46145</v>
      </c>
      <c r="G999" t="s">
        <v>42</v>
      </c>
      <c r="H999" t="s">
        <v>45</v>
      </c>
      <c r="I999">
        <v>1200</v>
      </c>
      <c r="J999" t="s">
        <v>16</v>
      </c>
      <c r="K999" t="s">
        <v>29</v>
      </c>
      <c r="L999" t="s">
        <v>18</v>
      </c>
      <c r="M999" t="s">
        <v>28</v>
      </c>
      <c r="Q999" s="1"/>
    </row>
    <row r="1000" spans="1:17" x14ac:dyDescent="0.3">
      <c r="A1000">
        <v>50</v>
      </c>
      <c r="B1000">
        <v>20</v>
      </c>
      <c r="C1000" s="11" t="s">
        <v>81</v>
      </c>
      <c r="D1000" t="s">
        <v>13</v>
      </c>
      <c r="E1000">
        <v>10000</v>
      </c>
      <c r="F1000" s="11">
        <v>46269</v>
      </c>
      <c r="G1000" t="s">
        <v>53</v>
      </c>
      <c r="H1000" t="s">
        <v>41</v>
      </c>
      <c r="I1000">
        <v>10000</v>
      </c>
      <c r="J1000" t="s">
        <v>23</v>
      </c>
      <c r="K1000" t="s">
        <v>17</v>
      </c>
      <c r="L1000" t="s">
        <v>25</v>
      </c>
      <c r="M1000" t="s">
        <v>41</v>
      </c>
      <c r="Q1000" s="1"/>
    </row>
    <row r="1001" spans="1:17" x14ac:dyDescent="0.3">
      <c r="A1001">
        <v>10</v>
      </c>
      <c r="B1001">
        <v>7</v>
      </c>
      <c r="C1001" s="11">
        <v>46056</v>
      </c>
      <c r="D1001" t="s">
        <v>20</v>
      </c>
      <c r="E1001">
        <v>600</v>
      </c>
      <c r="F1001" s="11" t="s">
        <v>52</v>
      </c>
      <c r="G1001" t="s">
        <v>62</v>
      </c>
      <c r="H1001" t="s">
        <v>22</v>
      </c>
      <c r="I1001">
        <v>1100</v>
      </c>
      <c r="J1001" t="s">
        <v>16</v>
      </c>
      <c r="K1001" t="s">
        <v>29</v>
      </c>
      <c r="L1001" t="s">
        <v>18</v>
      </c>
      <c r="M1001" t="s">
        <v>63</v>
      </c>
      <c r="Q1001" s="1"/>
    </row>
    <row r="1002" spans="1:17" x14ac:dyDescent="0.3">
      <c r="A1002">
        <v>37</v>
      </c>
      <c r="B1002">
        <v>20</v>
      </c>
      <c r="C1002" s="11">
        <v>46238</v>
      </c>
      <c r="D1002" t="s">
        <v>13</v>
      </c>
      <c r="E1002">
        <v>7000</v>
      </c>
      <c r="F1002" s="11">
        <v>46238</v>
      </c>
      <c r="G1002" t="s">
        <v>69</v>
      </c>
      <c r="H1002" t="s">
        <v>49</v>
      </c>
      <c r="I1002">
        <v>6000</v>
      </c>
      <c r="J1002" t="s">
        <v>23</v>
      </c>
      <c r="K1002" t="s">
        <v>17</v>
      </c>
      <c r="L1002" t="s">
        <v>25</v>
      </c>
      <c r="M1002" t="s">
        <v>19</v>
      </c>
      <c r="Q1002" s="1"/>
    </row>
    <row r="1003" spans="1:17" x14ac:dyDescent="0.3">
      <c r="A1003">
        <v>14</v>
      </c>
      <c r="B1003">
        <v>10</v>
      </c>
      <c r="C1003" s="11" t="s">
        <v>64</v>
      </c>
      <c r="D1003" t="s">
        <v>20</v>
      </c>
      <c r="E1003">
        <v>1000</v>
      </c>
      <c r="F1003" s="11">
        <v>46268</v>
      </c>
      <c r="G1003" t="s">
        <v>42</v>
      </c>
      <c r="H1003" t="s">
        <v>45</v>
      </c>
      <c r="I1003">
        <v>1200</v>
      </c>
      <c r="J1003" t="s">
        <v>16</v>
      </c>
      <c r="K1003" t="s">
        <v>29</v>
      </c>
      <c r="L1003" t="s">
        <v>18</v>
      </c>
      <c r="M1003" t="s">
        <v>28</v>
      </c>
      <c r="Q1003" s="1"/>
    </row>
    <row r="1004" spans="1:17" x14ac:dyDescent="0.3">
      <c r="A1004">
        <v>20</v>
      </c>
      <c r="B1004">
        <v>5</v>
      </c>
      <c r="C1004" s="11">
        <v>46085</v>
      </c>
      <c r="D1004" t="s">
        <v>20</v>
      </c>
      <c r="E1004">
        <v>300</v>
      </c>
      <c r="F1004" s="11">
        <v>46207</v>
      </c>
      <c r="G1004" t="s">
        <v>48</v>
      </c>
      <c r="H1004" t="s">
        <v>15</v>
      </c>
      <c r="I1004">
        <v>700</v>
      </c>
      <c r="J1004" t="s">
        <v>16</v>
      </c>
      <c r="K1004" t="s">
        <v>33</v>
      </c>
      <c r="L1004" t="s">
        <v>18</v>
      </c>
      <c r="M1004" t="s">
        <v>19</v>
      </c>
      <c r="Q1004" s="1"/>
    </row>
    <row r="1005" spans="1:17" x14ac:dyDescent="0.3">
      <c r="A1005">
        <v>10</v>
      </c>
      <c r="B1005">
        <v>2</v>
      </c>
      <c r="C1005" s="11">
        <v>46237</v>
      </c>
      <c r="D1005" t="s">
        <v>13</v>
      </c>
      <c r="E1005">
        <v>1000</v>
      </c>
      <c r="F1005" s="11">
        <v>46057</v>
      </c>
      <c r="G1005" t="s">
        <v>75</v>
      </c>
      <c r="H1005" t="s">
        <v>28</v>
      </c>
      <c r="I1005">
        <v>500</v>
      </c>
      <c r="J1005" t="s">
        <v>23</v>
      </c>
      <c r="K1005" t="s">
        <v>17</v>
      </c>
      <c r="L1005" t="s">
        <v>18</v>
      </c>
      <c r="M1005" t="s">
        <v>28</v>
      </c>
      <c r="Q1005" s="1"/>
    </row>
    <row r="1006" spans="1:17" x14ac:dyDescent="0.3">
      <c r="A1006">
        <v>5</v>
      </c>
      <c r="B1006">
        <v>1</v>
      </c>
      <c r="C1006" s="11">
        <v>46146</v>
      </c>
      <c r="D1006" t="s">
        <v>20</v>
      </c>
      <c r="E1006">
        <v>1000</v>
      </c>
      <c r="F1006" s="11">
        <v>46268</v>
      </c>
      <c r="G1006" t="s">
        <v>21</v>
      </c>
      <c r="H1006" t="s">
        <v>19</v>
      </c>
      <c r="I1006">
        <v>900</v>
      </c>
      <c r="J1006" t="s">
        <v>16</v>
      </c>
      <c r="K1006" t="s">
        <v>24</v>
      </c>
      <c r="L1006" t="s">
        <v>34</v>
      </c>
      <c r="M1006" t="s">
        <v>15</v>
      </c>
      <c r="Q1006" s="1"/>
    </row>
    <row r="1007" spans="1:17" x14ac:dyDescent="0.3">
      <c r="A1007">
        <v>15</v>
      </c>
      <c r="B1007">
        <v>3</v>
      </c>
      <c r="C1007" s="11">
        <v>46057</v>
      </c>
      <c r="D1007" t="s">
        <v>20</v>
      </c>
      <c r="E1007">
        <v>2000</v>
      </c>
      <c r="F1007" s="11">
        <v>46238</v>
      </c>
      <c r="G1007" t="s">
        <v>77</v>
      </c>
      <c r="H1007" t="s">
        <v>30</v>
      </c>
      <c r="I1007">
        <v>1000</v>
      </c>
      <c r="J1007" t="s">
        <v>23</v>
      </c>
      <c r="K1007" t="s">
        <v>29</v>
      </c>
      <c r="L1007" t="s">
        <v>25</v>
      </c>
      <c r="M1007" t="s">
        <v>30</v>
      </c>
      <c r="Q1007" s="1"/>
    </row>
    <row r="1008" spans="1:17" x14ac:dyDescent="0.3">
      <c r="A1008">
        <v>8</v>
      </c>
      <c r="B1008">
        <v>0</v>
      </c>
      <c r="C1008" s="11" t="s">
        <v>64</v>
      </c>
      <c r="D1008" t="s">
        <v>13</v>
      </c>
      <c r="E1008">
        <v>400</v>
      </c>
      <c r="F1008" s="11">
        <v>46145</v>
      </c>
      <c r="G1008" t="s">
        <v>66</v>
      </c>
      <c r="H1008" t="s">
        <v>45</v>
      </c>
      <c r="I1008">
        <v>800</v>
      </c>
      <c r="J1008" t="s">
        <v>16</v>
      </c>
      <c r="K1008" t="s">
        <v>17</v>
      </c>
      <c r="L1008" t="s">
        <v>25</v>
      </c>
      <c r="M1008" t="s">
        <v>43</v>
      </c>
      <c r="Q1008" s="1"/>
    </row>
    <row r="1009" spans="1:17" x14ac:dyDescent="0.3">
      <c r="A1009">
        <v>25</v>
      </c>
      <c r="B1009">
        <v>7</v>
      </c>
      <c r="C1009" s="11">
        <v>46238</v>
      </c>
      <c r="D1009" t="s">
        <v>13</v>
      </c>
      <c r="E1009">
        <v>5000</v>
      </c>
      <c r="F1009" s="11">
        <v>46269</v>
      </c>
      <c r="G1009" t="s">
        <v>14</v>
      </c>
      <c r="H1009" t="s">
        <v>19</v>
      </c>
      <c r="I1009">
        <v>700</v>
      </c>
      <c r="J1009" t="s">
        <v>16</v>
      </c>
      <c r="K1009" t="s">
        <v>33</v>
      </c>
      <c r="L1009" t="s">
        <v>18</v>
      </c>
      <c r="M1009" t="s">
        <v>19</v>
      </c>
      <c r="Q1009" s="1"/>
    </row>
    <row r="1010" spans="1:17" x14ac:dyDescent="0.3">
      <c r="A1010">
        <v>30</v>
      </c>
      <c r="B1010">
        <v>10</v>
      </c>
      <c r="C1010" s="11">
        <v>46207</v>
      </c>
      <c r="D1010" t="s">
        <v>20</v>
      </c>
      <c r="E1010">
        <v>1000</v>
      </c>
      <c r="F1010" s="11">
        <v>46177</v>
      </c>
      <c r="G1010" t="s">
        <v>115</v>
      </c>
      <c r="H1010" t="s">
        <v>63</v>
      </c>
      <c r="I1010">
        <v>400</v>
      </c>
      <c r="J1010" t="s">
        <v>23</v>
      </c>
      <c r="K1010" t="s">
        <v>17</v>
      </c>
      <c r="L1010" t="s">
        <v>18</v>
      </c>
      <c r="M1010" t="s">
        <v>15</v>
      </c>
      <c r="Q1010" s="1"/>
    </row>
    <row r="1011" spans="1:17" x14ac:dyDescent="0.3">
      <c r="A1011">
        <v>12</v>
      </c>
      <c r="B1011">
        <v>4</v>
      </c>
      <c r="C1011" s="11">
        <v>46145</v>
      </c>
      <c r="D1011" t="s">
        <v>20</v>
      </c>
      <c r="E1011">
        <v>2000</v>
      </c>
      <c r="F1011" s="11">
        <v>46115</v>
      </c>
      <c r="G1011" t="s">
        <v>116</v>
      </c>
      <c r="H1011" t="s">
        <v>67</v>
      </c>
      <c r="I1011">
        <v>900</v>
      </c>
      <c r="J1011" t="s">
        <v>16</v>
      </c>
      <c r="K1011" t="s">
        <v>33</v>
      </c>
      <c r="L1011" t="s">
        <v>34</v>
      </c>
      <c r="M1011" t="s">
        <v>61</v>
      </c>
      <c r="Q1011" s="1"/>
    </row>
    <row r="1012" spans="1:17" x14ac:dyDescent="0.3">
      <c r="A1012">
        <v>40</v>
      </c>
      <c r="B1012">
        <v>15</v>
      </c>
      <c r="C1012" s="11">
        <v>46269</v>
      </c>
      <c r="D1012" t="s">
        <v>13</v>
      </c>
      <c r="E1012">
        <v>8000</v>
      </c>
      <c r="F1012" s="11">
        <v>46207</v>
      </c>
      <c r="G1012" t="s">
        <v>31</v>
      </c>
      <c r="H1012" t="s">
        <v>19</v>
      </c>
      <c r="I1012">
        <v>200</v>
      </c>
      <c r="J1012" t="s">
        <v>23</v>
      </c>
      <c r="K1012" t="s">
        <v>24</v>
      </c>
      <c r="L1012" t="s">
        <v>18</v>
      </c>
      <c r="M1012" t="s">
        <v>19</v>
      </c>
      <c r="Q1012" s="1"/>
    </row>
    <row r="1013" spans="1:17" x14ac:dyDescent="0.3">
      <c r="A1013">
        <v>5</v>
      </c>
      <c r="B1013">
        <v>0</v>
      </c>
      <c r="C1013" s="11">
        <v>46144</v>
      </c>
      <c r="D1013" t="s">
        <v>13</v>
      </c>
      <c r="E1013">
        <v>1000</v>
      </c>
      <c r="F1013" s="11">
        <v>46236</v>
      </c>
      <c r="G1013" t="s">
        <v>62</v>
      </c>
      <c r="H1013" t="s">
        <v>112</v>
      </c>
      <c r="I1013">
        <v>100</v>
      </c>
      <c r="J1013" t="s">
        <v>16</v>
      </c>
      <c r="K1013" t="s">
        <v>33</v>
      </c>
      <c r="L1013" t="s">
        <v>25</v>
      </c>
      <c r="M1013" t="s">
        <v>32</v>
      </c>
      <c r="Q1013" s="1"/>
    </row>
    <row r="1014" spans="1:17" x14ac:dyDescent="0.3">
      <c r="A1014">
        <v>18</v>
      </c>
      <c r="B1014">
        <v>6</v>
      </c>
      <c r="C1014" s="11">
        <v>46026</v>
      </c>
      <c r="D1014" t="s">
        <v>20</v>
      </c>
      <c r="E1014">
        <v>3000</v>
      </c>
      <c r="F1014" s="11">
        <v>46146</v>
      </c>
      <c r="G1014" t="s">
        <v>35</v>
      </c>
      <c r="H1014" t="s">
        <v>15</v>
      </c>
      <c r="I1014">
        <v>600</v>
      </c>
      <c r="J1014" t="s">
        <v>23</v>
      </c>
      <c r="K1014" t="s">
        <v>17</v>
      </c>
      <c r="L1014" t="s">
        <v>18</v>
      </c>
      <c r="M1014" t="s">
        <v>30</v>
      </c>
      <c r="Q1014" s="1"/>
    </row>
    <row r="1015" spans="1:17" x14ac:dyDescent="0.3">
      <c r="A1015">
        <v>22</v>
      </c>
      <c r="B1015">
        <v>8</v>
      </c>
      <c r="C1015" s="11">
        <v>46177</v>
      </c>
      <c r="D1015" t="s">
        <v>20</v>
      </c>
      <c r="E1015">
        <v>600</v>
      </c>
      <c r="F1015" s="11">
        <v>46116</v>
      </c>
      <c r="G1015" t="s">
        <v>50</v>
      </c>
      <c r="H1015" t="s">
        <v>61</v>
      </c>
      <c r="I1015">
        <v>300</v>
      </c>
      <c r="J1015" t="s">
        <v>23</v>
      </c>
      <c r="K1015" t="s">
        <v>29</v>
      </c>
      <c r="L1015" t="s">
        <v>25</v>
      </c>
      <c r="M1015" t="s">
        <v>28</v>
      </c>
      <c r="Q1015" s="1"/>
    </row>
    <row r="1016" spans="1:17" x14ac:dyDescent="0.3">
      <c r="A1016">
        <v>3</v>
      </c>
      <c r="B1016">
        <v>0</v>
      </c>
      <c r="C1016" s="11" t="s">
        <v>52</v>
      </c>
      <c r="D1016" t="s">
        <v>13</v>
      </c>
      <c r="E1016">
        <v>700</v>
      </c>
      <c r="F1016" s="11">
        <v>46056</v>
      </c>
      <c r="G1016" t="s">
        <v>117</v>
      </c>
      <c r="H1016" t="s">
        <v>54</v>
      </c>
      <c r="I1016">
        <v>1000</v>
      </c>
      <c r="J1016" t="s">
        <v>23</v>
      </c>
      <c r="K1016" t="s">
        <v>33</v>
      </c>
      <c r="L1016" t="s">
        <v>18</v>
      </c>
      <c r="M1016" t="s">
        <v>26</v>
      </c>
      <c r="Q1016" s="1"/>
    </row>
    <row r="1017" spans="1:17" x14ac:dyDescent="0.3">
      <c r="A1017">
        <v>45</v>
      </c>
      <c r="B1017">
        <v>18</v>
      </c>
      <c r="C1017" s="11">
        <v>46269</v>
      </c>
      <c r="D1017" t="s">
        <v>13</v>
      </c>
      <c r="E1017">
        <v>9000</v>
      </c>
      <c r="F1017" s="11">
        <v>46269</v>
      </c>
      <c r="G1017" t="s">
        <v>42</v>
      </c>
      <c r="H1017" t="s">
        <v>19</v>
      </c>
      <c r="I1017">
        <v>900</v>
      </c>
      <c r="J1017" t="s">
        <v>23</v>
      </c>
      <c r="K1017" t="s">
        <v>33</v>
      </c>
      <c r="L1017" t="s">
        <v>34</v>
      </c>
      <c r="M1017" t="s">
        <v>41</v>
      </c>
      <c r="Q1017" s="1"/>
    </row>
    <row r="1018" spans="1:17" x14ac:dyDescent="0.3">
      <c r="A1018">
        <v>7</v>
      </c>
      <c r="B1018">
        <v>2</v>
      </c>
      <c r="C1018" s="11">
        <v>46206</v>
      </c>
      <c r="D1018" t="s">
        <v>20</v>
      </c>
      <c r="E1018">
        <v>200</v>
      </c>
      <c r="F1018" s="11">
        <v>46237</v>
      </c>
      <c r="G1018" t="s">
        <v>68</v>
      </c>
      <c r="H1018" t="s">
        <v>26</v>
      </c>
      <c r="I1018">
        <v>300</v>
      </c>
      <c r="J1018" t="s">
        <v>16</v>
      </c>
      <c r="K1018" t="s">
        <v>17</v>
      </c>
      <c r="L1018" t="s">
        <v>25</v>
      </c>
      <c r="M1018" t="s">
        <v>63</v>
      </c>
      <c r="Q1018" s="1"/>
    </row>
    <row r="1019" spans="1:17" x14ac:dyDescent="0.3">
      <c r="A1019">
        <v>10</v>
      </c>
      <c r="B1019">
        <v>2</v>
      </c>
      <c r="C1019" s="11" t="s">
        <v>64</v>
      </c>
      <c r="D1019" t="s">
        <v>13</v>
      </c>
      <c r="E1019">
        <v>800</v>
      </c>
      <c r="F1019" s="11">
        <v>46026</v>
      </c>
      <c r="G1019" t="s">
        <v>73</v>
      </c>
      <c r="H1019" t="s">
        <v>30</v>
      </c>
      <c r="I1019">
        <v>700</v>
      </c>
      <c r="J1019" t="s">
        <v>23</v>
      </c>
      <c r="K1019" t="s">
        <v>33</v>
      </c>
      <c r="L1019" t="s">
        <v>25</v>
      </c>
      <c r="M1019" t="s">
        <v>15</v>
      </c>
      <c r="Q1019" s="1"/>
    </row>
    <row r="1020" spans="1:17" x14ac:dyDescent="0.3">
      <c r="A1020">
        <v>28</v>
      </c>
      <c r="B1020">
        <v>12</v>
      </c>
      <c r="C1020" s="11">
        <v>46146</v>
      </c>
      <c r="D1020" t="s">
        <v>20</v>
      </c>
      <c r="E1020">
        <v>1500</v>
      </c>
      <c r="F1020" s="11">
        <v>46177</v>
      </c>
      <c r="G1020" t="s">
        <v>95</v>
      </c>
      <c r="H1020" t="s">
        <v>28</v>
      </c>
      <c r="I1020">
        <v>200</v>
      </c>
      <c r="J1020" t="s">
        <v>16</v>
      </c>
      <c r="K1020" t="s">
        <v>33</v>
      </c>
      <c r="L1020" t="s">
        <v>18</v>
      </c>
      <c r="M1020" t="s">
        <v>15</v>
      </c>
      <c r="Q1020" s="1"/>
    </row>
    <row r="1021" spans="1:17" x14ac:dyDescent="0.3">
      <c r="A1021">
        <v>35</v>
      </c>
      <c r="B1021">
        <v>14</v>
      </c>
      <c r="C1021" s="11">
        <v>46238</v>
      </c>
      <c r="D1021" t="s">
        <v>13</v>
      </c>
      <c r="E1021">
        <v>4000</v>
      </c>
      <c r="F1021" s="11">
        <v>46238</v>
      </c>
      <c r="G1021" t="s">
        <v>57</v>
      </c>
      <c r="H1021" t="s">
        <v>15</v>
      </c>
      <c r="I1021">
        <v>500</v>
      </c>
      <c r="J1021" t="s">
        <v>23</v>
      </c>
      <c r="K1021" t="s">
        <v>29</v>
      </c>
      <c r="L1021" t="s">
        <v>25</v>
      </c>
      <c r="M1021" t="s">
        <v>19</v>
      </c>
      <c r="Q1021" s="1"/>
    </row>
    <row r="1022" spans="1:17" x14ac:dyDescent="0.3">
      <c r="A1022">
        <v>2</v>
      </c>
      <c r="B1022">
        <v>0</v>
      </c>
      <c r="C1022" s="11" t="s">
        <v>56</v>
      </c>
      <c r="D1022" t="s">
        <v>13</v>
      </c>
      <c r="E1022">
        <v>200</v>
      </c>
      <c r="F1022" s="11">
        <v>46083</v>
      </c>
      <c r="G1022" t="s">
        <v>72</v>
      </c>
      <c r="H1022" t="s">
        <v>106</v>
      </c>
      <c r="I1022">
        <v>100</v>
      </c>
      <c r="J1022" t="s">
        <v>16</v>
      </c>
      <c r="K1022" t="s">
        <v>17</v>
      </c>
      <c r="L1022" t="s">
        <v>18</v>
      </c>
      <c r="M1022" t="s">
        <v>32</v>
      </c>
      <c r="Q1022" s="1"/>
    </row>
    <row r="1023" spans="1:17" x14ac:dyDescent="0.3">
      <c r="A1023">
        <v>16</v>
      </c>
      <c r="B1023">
        <v>5</v>
      </c>
      <c r="C1023" s="11">
        <v>46268</v>
      </c>
      <c r="D1023" t="s">
        <v>20</v>
      </c>
      <c r="E1023">
        <v>500</v>
      </c>
      <c r="F1023" s="11">
        <v>46206</v>
      </c>
      <c r="G1023" t="s">
        <v>78</v>
      </c>
      <c r="H1023" t="s">
        <v>43</v>
      </c>
      <c r="I1023">
        <v>800</v>
      </c>
      <c r="J1023" t="s">
        <v>16</v>
      </c>
      <c r="K1023" t="s">
        <v>24</v>
      </c>
      <c r="L1023" t="s">
        <v>34</v>
      </c>
      <c r="M1023" t="s">
        <v>63</v>
      </c>
      <c r="Q1023" s="1"/>
    </row>
    <row r="1024" spans="1:17" x14ac:dyDescent="0.3">
      <c r="A1024">
        <v>6</v>
      </c>
      <c r="B1024">
        <v>1</v>
      </c>
      <c r="C1024" s="11">
        <v>46056</v>
      </c>
      <c r="D1024" t="s">
        <v>13</v>
      </c>
      <c r="E1024">
        <v>6000</v>
      </c>
      <c r="F1024" s="11">
        <v>46176</v>
      </c>
      <c r="G1024" t="s">
        <v>55</v>
      </c>
      <c r="H1024" t="s">
        <v>58</v>
      </c>
      <c r="I1024">
        <v>600</v>
      </c>
      <c r="J1024" t="s">
        <v>23</v>
      </c>
      <c r="K1024" t="s">
        <v>17</v>
      </c>
      <c r="L1024" t="s">
        <v>25</v>
      </c>
      <c r="M1024" t="s">
        <v>61</v>
      </c>
      <c r="Q1024" s="1"/>
    </row>
    <row r="1025" spans="1:17" x14ac:dyDescent="0.3">
      <c r="A1025">
        <v>38</v>
      </c>
      <c r="B1025">
        <v>16</v>
      </c>
      <c r="C1025" s="11">
        <v>46207</v>
      </c>
      <c r="D1025" t="s">
        <v>20</v>
      </c>
      <c r="E1025">
        <v>7000</v>
      </c>
      <c r="F1025" s="11">
        <v>46207</v>
      </c>
      <c r="G1025" t="s">
        <v>99</v>
      </c>
      <c r="H1025" t="s">
        <v>19</v>
      </c>
      <c r="I1025">
        <v>100</v>
      </c>
      <c r="J1025" t="s">
        <v>23</v>
      </c>
      <c r="K1025" t="s">
        <v>29</v>
      </c>
      <c r="L1025" t="s">
        <v>18</v>
      </c>
      <c r="M1025" t="s">
        <v>41</v>
      </c>
      <c r="Q1025" s="1"/>
    </row>
    <row r="1026" spans="1:17" x14ac:dyDescent="0.3">
      <c r="A1026">
        <v>9</v>
      </c>
      <c r="B1026">
        <v>3</v>
      </c>
      <c r="C1026" s="11">
        <v>46176</v>
      </c>
      <c r="D1026" t="s">
        <v>13</v>
      </c>
      <c r="E1026">
        <v>900</v>
      </c>
      <c r="F1026" s="11">
        <v>46084</v>
      </c>
      <c r="G1026" t="s">
        <v>69</v>
      </c>
      <c r="H1026" t="s">
        <v>22</v>
      </c>
      <c r="I1026">
        <v>400</v>
      </c>
      <c r="J1026" t="s">
        <v>16</v>
      </c>
      <c r="K1026" t="s">
        <v>17</v>
      </c>
      <c r="L1026" t="s">
        <v>18</v>
      </c>
      <c r="M1026" t="s">
        <v>26</v>
      </c>
      <c r="Q1026" s="1"/>
    </row>
    <row r="1027" spans="1:17" x14ac:dyDescent="0.3">
      <c r="A1027">
        <v>14</v>
      </c>
      <c r="B1027">
        <v>4</v>
      </c>
      <c r="C1027" s="11">
        <v>46116</v>
      </c>
      <c r="D1027" t="s">
        <v>20</v>
      </c>
      <c r="E1027">
        <v>4000</v>
      </c>
      <c r="F1027" s="11">
        <v>46116</v>
      </c>
      <c r="G1027" t="s">
        <v>37</v>
      </c>
      <c r="H1027" t="s">
        <v>26</v>
      </c>
      <c r="I1027">
        <v>800</v>
      </c>
      <c r="J1027" t="s">
        <v>16</v>
      </c>
      <c r="K1027" t="s">
        <v>33</v>
      </c>
      <c r="L1027" t="s">
        <v>18</v>
      </c>
      <c r="M1027" t="s">
        <v>30</v>
      </c>
      <c r="Q1027" s="1"/>
    </row>
    <row r="1028" spans="1:17" x14ac:dyDescent="0.3">
      <c r="A1028">
        <v>21</v>
      </c>
      <c r="B1028">
        <v>7</v>
      </c>
      <c r="C1028" s="11">
        <v>46177</v>
      </c>
      <c r="D1028" t="s">
        <v>20</v>
      </c>
      <c r="E1028">
        <v>2000</v>
      </c>
      <c r="F1028" s="11">
        <v>46146</v>
      </c>
      <c r="G1028" t="s">
        <v>82</v>
      </c>
      <c r="H1028" t="s">
        <v>30</v>
      </c>
      <c r="I1028">
        <v>800</v>
      </c>
      <c r="J1028" t="s">
        <v>23</v>
      </c>
      <c r="K1028" t="s">
        <v>33</v>
      </c>
      <c r="L1028" t="s">
        <v>18</v>
      </c>
      <c r="M1028" t="s">
        <v>15</v>
      </c>
      <c r="Q1028" s="1"/>
    </row>
    <row r="1029" spans="1:17" x14ac:dyDescent="0.3">
      <c r="A1029">
        <v>33</v>
      </c>
      <c r="B1029">
        <v>11</v>
      </c>
      <c r="C1029" s="11">
        <v>46085</v>
      </c>
      <c r="D1029" t="s">
        <v>13</v>
      </c>
      <c r="E1029">
        <v>3000</v>
      </c>
      <c r="F1029" s="11">
        <v>46057</v>
      </c>
      <c r="G1029" t="s">
        <v>48</v>
      </c>
      <c r="H1029" t="s">
        <v>61</v>
      </c>
      <c r="I1029">
        <v>700</v>
      </c>
      <c r="J1029" t="s">
        <v>23</v>
      </c>
      <c r="K1029" t="s">
        <v>24</v>
      </c>
      <c r="L1029" t="s">
        <v>34</v>
      </c>
      <c r="M1029" t="s">
        <v>28</v>
      </c>
      <c r="Q1029" s="1"/>
    </row>
    <row r="1030" spans="1:17" x14ac:dyDescent="0.3">
      <c r="A1030">
        <v>8</v>
      </c>
      <c r="B1030">
        <v>1</v>
      </c>
      <c r="C1030" s="11">
        <v>46206</v>
      </c>
      <c r="D1030" t="s">
        <v>13</v>
      </c>
      <c r="E1030">
        <v>500</v>
      </c>
      <c r="F1030" s="11">
        <v>46237</v>
      </c>
      <c r="G1030" t="s">
        <v>75</v>
      </c>
      <c r="H1030" t="s">
        <v>43</v>
      </c>
      <c r="I1030">
        <v>300</v>
      </c>
      <c r="J1030" t="s">
        <v>16</v>
      </c>
      <c r="K1030" t="s">
        <v>33</v>
      </c>
      <c r="L1030" t="s">
        <v>18</v>
      </c>
      <c r="M1030" t="s">
        <v>61</v>
      </c>
      <c r="Q1030" s="1"/>
    </row>
    <row r="1031" spans="1:17" x14ac:dyDescent="0.3">
      <c r="A1031">
        <v>11</v>
      </c>
      <c r="B1031">
        <v>3</v>
      </c>
      <c r="C1031" s="11">
        <v>46026</v>
      </c>
      <c r="D1031" t="s">
        <v>20</v>
      </c>
      <c r="E1031">
        <v>7000</v>
      </c>
      <c r="F1031" s="11">
        <v>46116</v>
      </c>
      <c r="G1031" t="s">
        <v>21</v>
      </c>
      <c r="H1031" t="s">
        <v>15</v>
      </c>
      <c r="I1031">
        <v>900</v>
      </c>
      <c r="J1031" t="s">
        <v>23</v>
      </c>
      <c r="K1031" t="s">
        <v>29</v>
      </c>
      <c r="L1031" t="s">
        <v>34</v>
      </c>
      <c r="M1031" t="s">
        <v>19</v>
      </c>
      <c r="Q1031" s="1"/>
    </row>
    <row r="1032" spans="1:17" x14ac:dyDescent="0.3">
      <c r="A1032">
        <v>25</v>
      </c>
      <c r="B1032">
        <v>8</v>
      </c>
      <c r="C1032" s="11">
        <v>46238</v>
      </c>
      <c r="D1032" t="s">
        <v>13</v>
      </c>
      <c r="E1032">
        <v>10000</v>
      </c>
      <c r="F1032" s="11">
        <v>46269</v>
      </c>
      <c r="G1032" t="s">
        <v>118</v>
      </c>
      <c r="H1032" t="s">
        <v>19</v>
      </c>
      <c r="I1032">
        <v>600</v>
      </c>
      <c r="J1032" t="s">
        <v>23</v>
      </c>
      <c r="K1032" t="s">
        <v>33</v>
      </c>
      <c r="L1032" t="s">
        <v>25</v>
      </c>
      <c r="M1032" t="s">
        <v>41</v>
      </c>
      <c r="Q1032" s="1"/>
    </row>
    <row r="1033" spans="1:17" x14ac:dyDescent="0.3">
      <c r="A1033">
        <v>5</v>
      </c>
      <c r="B1033">
        <v>2</v>
      </c>
      <c r="C1033" s="11">
        <v>46267</v>
      </c>
      <c r="D1033" t="s">
        <v>20</v>
      </c>
      <c r="E1033">
        <v>400</v>
      </c>
      <c r="F1033" s="11">
        <v>46025</v>
      </c>
      <c r="G1033" t="s">
        <v>77</v>
      </c>
      <c r="H1033" t="s">
        <v>54</v>
      </c>
      <c r="I1033">
        <v>400</v>
      </c>
      <c r="J1033" t="s">
        <v>16</v>
      </c>
      <c r="K1033" t="s">
        <v>17</v>
      </c>
      <c r="L1033" t="s">
        <v>18</v>
      </c>
      <c r="M1033" t="s">
        <v>32</v>
      </c>
      <c r="Q1033" s="1"/>
    </row>
    <row r="1034" spans="1:17" x14ac:dyDescent="0.3">
      <c r="A1034">
        <v>17</v>
      </c>
      <c r="B1034">
        <v>6</v>
      </c>
      <c r="C1034" s="11">
        <v>46146</v>
      </c>
      <c r="D1034" t="s">
        <v>13</v>
      </c>
      <c r="E1034">
        <v>2000</v>
      </c>
      <c r="F1034" s="11">
        <v>46085</v>
      </c>
      <c r="G1034" t="s">
        <v>66</v>
      </c>
      <c r="H1034" t="s">
        <v>28</v>
      </c>
      <c r="I1034">
        <v>700</v>
      </c>
      <c r="J1034" t="s">
        <v>23</v>
      </c>
      <c r="K1034" t="s">
        <v>33</v>
      </c>
      <c r="L1034" t="s">
        <v>18</v>
      </c>
      <c r="M1034" t="s">
        <v>15</v>
      </c>
      <c r="Q1034" s="1"/>
    </row>
    <row r="1035" spans="1:17" x14ac:dyDescent="0.3">
      <c r="A1035">
        <v>29</v>
      </c>
      <c r="B1035">
        <v>9</v>
      </c>
      <c r="C1035" s="11">
        <v>46207</v>
      </c>
      <c r="D1035" t="s">
        <v>13</v>
      </c>
      <c r="E1035">
        <v>700</v>
      </c>
      <c r="F1035" s="11">
        <v>46177</v>
      </c>
      <c r="G1035" t="s">
        <v>27</v>
      </c>
      <c r="H1035" t="s">
        <v>30</v>
      </c>
      <c r="I1035">
        <v>800</v>
      </c>
      <c r="J1035" t="s">
        <v>23</v>
      </c>
      <c r="K1035" t="s">
        <v>33</v>
      </c>
      <c r="L1035" t="s">
        <v>18</v>
      </c>
      <c r="M1035" t="s">
        <v>15</v>
      </c>
      <c r="Q1035" s="1"/>
    </row>
    <row r="1036" spans="1:17" x14ac:dyDescent="0.3">
      <c r="A1036">
        <v>4</v>
      </c>
      <c r="B1036">
        <v>0</v>
      </c>
      <c r="C1036" s="11" t="s">
        <v>56</v>
      </c>
      <c r="D1036" t="s">
        <v>20</v>
      </c>
      <c r="E1036">
        <v>1000</v>
      </c>
      <c r="F1036" s="11">
        <v>46083</v>
      </c>
      <c r="G1036" t="s">
        <v>14</v>
      </c>
      <c r="H1036" t="s">
        <v>104</v>
      </c>
      <c r="I1036">
        <v>200</v>
      </c>
      <c r="J1036" t="s">
        <v>16</v>
      </c>
      <c r="K1036" t="s">
        <v>24</v>
      </c>
      <c r="L1036" t="s">
        <v>34</v>
      </c>
      <c r="M1036" t="s">
        <v>32</v>
      </c>
      <c r="Q1036" s="1"/>
    </row>
    <row r="1037" spans="1:17" x14ac:dyDescent="0.3">
      <c r="A1037">
        <v>14</v>
      </c>
      <c r="B1037">
        <v>4</v>
      </c>
      <c r="C1037" s="11">
        <v>46268</v>
      </c>
      <c r="D1037" t="s">
        <v>13</v>
      </c>
      <c r="E1037">
        <v>3000</v>
      </c>
      <c r="F1037" s="11">
        <v>46057</v>
      </c>
      <c r="G1037" t="s">
        <v>115</v>
      </c>
      <c r="H1037" t="s">
        <v>63</v>
      </c>
      <c r="I1037">
        <v>900</v>
      </c>
      <c r="J1037" t="s">
        <v>16</v>
      </c>
      <c r="K1037" t="s">
        <v>17</v>
      </c>
      <c r="L1037" t="s">
        <v>18</v>
      </c>
      <c r="M1037" t="s">
        <v>30</v>
      </c>
      <c r="Q1037" s="1"/>
    </row>
    <row r="1038" spans="1:17" x14ac:dyDescent="0.3">
      <c r="A1038">
        <v>6</v>
      </c>
      <c r="B1038">
        <v>2</v>
      </c>
      <c r="C1038" s="11">
        <v>46056</v>
      </c>
      <c r="D1038" t="s">
        <v>20</v>
      </c>
      <c r="E1038">
        <v>4000</v>
      </c>
      <c r="F1038" s="11">
        <v>46145</v>
      </c>
      <c r="G1038" t="s">
        <v>116</v>
      </c>
      <c r="H1038" t="s">
        <v>32</v>
      </c>
      <c r="I1038">
        <v>500</v>
      </c>
      <c r="J1038" t="s">
        <v>23</v>
      </c>
      <c r="K1038" t="s">
        <v>33</v>
      </c>
      <c r="L1038" t="s">
        <v>25</v>
      </c>
      <c r="M1038" t="s">
        <v>43</v>
      </c>
      <c r="Q1038" s="1"/>
    </row>
    <row r="1039" spans="1:17" x14ac:dyDescent="0.3">
      <c r="A1039">
        <v>19</v>
      </c>
      <c r="B1039">
        <v>5</v>
      </c>
      <c r="C1039" s="11">
        <v>46057</v>
      </c>
      <c r="D1039" t="s">
        <v>20</v>
      </c>
      <c r="E1039">
        <v>6000</v>
      </c>
      <c r="F1039" s="11">
        <v>46207</v>
      </c>
      <c r="G1039" t="s">
        <v>31</v>
      </c>
      <c r="H1039" t="s">
        <v>15</v>
      </c>
      <c r="I1039">
        <v>1000</v>
      </c>
      <c r="J1039" t="s">
        <v>23</v>
      </c>
      <c r="K1039" t="s">
        <v>17</v>
      </c>
      <c r="L1039" t="s">
        <v>18</v>
      </c>
      <c r="M1039" t="s">
        <v>19</v>
      </c>
      <c r="Q1039" s="1"/>
    </row>
    <row r="1040" spans="1:17" x14ac:dyDescent="0.3">
      <c r="A1040">
        <v>22</v>
      </c>
      <c r="B1040">
        <v>10</v>
      </c>
      <c r="C1040" s="11">
        <v>46116</v>
      </c>
      <c r="D1040" t="s">
        <v>13</v>
      </c>
      <c r="E1040">
        <v>1500</v>
      </c>
      <c r="F1040" s="11">
        <v>46177</v>
      </c>
      <c r="G1040" t="s">
        <v>62</v>
      </c>
      <c r="H1040" t="s">
        <v>43</v>
      </c>
      <c r="I1040">
        <v>300</v>
      </c>
      <c r="J1040" t="s">
        <v>23</v>
      </c>
      <c r="K1040" t="s">
        <v>33</v>
      </c>
      <c r="L1040" t="s">
        <v>34</v>
      </c>
      <c r="M1040" t="s">
        <v>63</v>
      </c>
      <c r="Q1040" s="1"/>
    </row>
    <row r="1041" spans="1:17" x14ac:dyDescent="0.3">
      <c r="A1041">
        <v>12</v>
      </c>
      <c r="B1041">
        <v>3</v>
      </c>
      <c r="C1041" s="11">
        <v>46237</v>
      </c>
      <c r="D1041" t="s">
        <v>20</v>
      </c>
      <c r="E1041">
        <v>5000</v>
      </c>
      <c r="F1041" s="11">
        <v>46268</v>
      </c>
      <c r="G1041" t="s">
        <v>35</v>
      </c>
      <c r="H1041" t="s">
        <v>28</v>
      </c>
      <c r="I1041">
        <v>200</v>
      </c>
      <c r="J1041" t="s">
        <v>23</v>
      </c>
      <c r="K1041" t="s">
        <v>24</v>
      </c>
      <c r="L1041" t="s">
        <v>25</v>
      </c>
      <c r="M1041" t="s">
        <v>30</v>
      </c>
      <c r="Q1041" s="1"/>
    </row>
    <row r="1042" spans="1:17" x14ac:dyDescent="0.3">
      <c r="A1042">
        <v>27</v>
      </c>
      <c r="B1042">
        <v>13</v>
      </c>
      <c r="C1042" s="11">
        <v>46177</v>
      </c>
      <c r="D1042" t="s">
        <v>13</v>
      </c>
      <c r="E1042">
        <v>8000</v>
      </c>
      <c r="F1042" s="11">
        <v>46238</v>
      </c>
      <c r="G1042" t="s">
        <v>50</v>
      </c>
      <c r="H1042" t="s">
        <v>19</v>
      </c>
      <c r="I1042">
        <v>700</v>
      </c>
      <c r="J1042" t="s">
        <v>23</v>
      </c>
      <c r="K1042" t="s">
        <v>17</v>
      </c>
      <c r="L1042" t="s">
        <v>18</v>
      </c>
      <c r="M1042" t="s">
        <v>19</v>
      </c>
      <c r="Q1042" s="1"/>
    </row>
    <row r="1043" spans="1:17" x14ac:dyDescent="0.3">
      <c r="A1043">
        <v>8</v>
      </c>
      <c r="B1043">
        <v>2</v>
      </c>
      <c r="C1043" s="11" t="s">
        <v>52</v>
      </c>
      <c r="D1043" t="s">
        <v>20</v>
      </c>
      <c r="E1043">
        <v>200</v>
      </c>
      <c r="F1043" s="11">
        <v>46115</v>
      </c>
      <c r="G1043" t="s">
        <v>117</v>
      </c>
      <c r="H1043" t="s">
        <v>58</v>
      </c>
      <c r="I1043">
        <v>600</v>
      </c>
      <c r="J1043" t="s">
        <v>23</v>
      </c>
      <c r="K1043" t="s">
        <v>33</v>
      </c>
      <c r="L1043" t="s">
        <v>34</v>
      </c>
      <c r="M1043" t="s">
        <v>61</v>
      </c>
      <c r="Q1043" s="1"/>
    </row>
    <row r="1044" spans="1:17" x14ac:dyDescent="0.3">
      <c r="A1044">
        <v>36</v>
      </c>
      <c r="B1044">
        <v>15</v>
      </c>
      <c r="C1044" s="11">
        <v>46269</v>
      </c>
      <c r="D1044" t="s">
        <v>13</v>
      </c>
      <c r="E1044">
        <v>900</v>
      </c>
      <c r="F1044" s="11">
        <v>46238</v>
      </c>
      <c r="G1044" t="s">
        <v>42</v>
      </c>
      <c r="H1044" t="s">
        <v>15</v>
      </c>
      <c r="I1044">
        <v>800</v>
      </c>
      <c r="J1044" t="s">
        <v>23</v>
      </c>
      <c r="K1044" t="s">
        <v>33</v>
      </c>
      <c r="L1044" t="s">
        <v>25</v>
      </c>
      <c r="M1044" t="s">
        <v>19</v>
      </c>
      <c r="Q1044" s="1"/>
    </row>
    <row r="1045" spans="1:17" x14ac:dyDescent="0.3">
      <c r="A1045">
        <v>15</v>
      </c>
      <c r="B1045">
        <v>5</v>
      </c>
      <c r="C1045" s="11">
        <v>46237</v>
      </c>
      <c r="D1045" t="s">
        <v>20</v>
      </c>
      <c r="E1045">
        <v>300</v>
      </c>
      <c r="F1045" s="11">
        <v>46176</v>
      </c>
      <c r="G1045" t="s">
        <v>68</v>
      </c>
      <c r="H1045" t="s">
        <v>26</v>
      </c>
      <c r="I1045">
        <v>900</v>
      </c>
      <c r="J1045" t="s">
        <v>16</v>
      </c>
      <c r="K1045" t="s">
        <v>17</v>
      </c>
      <c r="L1045" t="s">
        <v>18</v>
      </c>
      <c r="M1045" t="s">
        <v>63</v>
      </c>
      <c r="Q1045" s="1"/>
    </row>
    <row r="1046" spans="1:17" x14ac:dyDescent="0.3">
      <c r="A1046">
        <v>10</v>
      </c>
      <c r="B1046">
        <v>3</v>
      </c>
      <c r="C1046" s="11">
        <v>46145</v>
      </c>
      <c r="D1046" t="s">
        <v>13</v>
      </c>
      <c r="E1046">
        <v>6000</v>
      </c>
      <c r="F1046" s="11">
        <v>46206</v>
      </c>
      <c r="G1046" t="s">
        <v>73</v>
      </c>
      <c r="H1046" t="s">
        <v>63</v>
      </c>
      <c r="I1046">
        <v>400</v>
      </c>
      <c r="J1046" t="s">
        <v>23</v>
      </c>
      <c r="K1046" t="s">
        <v>29</v>
      </c>
      <c r="L1046" t="s">
        <v>18</v>
      </c>
      <c r="M1046" t="s">
        <v>28</v>
      </c>
      <c r="Q1046" s="1"/>
    </row>
    <row r="1047" spans="1:17" x14ac:dyDescent="0.3">
      <c r="A1047">
        <v>24</v>
      </c>
      <c r="B1047">
        <v>8</v>
      </c>
      <c r="C1047" s="11">
        <v>46085</v>
      </c>
      <c r="D1047" t="s">
        <v>20</v>
      </c>
      <c r="E1047">
        <v>2000</v>
      </c>
      <c r="F1047" s="11">
        <v>46146</v>
      </c>
      <c r="G1047" t="s">
        <v>95</v>
      </c>
      <c r="H1047" t="s">
        <v>30</v>
      </c>
      <c r="I1047">
        <v>800</v>
      </c>
      <c r="J1047" t="s">
        <v>23</v>
      </c>
      <c r="K1047" t="s">
        <v>33</v>
      </c>
      <c r="L1047" t="s">
        <v>34</v>
      </c>
      <c r="M1047" t="s">
        <v>19</v>
      </c>
      <c r="Q1047" s="1"/>
    </row>
    <row r="1048" spans="1:17" x14ac:dyDescent="0.3">
      <c r="A1048">
        <v>31</v>
      </c>
      <c r="B1048">
        <v>12</v>
      </c>
      <c r="C1048" s="11">
        <v>46238</v>
      </c>
      <c r="D1048" t="s">
        <v>13</v>
      </c>
      <c r="E1048">
        <v>4000</v>
      </c>
      <c r="F1048" s="11">
        <v>46207</v>
      </c>
      <c r="G1048" t="s">
        <v>57</v>
      </c>
      <c r="H1048" t="s">
        <v>19</v>
      </c>
      <c r="I1048">
        <v>600</v>
      </c>
      <c r="J1048" t="s">
        <v>23</v>
      </c>
      <c r="K1048" t="s">
        <v>33</v>
      </c>
      <c r="L1048" t="s">
        <v>18</v>
      </c>
      <c r="M1048" t="s">
        <v>41</v>
      </c>
      <c r="Q1048" s="1"/>
    </row>
    <row r="1049" spans="1:17" x14ac:dyDescent="0.3">
      <c r="A1049">
        <v>3</v>
      </c>
      <c r="B1049">
        <v>1</v>
      </c>
      <c r="C1049" s="11">
        <v>46144</v>
      </c>
      <c r="D1049" t="s">
        <v>13</v>
      </c>
      <c r="E1049">
        <v>300</v>
      </c>
      <c r="F1049" s="11">
        <v>46205</v>
      </c>
      <c r="G1049" t="s">
        <v>72</v>
      </c>
      <c r="H1049" t="s">
        <v>38</v>
      </c>
      <c r="I1049">
        <v>500</v>
      </c>
      <c r="J1049" t="s">
        <v>16</v>
      </c>
      <c r="K1049" t="s">
        <v>33</v>
      </c>
      <c r="L1049" t="s">
        <v>25</v>
      </c>
      <c r="M1049" t="s">
        <v>32</v>
      </c>
      <c r="Q1049" s="1"/>
    </row>
    <row r="1050" spans="1:17" x14ac:dyDescent="0.3">
      <c r="A1050">
        <v>16</v>
      </c>
      <c r="B1050">
        <v>4</v>
      </c>
      <c r="C1050" s="11">
        <v>46176</v>
      </c>
      <c r="D1050" t="s">
        <v>20</v>
      </c>
      <c r="E1050">
        <v>8000</v>
      </c>
      <c r="F1050" s="11">
        <v>46237</v>
      </c>
      <c r="G1050" t="s">
        <v>78</v>
      </c>
      <c r="H1050" t="s">
        <v>32</v>
      </c>
      <c r="I1050">
        <v>200</v>
      </c>
      <c r="J1050" t="s">
        <v>23</v>
      </c>
      <c r="K1050" t="s">
        <v>17</v>
      </c>
      <c r="L1050" t="s">
        <v>34</v>
      </c>
      <c r="M1050" t="s">
        <v>26</v>
      </c>
      <c r="Q1050" s="1"/>
    </row>
    <row r="1051" spans="1:17" x14ac:dyDescent="0.3">
      <c r="A1051">
        <v>9</v>
      </c>
      <c r="B1051">
        <v>2</v>
      </c>
      <c r="C1051" s="11" t="s">
        <v>52</v>
      </c>
      <c r="D1051" t="s">
        <v>13</v>
      </c>
      <c r="E1051">
        <v>700</v>
      </c>
      <c r="F1051" s="11">
        <v>46084</v>
      </c>
      <c r="G1051" t="s">
        <v>55</v>
      </c>
      <c r="H1051" t="s">
        <v>45</v>
      </c>
      <c r="I1051">
        <v>100</v>
      </c>
      <c r="J1051" t="s">
        <v>16</v>
      </c>
      <c r="K1051" t="s">
        <v>33</v>
      </c>
      <c r="L1051" t="s">
        <v>18</v>
      </c>
      <c r="M1051" t="s">
        <v>26</v>
      </c>
      <c r="Q1051" s="1"/>
    </row>
    <row r="1052" spans="1:17" x14ac:dyDescent="0.3">
      <c r="A1052">
        <v>39</v>
      </c>
      <c r="B1052">
        <v>17</v>
      </c>
      <c r="C1052" s="11">
        <v>46238</v>
      </c>
      <c r="D1052" t="s">
        <v>20</v>
      </c>
      <c r="E1052">
        <v>8000</v>
      </c>
      <c r="F1052" s="11">
        <v>46238</v>
      </c>
      <c r="G1052" t="s">
        <v>99</v>
      </c>
      <c r="H1052" t="s">
        <v>19</v>
      </c>
      <c r="I1052">
        <v>500</v>
      </c>
      <c r="J1052" t="s">
        <v>23</v>
      </c>
      <c r="K1052" t="s">
        <v>29</v>
      </c>
      <c r="L1052" t="s">
        <v>34</v>
      </c>
      <c r="M1052" t="s">
        <v>41</v>
      </c>
      <c r="Q1052" s="1"/>
    </row>
    <row r="1053" spans="1:17" x14ac:dyDescent="0.3">
      <c r="A1053">
        <v>7</v>
      </c>
      <c r="B1053">
        <v>1</v>
      </c>
      <c r="C1053" s="11">
        <v>46236</v>
      </c>
      <c r="D1053" t="s">
        <v>13</v>
      </c>
      <c r="E1053">
        <v>500</v>
      </c>
      <c r="F1053" s="11" t="s">
        <v>52</v>
      </c>
      <c r="G1053" t="s">
        <v>69</v>
      </c>
      <c r="H1053" t="s">
        <v>112</v>
      </c>
      <c r="I1053">
        <v>300</v>
      </c>
      <c r="J1053" t="s">
        <v>16</v>
      </c>
      <c r="K1053" t="s">
        <v>17</v>
      </c>
      <c r="L1053" t="s">
        <v>18</v>
      </c>
      <c r="M1053" t="s">
        <v>32</v>
      </c>
      <c r="Q1053" s="1"/>
    </row>
    <row r="1054" spans="1:17" x14ac:dyDescent="0.3">
      <c r="A1054">
        <v>20</v>
      </c>
      <c r="B1054">
        <v>6</v>
      </c>
      <c r="C1054" s="11">
        <v>46026</v>
      </c>
      <c r="D1054" t="s">
        <v>20</v>
      </c>
      <c r="E1054">
        <v>4000</v>
      </c>
      <c r="F1054" s="11">
        <v>46057</v>
      </c>
      <c r="G1054" t="s">
        <v>37</v>
      </c>
      <c r="H1054" t="s">
        <v>61</v>
      </c>
      <c r="I1054">
        <v>700</v>
      </c>
      <c r="J1054" t="s">
        <v>23</v>
      </c>
      <c r="K1054" t="s">
        <v>33</v>
      </c>
      <c r="L1054" t="s">
        <v>25</v>
      </c>
      <c r="M1054" t="s">
        <v>30</v>
      </c>
      <c r="Q1054" s="1"/>
    </row>
    <row r="1055" spans="1:17" x14ac:dyDescent="0.3">
      <c r="A1055">
        <v>23</v>
      </c>
      <c r="B1055">
        <v>7</v>
      </c>
      <c r="C1055" s="11">
        <v>46207</v>
      </c>
      <c r="D1055" t="s">
        <v>20</v>
      </c>
      <c r="E1055">
        <v>600</v>
      </c>
      <c r="F1055" s="11">
        <v>46177</v>
      </c>
      <c r="G1055" t="s">
        <v>82</v>
      </c>
      <c r="H1055" t="s">
        <v>15</v>
      </c>
      <c r="I1055">
        <v>400</v>
      </c>
      <c r="J1055" t="s">
        <v>23</v>
      </c>
      <c r="K1055" t="s">
        <v>17</v>
      </c>
      <c r="L1055" t="s">
        <v>18</v>
      </c>
      <c r="M1055" t="s">
        <v>15</v>
      </c>
      <c r="Q1055" s="1"/>
    </row>
    <row r="1056" spans="1:17" x14ac:dyDescent="0.3">
      <c r="A1056">
        <v>35</v>
      </c>
      <c r="B1056">
        <v>12</v>
      </c>
      <c r="C1056" s="11">
        <v>46116</v>
      </c>
      <c r="D1056" t="s">
        <v>13</v>
      </c>
      <c r="E1056">
        <v>2000</v>
      </c>
      <c r="F1056" s="11">
        <v>46085</v>
      </c>
      <c r="G1056" t="s">
        <v>48</v>
      </c>
      <c r="H1056" t="s">
        <v>63</v>
      </c>
      <c r="I1056">
        <v>300</v>
      </c>
      <c r="J1056" t="s">
        <v>16</v>
      </c>
      <c r="K1056" t="s">
        <v>33</v>
      </c>
      <c r="L1056" t="s">
        <v>34</v>
      </c>
      <c r="M1056" t="s">
        <v>30</v>
      </c>
      <c r="Q1056" s="1"/>
    </row>
    <row r="1057" spans="1:17" x14ac:dyDescent="0.3">
      <c r="A1057">
        <v>10</v>
      </c>
      <c r="B1057">
        <v>2</v>
      </c>
      <c r="C1057" s="11">
        <v>46176</v>
      </c>
      <c r="D1057" t="s">
        <v>13</v>
      </c>
      <c r="E1057">
        <v>5000</v>
      </c>
      <c r="F1057" s="11">
        <v>46237</v>
      </c>
      <c r="G1057" t="s">
        <v>75</v>
      </c>
      <c r="H1057" t="s">
        <v>26</v>
      </c>
      <c r="I1057">
        <v>800</v>
      </c>
      <c r="J1057" t="s">
        <v>23</v>
      </c>
      <c r="K1057" t="s">
        <v>33</v>
      </c>
      <c r="L1057" t="s">
        <v>25</v>
      </c>
      <c r="M1057" t="s">
        <v>63</v>
      </c>
      <c r="Q1057" s="1"/>
    </row>
    <row r="1058" spans="1:17" x14ac:dyDescent="0.3">
      <c r="A1058">
        <v>13</v>
      </c>
      <c r="B1058">
        <v>4</v>
      </c>
      <c r="C1058" s="11" t="s">
        <v>64</v>
      </c>
      <c r="D1058" t="s">
        <v>20</v>
      </c>
      <c r="E1058">
        <v>9000</v>
      </c>
      <c r="F1058" s="11">
        <v>46146</v>
      </c>
      <c r="G1058" t="s">
        <v>21</v>
      </c>
      <c r="H1058" t="s">
        <v>19</v>
      </c>
      <c r="I1058">
        <v>600</v>
      </c>
      <c r="J1058" t="s">
        <v>23</v>
      </c>
      <c r="K1058" t="s">
        <v>17</v>
      </c>
      <c r="L1058" t="s">
        <v>34</v>
      </c>
      <c r="M1058" t="s">
        <v>19</v>
      </c>
      <c r="Q1058" s="1"/>
    </row>
    <row r="1059" spans="1:17" x14ac:dyDescent="0.3">
      <c r="A1059">
        <v>26</v>
      </c>
      <c r="B1059">
        <v>9</v>
      </c>
      <c r="C1059" s="11">
        <v>46238</v>
      </c>
      <c r="D1059" t="s">
        <v>13</v>
      </c>
      <c r="E1059">
        <v>10000</v>
      </c>
      <c r="F1059" s="11">
        <v>46269</v>
      </c>
      <c r="G1059" t="s">
        <v>118</v>
      </c>
      <c r="H1059" t="s">
        <v>19</v>
      </c>
      <c r="I1059">
        <v>900</v>
      </c>
      <c r="J1059" t="s">
        <v>23</v>
      </c>
      <c r="K1059" t="s">
        <v>29</v>
      </c>
      <c r="L1059" t="s">
        <v>25</v>
      </c>
      <c r="M1059" t="s">
        <v>41</v>
      </c>
      <c r="Q1059" s="1"/>
    </row>
    <row r="1060" spans="1:17" x14ac:dyDescent="0.3">
      <c r="A1060">
        <v>6</v>
      </c>
      <c r="B1060">
        <v>1</v>
      </c>
      <c r="C1060" s="11">
        <v>46236</v>
      </c>
      <c r="D1060" t="s">
        <v>20</v>
      </c>
      <c r="E1060">
        <v>300</v>
      </c>
      <c r="F1060" s="11" t="s">
        <v>52</v>
      </c>
      <c r="G1060" t="s">
        <v>77</v>
      </c>
      <c r="H1060" t="s">
        <v>22</v>
      </c>
      <c r="I1060">
        <v>200</v>
      </c>
      <c r="J1060" t="s">
        <v>16</v>
      </c>
      <c r="K1060" t="s">
        <v>33</v>
      </c>
      <c r="L1060" t="s">
        <v>18</v>
      </c>
      <c r="M1060" t="s">
        <v>32</v>
      </c>
      <c r="Q1060" s="1"/>
    </row>
    <row r="1061" spans="1:17" x14ac:dyDescent="0.3">
      <c r="A1061">
        <v>18</v>
      </c>
      <c r="B1061">
        <v>7</v>
      </c>
      <c r="C1061" s="11">
        <v>46177</v>
      </c>
      <c r="D1061" t="s">
        <v>13</v>
      </c>
      <c r="E1061">
        <v>1500</v>
      </c>
      <c r="F1061" s="11">
        <v>46116</v>
      </c>
      <c r="G1061" t="s">
        <v>66</v>
      </c>
      <c r="H1061" t="s">
        <v>30</v>
      </c>
      <c r="I1061">
        <v>400</v>
      </c>
      <c r="J1061" t="s">
        <v>23</v>
      </c>
      <c r="K1061" t="s">
        <v>33</v>
      </c>
      <c r="L1061" t="s">
        <v>18</v>
      </c>
      <c r="M1061" t="s">
        <v>15</v>
      </c>
      <c r="Q1061" s="1"/>
    </row>
    <row r="1062" spans="1:17" x14ac:dyDescent="0.3">
      <c r="A1062">
        <v>30</v>
      </c>
      <c r="B1062">
        <v>10</v>
      </c>
      <c r="C1062" s="11">
        <v>46146</v>
      </c>
      <c r="D1062" t="s">
        <v>13</v>
      </c>
      <c r="E1062">
        <v>800</v>
      </c>
      <c r="F1062" s="11">
        <v>46177</v>
      </c>
      <c r="G1062" t="s">
        <v>27</v>
      </c>
      <c r="H1062" t="s">
        <v>15</v>
      </c>
      <c r="I1062">
        <v>500</v>
      </c>
      <c r="J1062" t="s">
        <v>23</v>
      </c>
      <c r="K1062" t="s">
        <v>24</v>
      </c>
      <c r="L1062" t="s">
        <v>18</v>
      </c>
      <c r="M1062" t="s">
        <v>15</v>
      </c>
      <c r="Q1062" s="1"/>
    </row>
    <row r="1063" spans="1:17" x14ac:dyDescent="0.3">
      <c r="A1063">
        <v>5</v>
      </c>
      <c r="B1063">
        <v>0</v>
      </c>
      <c r="C1063" s="11">
        <v>46235</v>
      </c>
      <c r="D1063" t="s">
        <v>20</v>
      </c>
      <c r="E1063">
        <v>1500</v>
      </c>
      <c r="F1063" s="11">
        <v>46055</v>
      </c>
      <c r="G1063" t="s">
        <v>14</v>
      </c>
      <c r="H1063" t="s">
        <v>106</v>
      </c>
      <c r="I1063">
        <v>100</v>
      </c>
      <c r="J1063" t="s">
        <v>16</v>
      </c>
      <c r="K1063" t="s">
        <v>33</v>
      </c>
      <c r="L1063" t="s">
        <v>34</v>
      </c>
      <c r="M1063" t="s">
        <v>36</v>
      </c>
      <c r="Q1063" s="1"/>
    </row>
    <row r="1064" spans="1:17" x14ac:dyDescent="0.3">
      <c r="A1064">
        <v>16</v>
      </c>
      <c r="B1064">
        <v>5</v>
      </c>
      <c r="C1064" s="11">
        <v>46237</v>
      </c>
      <c r="D1064" t="s">
        <v>13</v>
      </c>
      <c r="E1064">
        <v>4000</v>
      </c>
      <c r="F1064" s="11">
        <v>46026</v>
      </c>
      <c r="G1064" t="s">
        <v>115</v>
      </c>
      <c r="H1064" t="s">
        <v>61</v>
      </c>
      <c r="I1064">
        <v>700</v>
      </c>
      <c r="J1064" t="s">
        <v>23</v>
      </c>
      <c r="K1064" t="s">
        <v>33</v>
      </c>
      <c r="L1064" t="s">
        <v>25</v>
      </c>
      <c r="M1064" t="s">
        <v>30</v>
      </c>
      <c r="Q1064" s="1"/>
    </row>
    <row r="1065" spans="1:17" x14ac:dyDescent="0.3">
      <c r="A1065">
        <v>7</v>
      </c>
      <c r="B1065">
        <v>2</v>
      </c>
      <c r="C1065" s="11">
        <v>46025</v>
      </c>
      <c r="D1065" t="s">
        <v>20</v>
      </c>
      <c r="E1065">
        <v>5000</v>
      </c>
      <c r="F1065" s="11">
        <v>46084</v>
      </c>
      <c r="G1065" t="s">
        <v>116</v>
      </c>
      <c r="H1065" t="s">
        <v>32</v>
      </c>
      <c r="I1065">
        <v>300</v>
      </c>
      <c r="J1065" t="s">
        <v>23</v>
      </c>
      <c r="K1065" t="s">
        <v>17</v>
      </c>
      <c r="L1065" t="s">
        <v>34</v>
      </c>
      <c r="M1065" t="s">
        <v>61</v>
      </c>
      <c r="Q1065" s="1"/>
    </row>
    <row r="1066" spans="1:17" x14ac:dyDescent="0.3">
      <c r="A1066">
        <v>20</v>
      </c>
      <c r="B1066">
        <v>6</v>
      </c>
      <c r="C1066" s="11">
        <v>46085</v>
      </c>
      <c r="D1066" t="s">
        <v>20</v>
      </c>
      <c r="E1066">
        <v>700</v>
      </c>
      <c r="F1066" s="11">
        <v>46207</v>
      </c>
      <c r="G1066" t="s">
        <v>31</v>
      </c>
      <c r="H1066" t="s">
        <v>15</v>
      </c>
      <c r="I1066">
        <v>800</v>
      </c>
      <c r="J1066" t="s">
        <v>23</v>
      </c>
      <c r="K1066" t="s">
        <v>33</v>
      </c>
      <c r="L1066" t="s">
        <v>18</v>
      </c>
      <c r="M1066" t="s">
        <v>19</v>
      </c>
      <c r="Q1066" s="1"/>
    </row>
    <row r="1067" spans="1:17" x14ac:dyDescent="0.3">
      <c r="A1067">
        <v>24</v>
      </c>
      <c r="B1067">
        <v>8</v>
      </c>
      <c r="C1067" s="11">
        <v>46146</v>
      </c>
      <c r="D1067" t="s">
        <v>13</v>
      </c>
      <c r="E1067">
        <v>1000</v>
      </c>
      <c r="F1067" s="11">
        <v>46207</v>
      </c>
      <c r="G1067" t="s">
        <v>62</v>
      </c>
      <c r="H1067" t="s">
        <v>61</v>
      </c>
      <c r="I1067">
        <v>600</v>
      </c>
      <c r="J1067" t="s">
        <v>23</v>
      </c>
      <c r="K1067" t="s">
        <v>17</v>
      </c>
      <c r="L1067" t="s">
        <v>18</v>
      </c>
      <c r="M1067" t="s">
        <v>28</v>
      </c>
      <c r="Q1067" s="1"/>
    </row>
    <row r="1068" spans="1:17" x14ac:dyDescent="0.3">
      <c r="A1068">
        <v>14</v>
      </c>
      <c r="B1068">
        <v>4</v>
      </c>
      <c r="C1068" s="11">
        <v>46268</v>
      </c>
      <c r="D1068" t="s">
        <v>20</v>
      </c>
      <c r="E1068">
        <v>6000</v>
      </c>
      <c r="F1068" s="11" t="s">
        <v>64</v>
      </c>
      <c r="G1068" t="s">
        <v>35</v>
      </c>
      <c r="H1068" t="s">
        <v>28</v>
      </c>
      <c r="I1068">
        <v>200</v>
      </c>
      <c r="J1068" t="s">
        <v>23</v>
      </c>
      <c r="K1068" t="s">
        <v>33</v>
      </c>
      <c r="L1068" t="s">
        <v>18</v>
      </c>
      <c r="M1068" t="s">
        <v>63</v>
      </c>
      <c r="Q1068" s="1"/>
    </row>
    <row r="1069" spans="1:17" x14ac:dyDescent="0.3">
      <c r="A1069">
        <v>28</v>
      </c>
      <c r="B1069">
        <v>14</v>
      </c>
      <c r="C1069" s="11">
        <v>46207</v>
      </c>
      <c r="D1069" t="s">
        <v>13</v>
      </c>
      <c r="E1069">
        <v>9000</v>
      </c>
      <c r="F1069" s="11">
        <v>46238</v>
      </c>
      <c r="G1069" t="s">
        <v>50</v>
      </c>
      <c r="H1069" t="s">
        <v>19</v>
      </c>
      <c r="I1069">
        <v>1000</v>
      </c>
      <c r="J1069" t="s">
        <v>23</v>
      </c>
      <c r="K1069" t="s">
        <v>17</v>
      </c>
      <c r="L1069" t="s">
        <v>25</v>
      </c>
      <c r="M1069" t="s">
        <v>19</v>
      </c>
      <c r="Q1069" s="1"/>
    </row>
    <row r="1070" spans="1:17" x14ac:dyDescent="0.3">
      <c r="A1070">
        <v>9</v>
      </c>
      <c r="B1070">
        <v>2</v>
      </c>
      <c r="C1070" s="11">
        <v>46267</v>
      </c>
      <c r="D1070" t="s">
        <v>20</v>
      </c>
      <c r="E1070">
        <v>200</v>
      </c>
      <c r="F1070" s="11">
        <v>46056</v>
      </c>
      <c r="G1070" t="s">
        <v>117</v>
      </c>
      <c r="H1070" t="s">
        <v>67</v>
      </c>
      <c r="I1070">
        <v>500</v>
      </c>
      <c r="J1070" t="s">
        <v>23</v>
      </c>
      <c r="K1070" t="s">
        <v>33</v>
      </c>
      <c r="L1070" t="s">
        <v>25</v>
      </c>
      <c r="M1070" t="s">
        <v>43</v>
      </c>
      <c r="Q1070" s="1"/>
    </row>
    <row r="1071" spans="1:17" x14ac:dyDescent="0.3">
      <c r="A1071">
        <v>38</v>
      </c>
      <c r="B1071">
        <v>16</v>
      </c>
      <c r="C1071" s="11">
        <v>46269</v>
      </c>
      <c r="D1071" t="s">
        <v>13</v>
      </c>
      <c r="E1071">
        <v>800</v>
      </c>
      <c r="F1071" s="11">
        <v>46238</v>
      </c>
      <c r="G1071" t="s">
        <v>42</v>
      </c>
      <c r="H1071" t="s">
        <v>19</v>
      </c>
      <c r="I1071">
        <v>900</v>
      </c>
      <c r="J1071" t="s">
        <v>23</v>
      </c>
      <c r="K1071" t="s">
        <v>29</v>
      </c>
      <c r="L1071" t="s">
        <v>18</v>
      </c>
      <c r="M1071" t="s">
        <v>41</v>
      </c>
      <c r="Q1071" s="1"/>
    </row>
    <row r="1072" spans="1:17" x14ac:dyDescent="0.3">
      <c r="A1072">
        <v>12</v>
      </c>
      <c r="B1072">
        <v>3</v>
      </c>
      <c r="C1072" s="11">
        <v>46206</v>
      </c>
      <c r="D1072" t="s">
        <v>20</v>
      </c>
      <c r="E1072">
        <v>500</v>
      </c>
      <c r="F1072" s="11">
        <v>46145</v>
      </c>
      <c r="G1072" t="s">
        <v>68</v>
      </c>
      <c r="H1072" t="s">
        <v>43</v>
      </c>
      <c r="I1072">
        <v>600</v>
      </c>
      <c r="J1072" t="s">
        <v>23</v>
      </c>
      <c r="K1072" t="s">
        <v>33</v>
      </c>
      <c r="L1072" t="s">
        <v>25</v>
      </c>
      <c r="M1072" t="s">
        <v>28</v>
      </c>
      <c r="Q1072" s="1"/>
    </row>
    <row r="1073" spans="1:17" x14ac:dyDescent="0.3">
      <c r="A1073">
        <v>11</v>
      </c>
      <c r="B1073">
        <v>4</v>
      </c>
      <c r="C1073" s="11">
        <v>46115</v>
      </c>
      <c r="D1073" t="s">
        <v>13</v>
      </c>
      <c r="E1073">
        <v>7000</v>
      </c>
      <c r="F1073" s="11">
        <v>46176</v>
      </c>
      <c r="G1073" t="s">
        <v>73</v>
      </c>
      <c r="H1073" t="s">
        <v>28</v>
      </c>
      <c r="I1073">
        <v>800</v>
      </c>
      <c r="J1073" t="s">
        <v>23</v>
      </c>
      <c r="K1073" t="s">
        <v>17</v>
      </c>
      <c r="L1073" t="s">
        <v>18</v>
      </c>
      <c r="M1073" t="s">
        <v>15</v>
      </c>
      <c r="Q1073" s="1"/>
    </row>
    <row r="1074" spans="1:17" x14ac:dyDescent="0.3">
      <c r="A1074">
        <v>22</v>
      </c>
      <c r="B1074">
        <v>7</v>
      </c>
      <c r="C1074" s="11">
        <v>46057</v>
      </c>
      <c r="D1074" t="s">
        <v>20</v>
      </c>
      <c r="E1074">
        <v>2500</v>
      </c>
      <c r="F1074" s="11">
        <v>46116</v>
      </c>
      <c r="G1074" t="s">
        <v>95</v>
      </c>
      <c r="H1074" t="s">
        <v>30</v>
      </c>
      <c r="I1074">
        <v>700</v>
      </c>
      <c r="J1074" t="s">
        <v>23</v>
      </c>
      <c r="K1074" t="s">
        <v>33</v>
      </c>
      <c r="L1074" t="s">
        <v>34</v>
      </c>
      <c r="M1074" t="s">
        <v>19</v>
      </c>
      <c r="Q1074" s="1"/>
    </row>
    <row r="1075" spans="1:17" x14ac:dyDescent="0.3">
      <c r="A1075">
        <v>32</v>
      </c>
      <c r="B1075">
        <v>13</v>
      </c>
      <c r="C1075" s="11">
        <v>46269</v>
      </c>
      <c r="D1075" t="s">
        <v>13</v>
      </c>
      <c r="E1075">
        <v>4500</v>
      </c>
      <c r="F1075" s="11">
        <v>46207</v>
      </c>
      <c r="G1075" t="s">
        <v>57</v>
      </c>
      <c r="H1075" t="s">
        <v>19</v>
      </c>
      <c r="I1075">
        <v>500</v>
      </c>
      <c r="J1075" t="s">
        <v>23</v>
      </c>
      <c r="K1075" t="s">
        <v>33</v>
      </c>
      <c r="L1075" t="s">
        <v>18</v>
      </c>
      <c r="M1075" t="s">
        <v>41</v>
      </c>
      <c r="Q1075" s="1"/>
    </row>
    <row r="1076" spans="1:17" x14ac:dyDescent="0.3">
      <c r="A1076">
        <v>4</v>
      </c>
      <c r="B1076">
        <v>1</v>
      </c>
      <c r="C1076" s="11">
        <v>46083</v>
      </c>
      <c r="D1076" t="s">
        <v>13</v>
      </c>
      <c r="E1076">
        <v>400</v>
      </c>
      <c r="F1076" s="11">
        <v>46175</v>
      </c>
      <c r="G1076" t="s">
        <v>72</v>
      </c>
      <c r="H1076" t="s">
        <v>112</v>
      </c>
      <c r="I1076">
        <v>400</v>
      </c>
      <c r="J1076" t="s">
        <v>16</v>
      </c>
      <c r="K1076" t="s">
        <v>33</v>
      </c>
      <c r="L1076" t="s">
        <v>34</v>
      </c>
      <c r="M1076" t="s">
        <v>26</v>
      </c>
      <c r="Q1076" s="1"/>
    </row>
    <row r="1077" spans="1:17" x14ac:dyDescent="0.3">
      <c r="A1077">
        <v>15</v>
      </c>
      <c r="B1077">
        <v>6</v>
      </c>
      <c r="C1077" s="11">
        <v>46206</v>
      </c>
      <c r="D1077" t="s">
        <v>20</v>
      </c>
      <c r="E1077">
        <v>10000</v>
      </c>
      <c r="F1077" s="11">
        <v>46268</v>
      </c>
      <c r="G1077" t="s">
        <v>78</v>
      </c>
      <c r="H1077" t="s">
        <v>26</v>
      </c>
      <c r="I1077">
        <v>300</v>
      </c>
      <c r="J1077" t="s">
        <v>23</v>
      </c>
      <c r="K1077" t="s">
        <v>17</v>
      </c>
      <c r="L1077" t="s">
        <v>18</v>
      </c>
      <c r="M1077" t="s">
        <v>43</v>
      </c>
      <c r="Q1077" s="1"/>
    </row>
    <row r="1078" spans="1:17" x14ac:dyDescent="0.3">
      <c r="A1078">
        <v>8</v>
      </c>
      <c r="B1078">
        <v>3</v>
      </c>
      <c r="C1078" s="11">
        <v>46236</v>
      </c>
      <c r="D1078" t="s">
        <v>13</v>
      </c>
      <c r="E1078">
        <v>600</v>
      </c>
      <c r="F1078" s="11">
        <v>46025</v>
      </c>
      <c r="G1078" t="s">
        <v>55</v>
      </c>
      <c r="H1078" t="s">
        <v>22</v>
      </c>
      <c r="I1078">
        <v>700</v>
      </c>
      <c r="J1078" t="s">
        <v>23</v>
      </c>
      <c r="K1078" t="s">
        <v>33</v>
      </c>
      <c r="L1078" t="s">
        <v>25</v>
      </c>
      <c r="M1078" t="s">
        <v>43</v>
      </c>
      <c r="Q1078" s="1"/>
    </row>
    <row r="1079" spans="1:17" x14ac:dyDescent="0.3">
      <c r="A1079">
        <v>37</v>
      </c>
      <c r="B1079">
        <v>18</v>
      </c>
      <c r="C1079" s="11">
        <v>46238</v>
      </c>
      <c r="D1079" t="s">
        <v>20</v>
      </c>
      <c r="E1079">
        <v>7000</v>
      </c>
      <c r="F1079" s="11">
        <v>46238</v>
      </c>
      <c r="G1079" t="s">
        <v>99</v>
      </c>
      <c r="H1079" t="s">
        <v>19</v>
      </c>
      <c r="I1079">
        <v>600</v>
      </c>
      <c r="J1079" t="s">
        <v>23</v>
      </c>
      <c r="K1079" t="s">
        <v>29</v>
      </c>
      <c r="L1079" t="s">
        <v>34</v>
      </c>
      <c r="M1079" t="s">
        <v>41</v>
      </c>
      <c r="Q1079" s="1"/>
    </row>
    <row r="1080" spans="1:17" x14ac:dyDescent="0.3">
      <c r="A1080">
        <v>6</v>
      </c>
      <c r="B1080">
        <v>1</v>
      </c>
      <c r="C1080" s="11">
        <v>46205</v>
      </c>
      <c r="D1080" t="s">
        <v>13</v>
      </c>
      <c r="E1080">
        <v>800</v>
      </c>
      <c r="F1080" s="11">
        <v>46267</v>
      </c>
      <c r="G1080" t="s">
        <v>69</v>
      </c>
      <c r="H1080" t="s">
        <v>38</v>
      </c>
      <c r="I1080">
        <v>200</v>
      </c>
      <c r="J1080" t="s">
        <v>16</v>
      </c>
      <c r="K1080" t="s">
        <v>33</v>
      </c>
      <c r="L1080" t="s">
        <v>18</v>
      </c>
      <c r="M1080" t="s">
        <v>32</v>
      </c>
      <c r="Q1080" s="1"/>
    </row>
    <row r="1081" spans="1:17" x14ac:dyDescent="0.3">
      <c r="A1081">
        <v>19</v>
      </c>
      <c r="B1081">
        <v>5</v>
      </c>
      <c r="C1081" s="11" t="s">
        <v>64</v>
      </c>
      <c r="D1081" t="s">
        <v>20</v>
      </c>
      <c r="E1081">
        <v>4500</v>
      </c>
      <c r="F1081" s="11">
        <v>46026</v>
      </c>
      <c r="G1081" t="s">
        <v>37</v>
      </c>
      <c r="H1081" t="s">
        <v>63</v>
      </c>
      <c r="I1081">
        <v>800</v>
      </c>
      <c r="J1081" t="s">
        <v>23</v>
      </c>
      <c r="K1081" t="s">
        <v>33</v>
      </c>
      <c r="L1081" t="s">
        <v>34</v>
      </c>
      <c r="M1081" t="s">
        <v>30</v>
      </c>
      <c r="Q1081" s="1"/>
    </row>
    <row r="1082" spans="1:17" x14ac:dyDescent="0.3">
      <c r="A1082">
        <v>25</v>
      </c>
      <c r="B1082">
        <v>8</v>
      </c>
      <c r="C1082" s="11">
        <v>46238</v>
      </c>
      <c r="D1082" t="s">
        <v>20</v>
      </c>
      <c r="E1082">
        <v>700</v>
      </c>
      <c r="F1082" s="11">
        <v>46207</v>
      </c>
      <c r="G1082" t="s">
        <v>82</v>
      </c>
      <c r="H1082" t="s">
        <v>19</v>
      </c>
      <c r="I1082">
        <v>700</v>
      </c>
      <c r="J1082" t="s">
        <v>23</v>
      </c>
      <c r="K1082" t="s">
        <v>17</v>
      </c>
      <c r="L1082" t="s">
        <v>18</v>
      </c>
      <c r="M1082" t="s">
        <v>19</v>
      </c>
      <c r="Q1082" s="1"/>
    </row>
    <row r="1083" spans="1:17" x14ac:dyDescent="0.3">
      <c r="A1083">
        <v>38</v>
      </c>
      <c r="B1083">
        <v>13</v>
      </c>
      <c r="C1083" s="11">
        <v>46146</v>
      </c>
      <c r="D1083" t="s">
        <v>13</v>
      </c>
      <c r="E1083">
        <v>2500</v>
      </c>
      <c r="F1083" s="11">
        <v>46116</v>
      </c>
      <c r="G1083" t="s">
        <v>48</v>
      </c>
      <c r="H1083" t="s">
        <v>28</v>
      </c>
      <c r="I1083">
        <v>500</v>
      </c>
      <c r="J1083" t="s">
        <v>23</v>
      </c>
      <c r="K1083" t="s">
        <v>33</v>
      </c>
      <c r="L1083" t="s">
        <v>34</v>
      </c>
      <c r="M1083" t="s">
        <v>15</v>
      </c>
      <c r="Q1083" s="1"/>
    </row>
    <row r="1084" spans="1:17" x14ac:dyDescent="0.3">
      <c r="A1084">
        <v>12</v>
      </c>
      <c r="B1084">
        <v>2</v>
      </c>
      <c r="C1084" s="11">
        <v>46145</v>
      </c>
      <c r="D1084" t="s">
        <v>13</v>
      </c>
      <c r="E1084">
        <v>6000</v>
      </c>
      <c r="F1084" s="11">
        <v>46206</v>
      </c>
      <c r="G1084" t="s">
        <v>75</v>
      </c>
      <c r="H1084" t="s">
        <v>43</v>
      </c>
      <c r="I1084">
        <v>600</v>
      </c>
      <c r="J1084" t="s">
        <v>23</v>
      </c>
      <c r="K1084" t="s">
        <v>33</v>
      </c>
      <c r="L1084" t="s">
        <v>25</v>
      </c>
      <c r="M1084" t="s">
        <v>63</v>
      </c>
      <c r="Q1084" s="1"/>
    </row>
    <row r="1085" spans="1:17" x14ac:dyDescent="0.3">
      <c r="A1085">
        <v>15</v>
      </c>
      <c r="B1085">
        <v>5</v>
      </c>
      <c r="C1085" s="11">
        <v>46268</v>
      </c>
      <c r="D1085" t="s">
        <v>20</v>
      </c>
      <c r="E1085">
        <v>8000</v>
      </c>
      <c r="F1085" s="11">
        <v>46085</v>
      </c>
      <c r="G1085" t="s">
        <v>21</v>
      </c>
      <c r="H1085" t="s">
        <v>15</v>
      </c>
      <c r="I1085">
        <v>300</v>
      </c>
      <c r="J1085" t="s">
        <v>23</v>
      </c>
      <c r="K1085" t="s">
        <v>17</v>
      </c>
      <c r="L1085" t="s">
        <v>34</v>
      </c>
      <c r="M1085" t="s">
        <v>15</v>
      </c>
      <c r="Q1085" s="1"/>
    </row>
    <row r="1086" spans="1:17" x14ac:dyDescent="0.3">
      <c r="A1086">
        <v>28</v>
      </c>
      <c r="B1086">
        <v>10</v>
      </c>
      <c r="C1086" s="11">
        <v>46207</v>
      </c>
      <c r="D1086" t="s">
        <v>13</v>
      </c>
      <c r="E1086">
        <v>9000</v>
      </c>
      <c r="F1086" s="11">
        <v>46269</v>
      </c>
      <c r="G1086" t="s">
        <v>118</v>
      </c>
      <c r="H1086" t="s">
        <v>19</v>
      </c>
      <c r="I1086">
        <v>1000</v>
      </c>
      <c r="J1086" t="s">
        <v>23</v>
      </c>
      <c r="K1086" t="s">
        <v>29</v>
      </c>
      <c r="L1086" t="s">
        <v>25</v>
      </c>
      <c r="M1086" t="s">
        <v>41</v>
      </c>
      <c r="Q1086" s="1"/>
    </row>
    <row r="1087" spans="1:17" x14ac:dyDescent="0.3">
      <c r="A1087">
        <v>7</v>
      </c>
      <c r="B1087">
        <v>1</v>
      </c>
      <c r="C1087" s="11">
        <v>46175</v>
      </c>
      <c r="D1087" t="s">
        <v>20</v>
      </c>
      <c r="E1087">
        <v>500</v>
      </c>
      <c r="F1087" s="11">
        <v>46236</v>
      </c>
      <c r="G1087" t="s">
        <v>77</v>
      </c>
      <c r="H1087" t="s">
        <v>54</v>
      </c>
      <c r="I1087">
        <v>300</v>
      </c>
      <c r="J1087" t="s">
        <v>16</v>
      </c>
      <c r="K1087" t="s">
        <v>33</v>
      </c>
      <c r="L1087" t="s">
        <v>18</v>
      </c>
      <c r="M1087" t="s">
        <v>32</v>
      </c>
      <c r="Q1087" s="1"/>
    </row>
    <row r="1088" spans="1:17" x14ac:dyDescent="0.3">
      <c r="A1088">
        <v>21</v>
      </c>
      <c r="B1088">
        <v>6</v>
      </c>
      <c r="C1088" s="11">
        <v>46146</v>
      </c>
      <c r="D1088" t="s">
        <v>13</v>
      </c>
      <c r="E1088">
        <v>1000</v>
      </c>
      <c r="F1088" s="11">
        <v>46085</v>
      </c>
      <c r="G1088" t="s">
        <v>66</v>
      </c>
      <c r="H1088" t="s">
        <v>30</v>
      </c>
      <c r="I1088">
        <v>500</v>
      </c>
      <c r="J1088" t="s">
        <v>23</v>
      </c>
      <c r="K1088" t="s">
        <v>33</v>
      </c>
      <c r="L1088" t="s">
        <v>18</v>
      </c>
      <c r="M1088" t="s">
        <v>15</v>
      </c>
      <c r="Q1088" s="1"/>
    </row>
    <row r="1089" spans="1:17" x14ac:dyDescent="0.3">
      <c r="A1089">
        <v>32</v>
      </c>
      <c r="B1089">
        <v>11</v>
      </c>
      <c r="C1089" s="11">
        <v>46177</v>
      </c>
      <c r="D1089" t="s">
        <v>13</v>
      </c>
      <c r="E1089">
        <v>800</v>
      </c>
      <c r="F1089" s="11">
        <v>46207</v>
      </c>
      <c r="G1089" t="s">
        <v>27</v>
      </c>
      <c r="H1089" t="s">
        <v>15</v>
      </c>
      <c r="I1089">
        <v>400</v>
      </c>
      <c r="J1089" t="s">
        <v>23</v>
      </c>
      <c r="K1089" t="s">
        <v>24</v>
      </c>
      <c r="L1089" t="s">
        <v>18</v>
      </c>
      <c r="M1089" t="s">
        <v>15</v>
      </c>
      <c r="Q1089" s="1"/>
    </row>
    <row r="1090" spans="1:17" x14ac:dyDescent="0.3">
      <c r="A1090">
        <v>4</v>
      </c>
      <c r="B1090">
        <v>0</v>
      </c>
      <c r="C1090" s="11">
        <v>46174</v>
      </c>
      <c r="D1090" t="s">
        <v>20</v>
      </c>
      <c r="E1090">
        <v>2000</v>
      </c>
      <c r="F1090" s="11" t="s">
        <v>56</v>
      </c>
      <c r="G1090" t="s">
        <v>14</v>
      </c>
      <c r="H1090" t="s">
        <v>106</v>
      </c>
      <c r="I1090">
        <v>200</v>
      </c>
      <c r="J1090" t="s">
        <v>16</v>
      </c>
      <c r="K1090" t="s">
        <v>33</v>
      </c>
      <c r="L1090" t="s">
        <v>34</v>
      </c>
      <c r="M1090" t="s">
        <v>36</v>
      </c>
      <c r="Q1090" s="1"/>
    </row>
    <row r="1091" spans="1:17" x14ac:dyDescent="0.3">
      <c r="A1091">
        <v>14</v>
      </c>
      <c r="B1091">
        <v>4</v>
      </c>
      <c r="C1091" s="11">
        <v>46176</v>
      </c>
      <c r="D1091" t="s">
        <v>13</v>
      </c>
      <c r="E1091">
        <v>4500</v>
      </c>
      <c r="F1091" s="11">
        <v>46268</v>
      </c>
      <c r="G1091" t="s">
        <v>115</v>
      </c>
      <c r="H1091" t="s">
        <v>63</v>
      </c>
      <c r="I1091">
        <v>800</v>
      </c>
      <c r="J1091" t="s">
        <v>23</v>
      </c>
      <c r="K1091" t="s">
        <v>33</v>
      </c>
      <c r="L1091" t="s">
        <v>25</v>
      </c>
      <c r="M1091" t="s">
        <v>30</v>
      </c>
      <c r="Q1091" s="1"/>
    </row>
    <row r="1092" spans="1:17" x14ac:dyDescent="0.3">
      <c r="A1092">
        <v>8</v>
      </c>
      <c r="B1092">
        <v>2</v>
      </c>
      <c r="C1092" s="11" t="s">
        <v>52</v>
      </c>
      <c r="D1092" t="s">
        <v>20</v>
      </c>
      <c r="E1092">
        <v>6000</v>
      </c>
      <c r="F1092" s="11">
        <v>46056</v>
      </c>
      <c r="G1092" t="s">
        <v>116</v>
      </c>
      <c r="H1092" t="s">
        <v>26</v>
      </c>
      <c r="I1092">
        <v>400</v>
      </c>
      <c r="J1092" t="s">
        <v>23</v>
      </c>
      <c r="K1092" t="s">
        <v>17</v>
      </c>
      <c r="L1092" t="s">
        <v>34</v>
      </c>
      <c r="M1092" t="s">
        <v>61</v>
      </c>
      <c r="Q1092" s="1"/>
    </row>
    <row r="1093" spans="1:17" x14ac:dyDescent="0.3">
      <c r="A1093">
        <v>19</v>
      </c>
      <c r="B1093">
        <v>7</v>
      </c>
      <c r="C1093" s="11">
        <v>46026</v>
      </c>
      <c r="D1093" t="s">
        <v>20</v>
      </c>
      <c r="E1093">
        <v>800</v>
      </c>
      <c r="F1093" s="11">
        <v>46146</v>
      </c>
      <c r="G1093" t="s">
        <v>31</v>
      </c>
      <c r="H1093" t="s">
        <v>30</v>
      </c>
      <c r="I1093">
        <v>700</v>
      </c>
      <c r="J1093" t="s">
        <v>23</v>
      </c>
      <c r="K1093" t="s">
        <v>33</v>
      </c>
      <c r="L1093" t="s">
        <v>18</v>
      </c>
      <c r="M1093" t="s">
        <v>19</v>
      </c>
      <c r="Q1093" s="1"/>
    </row>
    <row r="1094" spans="1:17" x14ac:dyDescent="0.3">
      <c r="A1094">
        <v>23</v>
      </c>
      <c r="B1094">
        <v>9</v>
      </c>
      <c r="C1094" s="11">
        <v>46085</v>
      </c>
      <c r="D1094" t="s">
        <v>13</v>
      </c>
      <c r="E1094">
        <v>1500</v>
      </c>
      <c r="F1094" s="11">
        <v>46177</v>
      </c>
      <c r="G1094" t="s">
        <v>62</v>
      </c>
      <c r="H1094" t="s">
        <v>61</v>
      </c>
      <c r="I1094">
        <v>500</v>
      </c>
      <c r="J1094" t="s">
        <v>23</v>
      </c>
      <c r="K1094" t="s">
        <v>17</v>
      </c>
      <c r="L1094" t="s">
        <v>18</v>
      </c>
      <c r="M1094" t="s">
        <v>28</v>
      </c>
      <c r="Q1094" s="1"/>
    </row>
    <row r="1095" spans="1:17" x14ac:dyDescent="0.3">
      <c r="A1095">
        <v>13</v>
      </c>
      <c r="B1095">
        <v>3</v>
      </c>
      <c r="C1095" s="11">
        <v>46237</v>
      </c>
      <c r="D1095" t="s">
        <v>20</v>
      </c>
      <c r="E1095">
        <v>5000</v>
      </c>
      <c r="F1095" s="11">
        <v>46268</v>
      </c>
      <c r="G1095" t="s">
        <v>35</v>
      </c>
      <c r="H1095" t="s">
        <v>28</v>
      </c>
      <c r="I1095">
        <v>300</v>
      </c>
      <c r="J1095" t="s">
        <v>23</v>
      </c>
      <c r="K1095" t="s">
        <v>33</v>
      </c>
      <c r="L1095" t="s">
        <v>18</v>
      </c>
      <c r="M1095" t="s">
        <v>63</v>
      </c>
      <c r="Q1095" s="1"/>
    </row>
    <row r="1096" spans="1:17" x14ac:dyDescent="0.3">
      <c r="A1096">
        <v>30</v>
      </c>
      <c r="B1096">
        <v>15</v>
      </c>
      <c r="C1096" s="11">
        <v>46177</v>
      </c>
      <c r="D1096" t="s">
        <v>13</v>
      </c>
      <c r="E1096">
        <v>9500</v>
      </c>
      <c r="F1096" s="11">
        <v>46238</v>
      </c>
      <c r="G1096" t="s">
        <v>50</v>
      </c>
      <c r="H1096" t="s">
        <v>19</v>
      </c>
      <c r="I1096">
        <v>1100</v>
      </c>
      <c r="J1096" t="s">
        <v>23</v>
      </c>
      <c r="K1096" t="s">
        <v>17</v>
      </c>
      <c r="L1096" t="s">
        <v>25</v>
      </c>
      <c r="M1096" t="s">
        <v>19</v>
      </c>
      <c r="Q1096" s="1"/>
    </row>
    <row r="1097" spans="1:17" x14ac:dyDescent="0.3">
      <c r="A1097">
        <v>11</v>
      </c>
      <c r="B1097">
        <v>1</v>
      </c>
      <c r="C1097" s="11">
        <v>46205</v>
      </c>
      <c r="D1097" t="s">
        <v>20</v>
      </c>
      <c r="E1097">
        <v>100</v>
      </c>
      <c r="F1097" s="11" t="s">
        <v>52</v>
      </c>
      <c r="G1097" t="s">
        <v>117</v>
      </c>
      <c r="H1097" t="s">
        <v>67</v>
      </c>
      <c r="I1097">
        <v>600</v>
      </c>
      <c r="J1097" t="s">
        <v>23</v>
      </c>
      <c r="K1097" t="s">
        <v>33</v>
      </c>
      <c r="L1097" t="s">
        <v>25</v>
      </c>
      <c r="M1097" t="s">
        <v>43</v>
      </c>
      <c r="Q1097" s="1"/>
    </row>
    <row r="1098" spans="1:17" x14ac:dyDescent="0.3">
      <c r="A1098">
        <v>39</v>
      </c>
      <c r="B1098">
        <v>17</v>
      </c>
      <c r="C1098" s="11">
        <v>46269</v>
      </c>
      <c r="D1098" t="s">
        <v>13</v>
      </c>
      <c r="E1098">
        <v>750</v>
      </c>
      <c r="F1098" s="11">
        <v>46269</v>
      </c>
      <c r="G1098" t="s">
        <v>42</v>
      </c>
      <c r="H1098" t="s">
        <v>19</v>
      </c>
      <c r="I1098">
        <v>1000</v>
      </c>
      <c r="J1098" t="s">
        <v>23</v>
      </c>
      <c r="K1098" t="s">
        <v>29</v>
      </c>
      <c r="L1098" t="s">
        <v>18</v>
      </c>
      <c r="M1098" t="s">
        <v>41</v>
      </c>
      <c r="Q1098" s="1"/>
    </row>
    <row r="1099" spans="1:17" x14ac:dyDescent="0.3">
      <c r="A1099">
        <v>10</v>
      </c>
      <c r="B1099">
        <v>3</v>
      </c>
      <c r="C1099" s="11">
        <v>46115</v>
      </c>
      <c r="D1099" t="s">
        <v>20</v>
      </c>
      <c r="E1099">
        <v>400</v>
      </c>
      <c r="F1099" s="11">
        <v>46176</v>
      </c>
      <c r="G1099" t="s">
        <v>68</v>
      </c>
      <c r="H1099" t="s">
        <v>43</v>
      </c>
      <c r="I1099">
        <v>700</v>
      </c>
      <c r="J1099" t="s">
        <v>23</v>
      </c>
      <c r="K1099" t="s">
        <v>33</v>
      </c>
      <c r="L1099" t="s">
        <v>25</v>
      </c>
      <c r="M1099" t="s">
        <v>28</v>
      </c>
      <c r="Q1099" s="1"/>
    </row>
    <row r="1100" spans="1:17" x14ac:dyDescent="0.3">
      <c r="A1100">
        <v>9</v>
      </c>
      <c r="B1100">
        <v>5</v>
      </c>
      <c r="C1100" s="11">
        <v>46056</v>
      </c>
      <c r="D1100" t="s">
        <v>13</v>
      </c>
      <c r="E1100">
        <v>6500</v>
      </c>
      <c r="F1100" s="11">
        <v>46115</v>
      </c>
      <c r="G1100" t="s">
        <v>73</v>
      </c>
      <c r="H1100" t="s">
        <v>28</v>
      </c>
      <c r="I1100">
        <v>900</v>
      </c>
      <c r="J1100" t="s">
        <v>23</v>
      </c>
      <c r="K1100" t="s">
        <v>17</v>
      </c>
      <c r="L1100" t="s">
        <v>18</v>
      </c>
      <c r="M1100" t="s">
        <v>15</v>
      </c>
      <c r="Q1100" s="1"/>
    </row>
    <row r="1101" spans="1:17" x14ac:dyDescent="0.3">
      <c r="A1101">
        <v>25</v>
      </c>
      <c r="B1101">
        <v>8</v>
      </c>
      <c r="C1101" s="11">
        <v>46116</v>
      </c>
      <c r="D1101" t="s">
        <v>20</v>
      </c>
      <c r="E1101">
        <v>2800</v>
      </c>
      <c r="F1101" s="11">
        <v>46146</v>
      </c>
      <c r="G1101" t="s">
        <v>95</v>
      </c>
      <c r="H1101" t="s">
        <v>15</v>
      </c>
      <c r="I1101">
        <v>800</v>
      </c>
      <c r="J1101" t="s">
        <v>23</v>
      </c>
      <c r="K1101" t="s">
        <v>33</v>
      </c>
      <c r="L1101" t="s">
        <v>34</v>
      </c>
      <c r="M1101" t="s">
        <v>19</v>
      </c>
      <c r="Q1101" s="1"/>
    </row>
    <row r="1102" spans="1:17" x14ac:dyDescent="0.3">
      <c r="A1102">
        <v>36</v>
      </c>
      <c r="B1102">
        <v>14</v>
      </c>
      <c r="C1102" s="11">
        <v>46238</v>
      </c>
      <c r="D1102" t="s">
        <v>13</v>
      </c>
      <c r="E1102">
        <v>4200</v>
      </c>
      <c r="F1102" s="11">
        <v>46207</v>
      </c>
      <c r="G1102" t="s">
        <v>57</v>
      </c>
      <c r="H1102" t="s">
        <v>19</v>
      </c>
      <c r="I1102">
        <v>700</v>
      </c>
      <c r="J1102" t="s">
        <v>23</v>
      </c>
      <c r="K1102" t="s">
        <v>33</v>
      </c>
      <c r="L1102" t="s">
        <v>18</v>
      </c>
      <c r="M1102" t="s">
        <v>41</v>
      </c>
      <c r="Q1102" s="1"/>
    </row>
    <row r="1103" spans="1:17" x14ac:dyDescent="0.3">
      <c r="A1103">
        <v>3</v>
      </c>
      <c r="B1103">
        <v>1</v>
      </c>
      <c r="C1103" s="11">
        <v>46024</v>
      </c>
      <c r="D1103" t="s">
        <v>13</v>
      </c>
      <c r="E1103">
        <v>500</v>
      </c>
      <c r="F1103" s="11">
        <v>46144</v>
      </c>
      <c r="G1103" t="s">
        <v>72</v>
      </c>
      <c r="H1103" t="s">
        <v>104</v>
      </c>
      <c r="I1103">
        <v>300</v>
      </c>
      <c r="J1103" t="s">
        <v>16</v>
      </c>
      <c r="K1103" t="s">
        <v>33</v>
      </c>
      <c r="L1103" t="s">
        <v>34</v>
      </c>
      <c r="M1103" t="s">
        <v>32</v>
      </c>
      <c r="Q1103" s="1"/>
    </row>
    <row r="1104" spans="1:17" x14ac:dyDescent="0.3">
      <c r="A1104">
        <v>17</v>
      </c>
      <c r="B1104">
        <v>6</v>
      </c>
      <c r="C1104" s="11">
        <v>46237</v>
      </c>
      <c r="D1104" t="s">
        <v>20</v>
      </c>
      <c r="E1104">
        <v>12000</v>
      </c>
      <c r="F1104" s="11">
        <v>46268</v>
      </c>
      <c r="G1104" t="s">
        <v>78</v>
      </c>
      <c r="H1104" t="s">
        <v>43</v>
      </c>
      <c r="I1104">
        <v>400</v>
      </c>
      <c r="J1104" t="s">
        <v>23</v>
      </c>
      <c r="K1104" t="s">
        <v>17</v>
      </c>
      <c r="L1104" t="s">
        <v>18</v>
      </c>
      <c r="M1104" t="s">
        <v>43</v>
      </c>
      <c r="Q1104" s="1"/>
    </row>
    <row r="1105" spans="1:17" x14ac:dyDescent="0.3">
      <c r="A1105">
        <v>7</v>
      </c>
      <c r="B1105">
        <v>2</v>
      </c>
      <c r="C1105" s="11">
        <v>46175</v>
      </c>
      <c r="D1105" t="s">
        <v>13</v>
      </c>
      <c r="E1105">
        <v>800</v>
      </c>
      <c r="F1105" s="11">
        <v>46267</v>
      </c>
      <c r="G1105" t="s">
        <v>55</v>
      </c>
      <c r="H1105" t="s">
        <v>54</v>
      </c>
      <c r="I1105">
        <v>800</v>
      </c>
      <c r="J1105" t="s">
        <v>23</v>
      </c>
      <c r="K1105" t="s">
        <v>33</v>
      </c>
      <c r="L1105" t="s">
        <v>25</v>
      </c>
      <c r="M1105" t="s">
        <v>43</v>
      </c>
      <c r="Q1105" s="1"/>
    </row>
    <row r="1106" spans="1:17" x14ac:dyDescent="0.3">
      <c r="A1106">
        <v>40</v>
      </c>
      <c r="B1106">
        <v>19</v>
      </c>
      <c r="C1106" s="11">
        <v>46238</v>
      </c>
      <c r="D1106" t="s">
        <v>20</v>
      </c>
      <c r="E1106">
        <v>9000</v>
      </c>
      <c r="F1106" s="11">
        <v>46238</v>
      </c>
      <c r="G1106" t="s">
        <v>99</v>
      </c>
      <c r="H1106" t="s">
        <v>19</v>
      </c>
      <c r="I1106">
        <v>700</v>
      </c>
      <c r="J1106" t="s">
        <v>23</v>
      </c>
      <c r="K1106" t="s">
        <v>29</v>
      </c>
      <c r="L1106" t="s">
        <v>34</v>
      </c>
      <c r="M1106" t="s">
        <v>41</v>
      </c>
      <c r="Q1106" s="1"/>
    </row>
    <row r="1107" spans="1:17" x14ac:dyDescent="0.3">
      <c r="A1107">
        <v>6</v>
      </c>
      <c r="B1107">
        <v>1</v>
      </c>
      <c r="C1107" s="11">
        <v>46144</v>
      </c>
      <c r="D1107" t="s">
        <v>13</v>
      </c>
      <c r="E1107">
        <v>700</v>
      </c>
      <c r="F1107" s="11">
        <v>46236</v>
      </c>
      <c r="G1107" t="s">
        <v>69</v>
      </c>
      <c r="H1107" t="s">
        <v>104</v>
      </c>
      <c r="I1107">
        <v>300</v>
      </c>
      <c r="J1107" t="s">
        <v>16</v>
      </c>
      <c r="K1107" t="s">
        <v>33</v>
      </c>
      <c r="L1107" t="s">
        <v>18</v>
      </c>
      <c r="M1107" t="s">
        <v>32</v>
      </c>
      <c r="Q1107" s="1"/>
    </row>
    <row r="1108" spans="1:17" x14ac:dyDescent="0.3">
      <c r="A1108">
        <v>18</v>
      </c>
      <c r="B1108">
        <v>6</v>
      </c>
      <c r="C1108" s="11" t="s">
        <v>64</v>
      </c>
      <c r="D1108" t="s">
        <v>20</v>
      </c>
      <c r="E1108">
        <v>5000</v>
      </c>
      <c r="F1108" s="11">
        <v>46026</v>
      </c>
      <c r="G1108" t="s">
        <v>37</v>
      </c>
      <c r="H1108" t="s">
        <v>28</v>
      </c>
      <c r="I1108">
        <v>900</v>
      </c>
      <c r="J1108" t="s">
        <v>23</v>
      </c>
      <c r="K1108" t="s">
        <v>33</v>
      </c>
      <c r="L1108" t="s">
        <v>34</v>
      </c>
      <c r="M1108" t="s">
        <v>30</v>
      </c>
      <c r="Q1108" s="1"/>
    </row>
    <row r="1109" spans="1:17" x14ac:dyDescent="0.3">
      <c r="A1109">
        <v>24</v>
      </c>
      <c r="B1109">
        <v>9</v>
      </c>
      <c r="C1109" s="11">
        <v>46269</v>
      </c>
      <c r="D1109" t="s">
        <v>20</v>
      </c>
      <c r="E1109">
        <v>800</v>
      </c>
      <c r="F1109" s="11">
        <v>46238</v>
      </c>
      <c r="G1109" t="s">
        <v>82</v>
      </c>
      <c r="H1109" t="s">
        <v>19</v>
      </c>
      <c r="I1109">
        <v>800</v>
      </c>
      <c r="J1109" t="s">
        <v>23</v>
      </c>
      <c r="K1109" t="s">
        <v>17</v>
      </c>
      <c r="L1109" t="s">
        <v>18</v>
      </c>
      <c r="M1109" t="s">
        <v>19</v>
      </c>
      <c r="Q1109" s="1"/>
    </row>
    <row r="1110" spans="1:17" x14ac:dyDescent="0.3">
      <c r="A1110">
        <v>41</v>
      </c>
      <c r="B1110">
        <v>14</v>
      </c>
      <c r="C1110" s="11">
        <v>46177</v>
      </c>
      <c r="D1110" t="s">
        <v>13</v>
      </c>
      <c r="E1110">
        <v>2700</v>
      </c>
      <c r="F1110" s="11">
        <v>46146</v>
      </c>
      <c r="G1110" t="s">
        <v>48</v>
      </c>
      <c r="H1110" t="s">
        <v>30</v>
      </c>
      <c r="I1110">
        <v>600</v>
      </c>
      <c r="J1110" t="s">
        <v>23</v>
      </c>
      <c r="K1110" t="s">
        <v>33</v>
      </c>
      <c r="L1110" t="s">
        <v>34</v>
      </c>
      <c r="M1110" t="s">
        <v>15</v>
      </c>
      <c r="Q1110" s="1"/>
    </row>
    <row r="1111" spans="1:17" x14ac:dyDescent="0.3">
      <c r="A1111">
        <v>11</v>
      </c>
      <c r="B1111">
        <v>2</v>
      </c>
      <c r="C1111" s="11">
        <v>46115</v>
      </c>
      <c r="D1111" t="s">
        <v>13</v>
      </c>
      <c r="E1111">
        <v>7000</v>
      </c>
      <c r="F1111" s="11">
        <v>46176</v>
      </c>
      <c r="G1111" t="s">
        <v>75</v>
      </c>
      <c r="H1111" t="s">
        <v>61</v>
      </c>
      <c r="I1111">
        <v>700</v>
      </c>
      <c r="J1111" t="s">
        <v>23</v>
      </c>
      <c r="K1111" t="s">
        <v>33</v>
      </c>
      <c r="L1111" t="s">
        <v>25</v>
      </c>
      <c r="M1111" t="s">
        <v>28</v>
      </c>
      <c r="Q1111" s="1"/>
    </row>
    <row r="1112" spans="1:17" x14ac:dyDescent="0.3">
      <c r="A1112">
        <v>14</v>
      </c>
      <c r="B1112">
        <v>4</v>
      </c>
      <c r="C1112" s="11" t="s">
        <v>64</v>
      </c>
      <c r="D1112" t="s">
        <v>20</v>
      </c>
      <c r="E1112">
        <v>8500</v>
      </c>
      <c r="F1112" s="11">
        <v>46116</v>
      </c>
      <c r="G1112" t="s">
        <v>21</v>
      </c>
      <c r="H1112" t="s">
        <v>19</v>
      </c>
      <c r="I1112">
        <v>400</v>
      </c>
      <c r="J1112" t="s">
        <v>23</v>
      </c>
      <c r="K1112" t="s">
        <v>17</v>
      </c>
      <c r="L1112" t="s">
        <v>34</v>
      </c>
      <c r="M1112" t="s">
        <v>19</v>
      </c>
      <c r="Q1112" s="1"/>
    </row>
    <row r="1113" spans="1:17" x14ac:dyDescent="0.3">
      <c r="A1113">
        <v>30</v>
      </c>
      <c r="B1113">
        <v>11</v>
      </c>
      <c r="C1113" s="11">
        <v>46177</v>
      </c>
      <c r="D1113" t="s">
        <v>13</v>
      </c>
      <c r="E1113">
        <v>11000</v>
      </c>
      <c r="F1113" s="11">
        <v>46238</v>
      </c>
      <c r="G1113" t="s">
        <v>118</v>
      </c>
      <c r="H1113" t="s">
        <v>19</v>
      </c>
      <c r="I1113">
        <v>1200</v>
      </c>
      <c r="J1113" t="s">
        <v>23</v>
      </c>
      <c r="K1113" t="s">
        <v>29</v>
      </c>
      <c r="L1113" t="s">
        <v>25</v>
      </c>
      <c r="M1113" t="s">
        <v>41</v>
      </c>
      <c r="Q1113" s="1"/>
    </row>
    <row r="1114" spans="1:17" x14ac:dyDescent="0.3">
      <c r="A1114">
        <v>8</v>
      </c>
      <c r="B1114">
        <v>1</v>
      </c>
      <c r="C1114" s="11">
        <v>46114</v>
      </c>
      <c r="D1114" t="s">
        <v>20</v>
      </c>
      <c r="E1114">
        <v>600</v>
      </c>
      <c r="F1114" s="11">
        <v>46175</v>
      </c>
      <c r="G1114" t="s">
        <v>77</v>
      </c>
      <c r="H1114" t="s">
        <v>112</v>
      </c>
      <c r="I1114">
        <v>400</v>
      </c>
      <c r="J1114" t="s">
        <v>16</v>
      </c>
      <c r="K1114" t="s">
        <v>33</v>
      </c>
      <c r="L1114" t="s">
        <v>18</v>
      </c>
      <c r="M1114" t="s">
        <v>32</v>
      </c>
      <c r="Q1114" s="1"/>
    </row>
    <row r="1115" spans="1:17" x14ac:dyDescent="0.3">
      <c r="A1115">
        <v>22</v>
      </c>
      <c r="B1115">
        <v>7</v>
      </c>
      <c r="C1115" s="11">
        <v>46116</v>
      </c>
      <c r="D1115" t="s">
        <v>13</v>
      </c>
      <c r="E1115">
        <v>1200</v>
      </c>
      <c r="F1115" s="11">
        <v>46057</v>
      </c>
      <c r="G1115" t="s">
        <v>66</v>
      </c>
      <c r="H1115" t="s">
        <v>15</v>
      </c>
      <c r="I1115">
        <v>600</v>
      </c>
      <c r="J1115" t="s">
        <v>23</v>
      </c>
      <c r="K1115" t="s">
        <v>33</v>
      </c>
      <c r="L1115" t="s">
        <v>18</v>
      </c>
      <c r="M1115" t="s">
        <v>15</v>
      </c>
      <c r="Q1115" s="1"/>
    </row>
    <row r="1116" spans="1:17" x14ac:dyDescent="0.3">
      <c r="A1116">
        <v>33</v>
      </c>
      <c r="B1116">
        <v>12</v>
      </c>
      <c r="C1116" s="11">
        <v>46207</v>
      </c>
      <c r="D1116" t="s">
        <v>13</v>
      </c>
      <c r="E1116">
        <v>900</v>
      </c>
      <c r="F1116" s="11">
        <v>46238</v>
      </c>
      <c r="G1116" t="s">
        <v>27</v>
      </c>
      <c r="H1116" t="s">
        <v>15</v>
      </c>
      <c r="I1116">
        <v>500</v>
      </c>
      <c r="J1116" t="s">
        <v>23</v>
      </c>
      <c r="K1116" t="s">
        <v>24</v>
      </c>
      <c r="L1116" t="s">
        <v>18</v>
      </c>
      <c r="M1116" t="s">
        <v>15</v>
      </c>
      <c r="Q1116" s="1"/>
    </row>
    <row r="1117" spans="1:17" x14ac:dyDescent="0.3">
      <c r="A1117">
        <v>5</v>
      </c>
      <c r="B1117">
        <v>0</v>
      </c>
      <c r="C1117" s="11">
        <v>46113</v>
      </c>
      <c r="D1117" t="s">
        <v>20</v>
      </c>
      <c r="E1117">
        <v>2500</v>
      </c>
      <c r="F1117" s="11">
        <v>46235</v>
      </c>
      <c r="G1117" t="s">
        <v>14</v>
      </c>
      <c r="H1117" t="s">
        <v>109</v>
      </c>
      <c r="I1117">
        <v>300</v>
      </c>
      <c r="J1117" t="s">
        <v>16</v>
      </c>
      <c r="K1117" t="s">
        <v>33</v>
      </c>
      <c r="L1117" t="s">
        <v>34</v>
      </c>
      <c r="M1117" t="s">
        <v>36</v>
      </c>
      <c r="Q1117" s="1"/>
    </row>
    <row r="1118" spans="1:17" x14ac:dyDescent="0.3">
      <c r="A1118">
        <v>16</v>
      </c>
      <c r="B1118">
        <v>6</v>
      </c>
      <c r="C1118" s="11">
        <v>46206</v>
      </c>
      <c r="D1118" t="s">
        <v>13</v>
      </c>
      <c r="E1118">
        <v>4500</v>
      </c>
      <c r="F1118" s="11" t="s">
        <v>64</v>
      </c>
      <c r="G1118" t="s">
        <v>115</v>
      </c>
      <c r="H1118" t="s">
        <v>63</v>
      </c>
      <c r="I1118">
        <v>900</v>
      </c>
      <c r="J1118" t="s">
        <v>23</v>
      </c>
      <c r="K1118" t="s">
        <v>33</v>
      </c>
      <c r="L1118" t="s">
        <v>25</v>
      </c>
      <c r="M1118" t="s">
        <v>30</v>
      </c>
      <c r="Q1118" s="1"/>
    </row>
    <row r="1119" spans="1:17" x14ac:dyDescent="0.3">
      <c r="A1119">
        <v>6</v>
      </c>
      <c r="B1119">
        <v>3</v>
      </c>
      <c r="C1119" s="11">
        <v>46236</v>
      </c>
      <c r="D1119" t="s">
        <v>20</v>
      </c>
      <c r="E1119">
        <v>5500</v>
      </c>
      <c r="F1119" s="11">
        <v>46025</v>
      </c>
      <c r="G1119" t="s">
        <v>116</v>
      </c>
      <c r="H1119" t="s">
        <v>26</v>
      </c>
      <c r="I1119">
        <v>500</v>
      </c>
      <c r="J1119" t="s">
        <v>23</v>
      </c>
      <c r="K1119" t="s">
        <v>17</v>
      </c>
      <c r="L1119" t="s">
        <v>34</v>
      </c>
      <c r="M1119" t="s">
        <v>61</v>
      </c>
      <c r="Q1119" s="1"/>
    </row>
    <row r="1120" spans="1:17" x14ac:dyDescent="0.3">
      <c r="A1120">
        <v>20</v>
      </c>
      <c r="B1120">
        <v>8</v>
      </c>
      <c r="C1120" s="11">
        <v>46057</v>
      </c>
      <c r="D1120" t="s">
        <v>20</v>
      </c>
      <c r="E1120">
        <v>900</v>
      </c>
      <c r="F1120" s="11">
        <v>46177</v>
      </c>
      <c r="G1120" t="s">
        <v>31</v>
      </c>
      <c r="H1120" t="s">
        <v>30</v>
      </c>
      <c r="I1120">
        <v>800</v>
      </c>
      <c r="J1120" t="s">
        <v>23</v>
      </c>
      <c r="K1120" t="s">
        <v>33</v>
      </c>
      <c r="L1120" t="s">
        <v>18</v>
      </c>
      <c r="M1120" t="s">
        <v>19</v>
      </c>
      <c r="Q1120" s="1"/>
    </row>
    <row r="1121" spans="1:17" x14ac:dyDescent="0.3">
      <c r="A1121">
        <v>25</v>
      </c>
      <c r="B1121">
        <v>10</v>
      </c>
      <c r="C1121" s="11">
        <v>46146</v>
      </c>
      <c r="D1121" t="s">
        <v>13</v>
      </c>
      <c r="E1121">
        <v>1300</v>
      </c>
      <c r="F1121" s="11">
        <v>46207</v>
      </c>
      <c r="G1121" t="s">
        <v>62</v>
      </c>
      <c r="H1121" t="s">
        <v>61</v>
      </c>
      <c r="I1121">
        <v>600</v>
      </c>
      <c r="J1121" t="s">
        <v>23</v>
      </c>
      <c r="K1121" t="s">
        <v>17</v>
      </c>
      <c r="L1121" t="s">
        <v>18</v>
      </c>
      <c r="M1121" t="s">
        <v>28</v>
      </c>
      <c r="Q1121" s="1"/>
    </row>
    <row r="1122" spans="1:17" x14ac:dyDescent="0.3">
      <c r="A1122">
        <v>15</v>
      </c>
      <c r="B1122">
        <v>5</v>
      </c>
      <c r="C1122" s="11">
        <v>46206</v>
      </c>
      <c r="D1122" t="s">
        <v>20</v>
      </c>
      <c r="E1122">
        <v>6000</v>
      </c>
      <c r="F1122" s="11">
        <v>46268</v>
      </c>
      <c r="G1122" t="s">
        <v>35</v>
      </c>
      <c r="H1122" t="s">
        <v>30</v>
      </c>
      <c r="I1122">
        <v>400</v>
      </c>
      <c r="J1122" t="s">
        <v>23</v>
      </c>
      <c r="K1122" t="s">
        <v>33</v>
      </c>
      <c r="L1122" t="s">
        <v>18</v>
      </c>
      <c r="M1122" t="s">
        <v>28</v>
      </c>
      <c r="Q1122" s="1"/>
    </row>
    <row r="1123" spans="1:17" x14ac:dyDescent="0.3">
      <c r="A1123">
        <v>32</v>
      </c>
      <c r="B1123">
        <v>16</v>
      </c>
      <c r="C1123" s="11">
        <v>46238</v>
      </c>
      <c r="D1123" t="s">
        <v>13</v>
      </c>
      <c r="E1123">
        <v>10000</v>
      </c>
      <c r="F1123" s="11">
        <v>46269</v>
      </c>
      <c r="G1123" t="s">
        <v>50</v>
      </c>
      <c r="H1123" t="s">
        <v>19</v>
      </c>
      <c r="I1123">
        <v>1300</v>
      </c>
      <c r="J1123" t="s">
        <v>23</v>
      </c>
      <c r="K1123" t="s">
        <v>17</v>
      </c>
      <c r="L1123" t="s">
        <v>25</v>
      </c>
      <c r="M1123" t="s">
        <v>19</v>
      </c>
      <c r="Q1123" s="1"/>
    </row>
    <row r="1124" spans="1:17" x14ac:dyDescent="0.3">
      <c r="A1124">
        <v>10</v>
      </c>
      <c r="B1124">
        <v>2</v>
      </c>
      <c r="C1124" s="11">
        <v>46205</v>
      </c>
      <c r="D1124" t="s">
        <v>20</v>
      </c>
      <c r="E1124">
        <v>300</v>
      </c>
      <c r="F1124" s="11" t="s">
        <v>52</v>
      </c>
      <c r="G1124" t="s">
        <v>117</v>
      </c>
      <c r="H1124" t="s">
        <v>67</v>
      </c>
      <c r="I1124">
        <v>700</v>
      </c>
      <c r="J1124" t="s">
        <v>23</v>
      </c>
      <c r="K1124" t="s">
        <v>33</v>
      </c>
      <c r="L1124" t="s">
        <v>25</v>
      </c>
      <c r="M1124" t="s">
        <v>43</v>
      </c>
      <c r="Q1124" s="1"/>
    </row>
    <row r="1125" spans="1:17" x14ac:dyDescent="0.3">
      <c r="A1125">
        <v>40</v>
      </c>
      <c r="B1125">
        <v>18</v>
      </c>
      <c r="C1125" s="11">
        <v>46269</v>
      </c>
      <c r="D1125" t="s">
        <v>13</v>
      </c>
      <c r="E1125">
        <v>800</v>
      </c>
      <c r="F1125" s="11">
        <v>46238</v>
      </c>
      <c r="G1125" t="s">
        <v>42</v>
      </c>
      <c r="H1125" t="s">
        <v>19</v>
      </c>
      <c r="I1125">
        <v>1100</v>
      </c>
      <c r="J1125" t="s">
        <v>23</v>
      </c>
      <c r="K1125" t="s">
        <v>29</v>
      </c>
      <c r="L1125" t="s">
        <v>18</v>
      </c>
      <c r="M1125" t="s">
        <v>41</v>
      </c>
      <c r="Q1125" s="1"/>
    </row>
    <row r="1126" spans="1:17" x14ac:dyDescent="0.3">
      <c r="A1126">
        <v>9</v>
      </c>
      <c r="B1126">
        <v>1</v>
      </c>
      <c r="C1126" s="11">
        <v>46114</v>
      </c>
      <c r="D1126" t="s">
        <v>20</v>
      </c>
      <c r="E1126">
        <v>600</v>
      </c>
      <c r="F1126" s="11">
        <v>46205</v>
      </c>
      <c r="G1126" t="s">
        <v>68</v>
      </c>
      <c r="H1126" t="s">
        <v>43</v>
      </c>
      <c r="I1126">
        <v>800</v>
      </c>
      <c r="J1126" t="s">
        <v>23</v>
      </c>
      <c r="K1126" t="s">
        <v>33</v>
      </c>
      <c r="L1126" t="s">
        <v>25</v>
      </c>
      <c r="M1126" t="s">
        <v>28</v>
      </c>
      <c r="Q1126" s="1"/>
    </row>
    <row r="1127" spans="1:17" x14ac:dyDescent="0.3">
      <c r="A1127">
        <v>13</v>
      </c>
      <c r="B1127">
        <v>6</v>
      </c>
      <c r="C1127" s="11">
        <v>46084</v>
      </c>
      <c r="D1127" t="s">
        <v>13</v>
      </c>
      <c r="E1127">
        <v>7500</v>
      </c>
      <c r="F1127" s="11">
        <v>46145</v>
      </c>
      <c r="G1127" t="s">
        <v>73</v>
      </c>
      <c r="H1127" t="s">
        <v>30</v>
      </c>
      <c r="I1127">
        <v>1000</v>
      </c>
      <c r="J1127" t="s">
        <v>23</v>
      </c>
      <c r="K1127" t="s">
        <v>17</v>
      </c>
      <c r="L1127" t="s">
        <v>18</v>
      </c>
      <c r="M1127" t="s">
        <v>15</v>
      </c>
      <c r="Q1127" s="1"/>
    </row>
    <row r="1128" spans="1:17" x14ac:dyDescent="0.3">
      <c r="A1128">
        <v>28</v>
      </c>
      <c r="B1128">
        <v>9</v>
      </c>
      <c r="C1128" s="11">
        <v>46085</v>
      </c>
      <c r="D1128" t="s">
        <v>20</v>
      </c>
      <c r="E1128">
        <v>2200</v>
      </c>
      <c r="F1128" s="11">
        <v>46146</v>
      </c>
      <c r="G1128" t="s">
        <v>95</v>
      </c>
      <c r="H1128" t="s">
        <v>15</v>
      </c>
      <c r="I1128">
        <v>900</v>
      </c>
      <c r="J1128" t="s">
        <v>23</v>
      </c>
      <c r="K1128" t="s">
        <v>33</v>
      </c>
      <c r="L1128" t="s">
        <v>34</v>
      </c>
      <c r="M1128" t="s">
        <v>19</v>
      </c>
      <c r="Q1128" s="1"/>
    </row>
    <row r="1129" spans="1:17" x14ac:dyDescent="0.3">
      <c r="A1129">
        <v>34</v>
      </c>
      <c r="B1129">
        <v>15</v>
      </c>
      <c r="C1129" s="11">
        <v>46269</v>
      </c>
      <c r="D1129" t="s">
        <v>13</v>
      </c>
      <c r="E1129">
        <v>5000</v>
      </c>
      <c r="F1129" s="11">
        <v>46238</v>
      </c>
      <c r="G1129" t="s">
        <v>57</v>
      </c>
      <c r="H1129" t="s">
        <v>19</v>
      </c>
      <c r="I1129">
        <v>800</v>
      </c>
      <c r="J1129" t="s">
        <v>23</v>
      </c>
      <c r="K1129" t="s">
        <v>33</v>
      </c>
      <c r="L1129" t="s">
        <v>18</v>
      </c>
      <c r="M1129" t="s">
        <v>41</v>
      </c>
      <c r="Q1129" s="1"/>
    </row>
    <row r="1130" spans="1:17" x14ac:dyDescent="0.3">
      <c r="A1130">
        <v>2</v>
      </c>
      <c r="B1130">
        <v>0</v>
      </c>
      <c r="C1130" s="11">
        <v>46235</v>
      </c>
      <c r="D1130" t="s">
        <v>13</v>
      </c>
      <c r="E1130">
        <v>700</v>
      </c>
      <c r="F1130" s="11">
        <v>46083</v>
      </c>
      <c r="G1130" t="s">
        <v>72</v>
      </c>
      <c r="H1130" t="s">
        <v>106</v>
      </c>
      <c r="I1130">
        <v>400</v>
      </c>
      <c r="J1130" t="s">
        <v>16</v>
      </c>
      <c r="K1130" t="s">
        <v>33</v>
      </c>
      <c r="L1130" t="s">
        <v>34</v>
      </c>
      <c r="M1130" t="s">
        <v>32</v>
      </c>
      <c r="Q1130" s="1"/>
    </row>
    <row r="1131" spans="1:17" x14ac:dyDescent="0.3">
      <c r="A1131">
        <v>18</v>
      </c>
      <c r="B1131">
        <v>7</v>
      </c>
      <c r="C1131" s="11">
        <v>46268</v>
      </c>
      <c r="D1131" t="s">
        <v>20</v>
      </c>
      <c r="E1131">
        <v>13000</v>
      </c>
      <c r="F1131" s="11" t="s">
        <v>64</v>
      </c>
      <c r="G1131" t="s">
        <v>78</v>
      </c>
      <c r="H1131" t="s">
        <v>43</v>
      </c>
      <c r="I1131">
        <v>500</v>
      </c>
      <c r="J1131" t="s">
        <v>23</v>
      </c>
      <c r="K1131" t="s">
        <v>17</v>
      </c>
      <c r="L1131" t="s">
        <v>18</v>
      </c>
      <c r="M1131" t="s">
        <v>43</v>
      </c>
      <c r="Q1131" s="1"/>
    </row>
    <row r="1132" spans="1:17" x14ac:dyDescent="0.3">
      <c r="A1132">
        <v>8</v>
      </c>
      <c r="B1132">
        <v>3</v>
      </c>
      <c r="C1132" s="11">
        <v>46114</v>
      </c>
      <c r="D1132" t="s">
        <v>13</v>
      </c>
      <c r="E1132">
        <v>700</v>
      </c>
      <c r="F1132" s="11">
        <v>46236</v>
      </c>
      <c r="G1132" t="s">
        <v>55</v>
      </c>
      <c r="H1132" t="s">
        <v>112</v>
      </c>
      <c r="I1132">
        <v>900</v>
      </c>
      <c r="J1132" t="s">
        <v>23</v>
      </c>
      <c r="K1132" t="s">
        <v>33</v>
      </c>
      <c r="L1132" t="s">
        <v>25</v>
      </c>
      <c r="M1132" t="s">
        <v>43</v>
      </c>
      <c r="Q1132" s="1"/>
    </row>
    <row r="1133" spans="1:17" x14ac:dyDescent="0.3">
      <c r="A1133">
        <v>41</v>
      </c>
      <c r="B1133">
        <v>20</v>
      </c>
      <c r="C1133" s="11">
        <v>46269</v>
      </c>
      <c r="D1133" t="s">
        <v>20</v>
      </c>
      <c r="E1133">
        <v>8500</v>
      </c>
      <c r="F1133" s="11">
        <v>46238</v>
      </c>
      <c r="G1133" t="s">
        <v>99</v>
      </c>
      <c r="H1133" t="s">
        <v>19</v>
      </c>
      <c r="I1133">
        <v>800</v>
      </c>
      <c r="J1133" t="s">
        <v>23</v>
      </c>
      <c r="K1133" t="s">
        <v>29</v>
      </c>
      <c r="L1133" t="s">
        <v>34</v>
      </c>
      <c r="M1133" t="s">
        <v>41</v>
      </c>
      <c r="Q1133" s="1"/>
    </row>
    <row r="1134" spans="1:17" x14ac:dyDescent="0.3">
      <c r="A1134">
        <v>7</v>
      </c>
      <c r="B1134">
        <v>1</v>
      </c>
      <c r="C1134" s="11">
        <v>46083</v>
      </c>
      <c r="D1134" t="s">
        <v>13</v>
      </c>
      <c r="E1134">
        <v>1000</v>
      </c>
      <c r="F1134" s="11">
        <v>46175</v>
      </c>
      <c r="G1134" t="s">
        <v>69</v>
      </c>
      <c r="H1134" t="s">
        <v>106</v>
      </c>
      <c r="I1134">
        <v>300</v>
      </c>
      <c r="J1134" t="s">
        <v>16</v>
      </c>
      <c r="K1134" t="s">
        <v>33</v>
      </c>
      <c r="L1134" t="s">
        <v>18</v>
      </c>
      <c r="M1134" t="s">
        <v>32</v>
      </c>
      <c r="Q1134" s="1"/>
    </row>
    <row r="1135" spans="1:17" x14ac:dyDescent="0.3">
      <c r="A1135">
        <v>21</v>
      </c>
      <c r="B1135">
        <v>6</v>
      </c>
      <c r="C1135" s="11">
        <v>46268</v>
      </c>
      <c r="D1135" t="s">
        <v>20</v>
      </c>
      <c r="E1135">
        <v>6000</v>
      </c>
      <c r="F1135" s="11">
        <v>46026</v>
      </c>
      <c r="G1135" t="s">
        <v>37</v>
      </c>
      <c r="H1135" t="s">
        <v>30</v>
      </c>
      <c r="I1135">
        <v>1000</v>
      </c>
      <c r="J1135" t="s">
        <v>23</v>
      </c>
      <c r="K1135" t="s">
        <v>33</v>
      </c>
      <c r="L1135" t="s">
        <v>34</v>
      </c>
      <c r="M1135" t="s">
        <v>15</v>
      </c>
      <c r="Q1135" s="1"/>
    </row>
    <row r="1136" spans="1:17" x14ac:dyDescent="0.3">
      <c r="A1136">
        <v>26</v>
      </c>
      <c r="B1136">
        <v>10</v>
      </c>
      <c r="C1136" s="11">
        <v>46269</v>
      </c>
      <c r="D1136" t="s">
        <v>20</v>
      </c>
      <c r="E1136">
        <v>900</v>
      </c>
      <c r="F1136" s="11">
        <v>46269</v>
      </c>
      <c r="G1136" t="s">
        <v>82</v>
      </c>
      <c r="H1136" t="s">
        <v>19</v>
      </c>
      <c r="I1136">
        <v>900</v>
      </c>
      <c r="J1136" t="s">
        <v>23</v>
      </c>
      <c r="K1136" t="s">
        <v>17</v>
      </c>
      <c r="L1136" t="s">
        <v>18</v>
      </c>
      <c r="M1136" t="s">
        <v>19</v>
      </c>
      <c r="Q1136" s="1"/>
    </row>
    <row r="1137" spans="1:17" x14ac:dyDescent="0.3">
      <c r="A1137">
        <v>44</v>
      </c>
      <c r="B1137">
        <v>15</v>
      </c>
      <c r="C1137" s="11">
        <v>46207</v>
      </c>
      <c r="D1137" t="s">
        <v>13</v>
      </c>
      <c r="E1137">
        <v>2900</v>
      </c>
      <c r="F1137" s="11">
        <v>46177</v>
      </c>
      <c r="G1137" t="s">
        <v>48</v>
      </c>
      <c r="H1137" t="s">
        <v>15</v>
      </c>
      <c r="I1137">
        <v>700</v>
      </c>
      <c r="J1137" t="s">
        <v>23</v>
      </c>
      <c r="K1137" t="s">
        <v>33</v>
      </c>
      <c r="L1137" t="s">
        <v>34</v>
      </c>
      <c r="M1137" t="s">
        <v>19</v>
      </c>
      <c r="Q1137" s="1"/>
    </row>
    <row r="1138" spans="1:17" x14ac:dyDescent="0.3">
      <c r="A1138">
        <v>10</v>
      </c>
      <c r="B1138">
        <v>3</v>
      </c>
      <c r="C1138" s="11">
        <v>46056</v>
      </c>
      <c r="D1138" t="s">
        <v>13</v>
      </c>
      <c r="E1138">
        <v>8000</v>
      </c>
      <c r="F1138" s="11">
        <v>46145</v>
      </c>
      <c r="G1138" t="s">
        <v>75</v>
      </c>
      <c r="H1138" t="s">
        <v>61</v>
      </c>
      <c r="I1138">
        <v>800</v>
      </c>
      <c r="J1138" t="s">
        <v>23</v>
      </c>
      <c r="K1138" t="s">
        <v>33</v>
      </c>
      <c r="L1138" t="s">
        <v>25</v>
      </c>
      <c r="M1138" t="s">
        <v>28</v>
      </c>
      <c r="Q1138" s="1"/>
    </row>
    <row r="1139" spans="1:17" x14ac:dyDescent="0.3">
      <c r="A1139">
        <v>16</v>
      </c>
      <c r="B1139">
        <v>4</v>
      </c>
      <c r="C1139" s="11">
        <v>46237</v>
      </c>
      <c r="D1139" t="s">
        <v>20</v>
      </c>
      <c r="E1139">
        <v>9000</v>
      </c>
      <c r="F1139" s="11">
        <v>46057</v>
      </c>
      <c r="G1139" t="s">
        <v>21</v>
      </c>
      <c r="H1139" t="s">
        <v>19</v>
      </c>
      <c r="I1139">
        <v>500</v>
      </c>
      <c r="J1139" t="s">
        <v>23</v>
      </c>
      <c r="K1139" t="s">
        <v>17</v>
      </c>
      <c r="L1139" t="s">
        <v>34</v>
      </c>
      <c r="M1139" t="s">
        <v>19</v>
      </c>
      <c r="Q1139" s="1"/>
    </row>
    <row r="1140" spans="1:17" x14ac:dyDescent="0.3">
      <c r="A1140">
        <v>31</v>
      </c>
      <c r="B1140">
        <v>12</v>
      </c>
      <c r="C1140" s="11">
        <v>46207</v>
      </c>
      <c r="D1140" t="s">
        <v>13</v>
      </c>
      <c r="E1140">
        <v>13500</v>
      </c>
      <c r="F1140" s="11">
        <v>46269</v>
      </c>
      <c r="G1140" t="s">
        <v>118</v>
      </c>
      <c r="H1140" t="s">
        <v>19</v>
      </c>
      <c r="I1140">
        <v>1400</v>
      </c>
      <c r="J1140" t="s">
        <v>23</v>
      </c>
      <c r="K1140" t="s">
        <v>29</v>
      </c>
      <c r="L1140" t="s">
        <v>25</v>
      </c>
      <c r="M1140" t="s">
        <v>41</v>
      </c>
      <c r="Q1140" s="1"/>
    </row>
    <row r="1141" spans="1:17" x14ac:dyDescent="0.3">
      <c r="A1141">
        <v>9</v>
      </c>
      <c r="B1141">
        <v>1</v>
      </c>
      <c r="C1141" s="11">
        <v>46055</v>
      </c>
      <c r="D1141" t="s">
        <v>20</v>
      </c>
      <c r="E1141">
        <v>800</v>
      </c>
      <c r="F1141" s="11">
        <v>46114</v>
      </c>
      <c r="G1141" t="s">
        <v>77</v>
      </c>
      <c r="H1141" t="s">
        <v>38</v>
      </c>
      <c r="I1141">
        <v>500</v>
      </c>
      <c r="J1141" t="s">
        <v>16</v>
      </c>
      <c r="K1141" t="s">
        <v>33</v>
      </c>
      <c r="L1141" t="s">
        <v>18</v>
      </c>
      <c r="M1141" t="s">
        <v>32</v>
      </c>
      <c r="Q1141" s="1"/>
    </row>
    <row r="1142" spans="1:17" x14ac:dyDescent="0.3">
      <c r="A1142">
        <v>23</v>
      </c>
      <c r="B1142">
        <v>8</v>
      </c>
      <c r="C1142" s="11">
        <v>46177</v>
      </c>
      <c r="D1142" t="s">
        <v>13</v>
      </c>
      <c r="E1142">
        <v>1400</v>
      </c>
      <c r="F1142" s="11">
        <v>46085</v>
      </c>
      <c r="G1142" t="s">
        <v>66</v>
      </c>
      <c r="H1142" t="s">
        <v>15</v>
      </c>
      <c r="I1142">
        <v>700</v>
      </c>
      <c r="J1142" t="s">
        <v>23</v>
      </c>
      <c r="K1142" t="s">
        <v>33</v>
      </c>
      <c r="L1142" t="s">
        <v>18</v>
      </c>
      <c r="M1142" t="s">
        <v>15</v>
      </c>
      <c r="Q1142" s="1"/>
    </row>
    <row r="1143" spans="1:17" x14ac:dyDescent="0.3">
      <c r="A1143">
        <v>35</v>
      </c>
      <c r="B1143">
        <v>13</v>
      </c>
      <c r="C1143" s="11">
        <v>46238</v>
      </c>
      <c r="D1143" t="s">
        <v>13</v>
      </c>
      <c r="E1143">
        <v>1000</v>
      </c>
      <c r="F1143" s="11">
        <v>46269</v>
      </c>
      <c r="G1143" t="s">
        <v>27</v>
      </c>
      <c r="H1143" t="s">
        <v>19</v>
      </c>
      <c r="I1143">
        <v>600</v>
      </c>
      <c r="J1143" t="s">
        <v>23</v>
      </c>
      <c r="K1143" t="s">
        <v>24</v>
      </c>
      <c r="L1143" t="s">
        <v>18</v>
      </c>
      <c r="M1143" t="s">
        <v>19</v>
      </c>
      <c r="Q1143" s="1"/>
    </row>
    <row r="1144" spans="1:17" x14ac:dyDescent="0.3">
      <c r="A1144">
        <v>6</v>
      </c>
      <c r="B1144">
        <v>0</v>
      </c>
      <c r="C1144" s="11">
        <v>46054</v>
      </c>
      <c r="D1144" t="s">
        <v>20</v>
      </c>
      <c r="E1144">
        <v>3000</v>
      </c>
      <c r="F1144" s="11">
        <v>46174</v>
      </c>
      <c r="G1144" t="s">
        <v>14</v>
      </c>
      <c r="H1144" t="s">
        <v>109</v>
      </c>
      <c r="I1144">
        <v>400</v>
      </c>
      <c r="J1144" t="s">
        <v>16</v>
      </c>
      <c r="K1144" t="s">
        <v>33</v>
      </c>
      <c r="L1144" t="s">
        <v>34</v>
      </c>
      <c r="M1144" t="s">
        <v>36</v>
      </c>
      <c r="Q1144" s="1"/>
    </row>
    <row r="1145" spans="1:17" x14ac:dyDescent="0.3">
      <c r="A1145">
        <v>17</v>
      </c>
      <c r="B1145">
        <v>7</v>
      </c>
      <c r="C1145" s="11">
        <v>46237</v>
      </c>
      <c r="D1145" t="s">
        <v>13</v>
      </c>
      <c r="E1145">
        <v>5500</v>
      </c>
      <c r="F1145" s="11">
        <v>46026</v>
      </c>
      <c r="G1145" t="s">
        <v>115</v>
      </c>
      <c r="H1145" t="s">
        <v>28</v>
      </c>
      <c r="I1145">
        <v>1000</v>
      </c>
      <c r="J1145" t="s">
        <v>23</v>
      </c>
      <c r="K1145" t="s">
        <v>33</v>
      </c>
      <c r="L1145" t="s">
        <v>25</v>
      </c>
      <c r="M1145" t="s">
        <v>30</v>
      </c>
      <c r="Q1145" s="1"/>
    </row>
    <row r="1146" spans="1:17" x14ac:dyDescent="0.3">
      <c r="A1146">
        <v>7</v>
      </c>
      <c r="B1146">
        <v>4</v>
      </c>
      <c r="C1146" s="11">
        <v>46175</v>
      </c>
      <c r="D1146" t="s">
        <v>20</v>
      </c>
      <c r="E1146">
        <v>6500</v>
      </c>
      <c r="F1146" s="11">
        <v>46267</v>
      </c>
      <c r="G1146" t="s">
        <v>116</v>
      </c>
      <c r="H1146" t="s">
        <v>26</v>
      </c>
      <c r="I1146">
        <v>600</v>
      </c>
      <c r="J1146" t="s">
        <v>23</v>
      </c>
      <c r="K1146" t="s">
        <v>17</v>
      </c>
      <c r="L1146" t="s">
        <v>34</v>
      </c>
      <c r="M1146" t="s">
        <v>61</v>
      </c>
      <c r="Q1146" s="1"/>
    </row>
    <row r="1147" spans="1:17" x14ac:dyDescent="0.3">
      <c r="A1147">
        <v>21</v>
      </c>
      <c r="B1147">
        <v>9</v>
      </c>
      <c r="C1147" s="11">
        <v>46026</v>
      </c>
      <c r="D1147" t="s">
        <v>20</v>
      </c>
      <c r="E1147">
        <v>1000</v>
      </c>
      <c r="F1147" s="11">
        <v>46177</v>
      </c>
      <c r="G1147" t="s">
        <v>31</v>
      </c>
      <c r="H1147" t="s">
        <v>15</v>
      </c>
      <c r="I1147">
        <v>900</v>
      </c>
      <c r="J1147" t="s">
        <v>23</v>
      </c>
      <c r="K1147" t="s">
        <v>33</v>
      </c>
      <c r="L1147" t="s">
        <v>18</v>
      </c>
      <c r="M1147" t="s">
        <v>19</v>
      </c>
      <c r="Q1147" s="1"/>
    </row>
    <row r="1148" spans="1:17" x14ac:dyDescent="0.3">
      <c r="A1148">
        <v>26</v>
      </c>
      <c r="B1148">
        <v>11</v>
      </c>
      <c r="C1148" s="11">
        <v>46116</v>
      </c>
      <c r="D1148" t="s">
        <v>13</v>
      </c>
      <c r="E1148">
        <v>1500</v>
      </c>
      <c r="F1148" s="11">
        <v>46238</v>
      </c>
      <c r="G1148" t="s">
        <v>62</v>
      </c>
      <c r="H1148" t="s">
        <v>63</v>
      </c>
      <c r="I1148">
        <v>700</v>
      </c>
      <c r="J1148" t="s">
        <v>23</v>
      </c>
      <c r="K1148" t="s">
        <v>17</v>
      </c>
      <c r="L1148" t="s">
        <v>18</v>
      </c>
      <c r="M1148" t="s">
        <v>28</v>
      </c>
      <c r="Q1148" s="1"/>
    </row>
    <row r="1149" spans="1:17" x14ac:dyDescent="0.3">
      <c r="A1149">
        <v>16</v>
      </c>
      <c r="B1149">
        <v>5</v>
      </c>
      <c r="C1149" s="11">
        <v>46176</v>
      </c>
      <c r="D1149" t="s">
        <v>20</v>
      </c>
      <c r="E1149">
        <v>7000</v>
      </c>
      <c r="F1149" s="11">
        <v>46237</v>
      </c>
      <c r="G1149" t="s">
        <v>35</v>
      </c>
      <c r="H1149" t="s">
        <v>30</v>
      </c>
      <c r="I1149">
        <v>500</v>
      </c>
      <c r="J1149" t="s">
        <v>23</v>
      </c>
      <c r="K1149" t="s">
        <v>33</v>
      </c>
      <c r="L1149" t="s">
        <v>18</v>
      </c>
      <c r="M1149" t="s">
        <v>28</v>
      </c>
      <c r="Q1149" s="1"/>
    </row>
    <row r="1150" spans="1:17" x14ac:dyDescent="0.3">
      <c r="A1150">
        <v>34</v>
      </c>
      <c r="B1150">
        <v>17</v>
      </c>
      <c r="C1150" s="11">
        <v>46207</v>
      </c>
      <c r="D1150" t="s">
        <v>13</v>
      </c>
      <c r="E1150">
        <v>11000</v>
      </c>
      <c r="F1150" s="11">
        <v>46269</v>
      </c>
      <c r="G1150" t="s">
        <v>50</v>
      </c>
      <c r="H1150" t="s">
        <v>19</v>
      </c>
      <c r="I1150">
        <v>1500</v>
      </c>
      <c r="J1150" t="s">
        <v>23</v>
      </c>
      <c r="K1150" t="s">
        <v>17</v>
      </c>
      <c r="L1150" t="s">
        <v>25</v>
      </c>
      <c r="M1150" t="s">
        <v>19</v>
      </c>
      <c r="Q1150" s="1"/>
    </row>
    <row r="1151" spans="1:17" x14ac:dyDescent="0.3">
      <c r="A1151">
        <v>11</v>
      </c>
      <c r="B1151">
        <v>3</v>
      </c>
      <c r="C1151" s="11">
        <v>46175</v>
      </c>
      <c r="D1151" t="s">
        <v>20</v>
      </c>
      <c r="E1151">
        <v>500</v>
      </c>
      <c r="F1151" s="11">
        <v>46267</v>
      </c>
      <c r="G1151" t="s">
        <v>117</v>
      </c>
      <c r="H1151" t="s">
        <v>67</v>
      </c>
      <c r="I1151">
        <v>800</v>
      </c>
      <c r="J1151" t="s">
        <v>23</v>
      </c>
      <c r="K1151" t="s">
        <v>33</v>
      </c>
      <c r="L1151" t="s">
        <v>25</v>
      </c>
      <c r="M1151" t="s">
        <v>43</v>
      </c>
      <c r="Q1151" s="1"/>
    </row>
    <row r="1152" spans="1:17" x14ac:dyDescent="0.3">
      <c r="A1152">
        <v>42</v>
      </c>
      <c r="B1152">
        <v>19</v>
      </c>
      <c r="C1152" s="11">
        <v>46269</v>
      </c>
      <c r="D1152" t="s">
        <v>13</v>
      </c>
      <c r="E1152">
        <v>900</v>
      </c>
      <c r="F1152" s="11">
        <v>46238</v>
      </c>
      <c r="G1152" t="s">
        <v>42</v>
      </c>
      <c r="H1152" t="s">
        <v>19</v>
      </c>
      <c r="I1152">
        <v>1200</v>
      </c>
      <c r="J1152" t="s">
        <v>23</v>
      </c>
      <c r="K1152" t="s">
        <v>29</v>
      </c>
      <c r="L1152" t="s">
        <v>18</v>
      </c>
      <c r="M1152" t="s">
        <v>41</v>
      </c>
      <c r="Q1152" s="1"/>
    </row>
    <row r="1153" spans="1:17" x14ac:dyDescent="0.3">
      <c r="A1153">
        <v>8</v>
      </c>
      <c r="B1153">
        <v>2</v>
      </c>
      <c r="C1153" s="11">
        <v>46083</v>
      </c>
      <c r="D1153" t="s">
        <v>20</v>
      </c>
      <c r="E1153">
        <v>700</v>
      </c>
      <c r="F1153" s="11">
        <v>46175</v>
      </c>
      <c r="G1153" t="s">
        <v>68</v>
      </c>
      <c r="H1153" t="s">
        <v>43</v>
      </c>
      <c r="I1153">
        <v>900</v>
      </c>
      <c r="J1153" t="s">
        <v>23</v>
      </c>
      <c r="K1153" t="s">
        <v>33</v>
      </c>
      <c r="L1153" t="s">
        <v>25</v>
      </c>
      <c r="M1153" t="s">
        <v>28</v>
      </c>
      <c r="Q1153" s="1"/>
    </row>
    <row r="1154" spans="1:17" x14ac:dyDescent="0.3">
      <c r="A1154">
        <v>15</v>
      </c>
      <c r="B1154">
        <v>6</v>
      </c>
      <c r="C1154" s="11">
        <v>46145</v>
      </c>
      <c r="D1154" t="s">
        <v>13</v>
      </c>
      <c r="E1154">
        <v>8500</v>
      </c>
      <c r="F1154" s="11">
        <v>46237</v>
      </c>
      <c r="G1154" t="s">
        <v>73</v>
      </c>
      <c r="H1154" t="s">
        <v>30</v>
      </c>
      <c r="I1154">
        <v>1100</v>
      </c>
      <c r="J1154" t="s">
        <v>23</v>
      </c>
      <c r="K1154" t="s">
        <v>17</v>
      </c>
      <c r="L1154" t="s">
        <v>18</v>
      </c>
      <c r="M1154" t="s">
        <v>15</v>
      </c>
      <c r="Q1154" s="1"/>
    </row>
    <row r="1155" spans="1:17" x14ac:dyDescent="0.3">
      <c r="A1155">
        <v>30</v>
      </c>
      <c r="B1155">
        <v>10</v>
      </c>
      <c r="C1155" s="11">
        <v>46057</v>
      </c>
      <c r="D1155" t="s">
        <v>20</v>
      </c>
      <c r="E1155">
        <v>2500</v>
      </c>
      <c r="F1155" s="11">
        <v>46207</v>
      </c>
      <c r="G1155" t="s">
        <v>95</v>
      </c>
      <c r="H1155" t="s">
        <v>19</v>
      </c>
      <c r="I1155">
        <v>1000</v>
      </c>
      <c r="J1155" t="s">
        <v>23</v>
      </c>
      <c r="K1155" t="s">
        <v>33</v>
      </c>
      <c r="L1155" t="s">
        <v>34</v>
      </c>
      <c r="M1155" t="s">
        <v>19</v>
      </c>
      <c r="Q1155" s="1"/>
    </row>
    <row r="1156" spans="1:17" x14ac:dyDescent="0.3">
      <c r="A1156">
        <v>37</v>
      </c>
      <c r="B1156">
        <v>16</v>
      </c>
      <c r="C1156" s="11">
        <v>46269</v>
      </c>
      <c r="D1156" t="s">
        <v>13</v>
      </c>
      <c r="E1156">
        <v>5500</v>
      </c>
      <c r="F1156" s="11">
        <v>46238</v>
      </c>
      <c r="G1156" t="s">
        <v>57</v>
      </c>
      <c r="H1156" t="s">
        <v>19</v>
      </c>
      <c r="I1156">
        <v>900</v>
      </c>
      <c r="J1156" t="s">
        <v>23</v>
      </c>
      <c r="K1156" t="s">
        <v>33</v>
      </c>
      <c r="L1156" t="s">
        <v>18</v>
      </c>
      <c r="M1156" t="s">
        <v>41</v>
      </c>
      <c r="Q1156" s="1"/>
    </row>
    <row r="1157" spans="1:17" x14ac:dyDescent="0.3">
      <c r="A1157">
        <v>3</v>
      </c>
      <c r="B1157">
        <v>1</v>
      </c>
      <c r="C1157" s="11">
        <v>46174</v>
      </c>
      <c r="D1157" t="s">
        <v>13</v>
      </c>
      <c r="E1157">
        <v>800</v>
      </c>
      <c r="F1157" s="11">
        <v>46024</v>
      </c>
      <c r="G1157" t="s">
        <v>72</v>
      </c>
      <c r="H1157" t="s">
        <v>106</v>
      </c>
      <c r="I1157">
        <v>500</v>
      </c>
      <c r="J1157" t="s">
        <v>16</v>
      </c>
      <c r="K1157" t="s">
        <v>33</v>
      </c>
      <c r="L1157" t="s">
        <v>34</v>
      </c>
      <c r="M1157" t="s">
        <v>32</v>
      </c>
      <c r="Q1157" s="1"/>
    </row>
    <row r="1158" spans="1:17" x14ac:dyDescent="0.3">
      <c r="A1158">
        <v>19</v>
      </c>
      <c r="B1158">
        <v>8</v>
      </c>
      <c r="C1158" s="11">
        <v>46268</v>
      </c>
      <c r="D1158" t="s">
        <v>20</v>
      </c>
      <c r="E1158">
        <v>14000</v>
      </c>
      <c r="F1158" s="11" t="s">
        <v>64</v>
      </c>
      <c r="G1158" t="s">
        <v>78</v>
      </c>
      <c r="H1158" t="s">
        <v>61</v>
      </c>
      <c r="I1158">
        <v>600</v>
      </c>
      <c r="J1158" t="s">
        <v>23</v>
      </c>
      <c r="K1158" t="s">
        <v>17</v>
      </c>
      <c r="L1158" t="s">
        <v>18</v>
      </c>
      <c r="M1158" t="s">
        <v>43</v>
      </c>
      <c r="Q1158" s="1"/>
    </row>
    <row r="1159" spans="1:17" x14ac:dyDescent="0.3">
      <c r="A1159">
        <v>9</v>
      </c>
      <c r="B1159">
        <v>2</v>
      </c>
      <c r="C1159" s="11">
        <v>46055</v>
      </c>
      <c r="D1159" t="s">
        <v>13</v>
      </c>
      <c r="E1159">
        <v>800</v>
      </c>
      <c r="F1159" s="11">
        <v>46144</v>
      </c>
      <c r="G1159" t="s">
        <v>55</v>
      </c>
      <c r="H1159" t="s">
        <v>38</v>
      </c>
      <c r="I1159">
        <v>1000</v>
      </c>
      <c r="J1159" t="s">
        <v>23</v>
      </c>
      <c r="K1159" t="s">
        <v>33</v>
      </c>
      <c r="L1159" t="s">
        <v>25</v>
      </c>
      <c r="M1159" t="s">
        <v>43</v>
      </c>
      <c r="Q1159" s="1"/>
    </row>
    <row r="1160" spans="1:17" x14ac:dyDescent="0.3">
      <c r="A1160">
        <v>43</v>
      </c>
      <c r="B1160">
        <v>21</v>
      </c>
      <c r="C1160" s="11">
        <v>46269</v>
      </c>
      <c r="D1160" t="s">
        <v>20</v>
      </c>
      <c r="E1160">
        <v>9500</v>
      </c>
      <c r="F1160" s="11">
        <v>46238</v>
      </c>
      <c r="G1160" t="s">
        <v>99</v>
      </c>
      <c r="H1160" t="s">
        <v>19</v>
      </c>
      <c r="I1160">
        <v>900</v>
      </c>
      <c r="J1160" t="s">
        <v>23</v>
      </c>
      <c r="K1160" t="s">
        <v>29</v>
      </c>
      <c r="L1160" t="s">
        <v>34</v>
      </c>
      <c r="M1160" t="s">
        <v>41</v>
      </c>
      <c r="Q1160" s="1"/>
    </row>
    <row r="1161" spans="1:17" x14ac:dyDescent="0.3">
      <c r="A1161">
        <v>8</v>
      </c>
      <c r="B1161">
        <v>0</v>
      </c>
      <c r="C1161" s="11">
        <v>46266</v>
      </c>
      <c r="D1161" t="s">
        <v>13</v>
      </c>
      <c r="E1161">
        <v>1100</v>
      </c>
      <c r="F1161" s="11">
        <v>46083</v>
      </c>
      <c r="G1161" t="s">
        <v>69</v>
      </c>
      <c r="H1161" t="s">
        <v>106</v>
      </c>
      <c r="I1161">
        <v>400</v>
      </c>
      <c r="J1161" t="s">
        <v>16</v>
      </c>
      <c r="K1161" t="s">
        <v>33</v>
      </c>
      <c r="L1161" t="s">
        <v>18</v>
      </c>
      <c r="M1161" t="s">
        <v>32</v>
      </c>
      <c r="Q1161" s="1"/>
    </row>
    <row r="1162" spans="1:17" x14ac:dyDescent="0.3">
      <c r="A1162">
        <v>23</v>
      </c>
      <c r="B1162">
        <v>6</v>
      </c>
      <c r="C1162" s="11">
        <v>46237</v>
      </c>
      <c r="D1162" t="s">
        <v>20</v>
      </c>
      <c r="E1162">
        <v>6500</v>
      </c>
      <c r="F1162" s="11" t="s">
        <v>64</v>
      </c>
      <c r="G1162" t="s">
        <v>37</v>
      </c>
      <c r="H1162" t="s">
        <v>30</v>
      </c>
      <c r="I1162">
        <v>1200</v>
      </c>
      <c r="J1162" t="s">
        <v>23</v>
      </c>
      <c r="K1162" t="s">
        <v>33</v>
      </c>
      <c r="L1162" t="s">
        <v>34</v>
      </c>
      <c r="M1162" t="s">
        <v>15</v>
      </c>
      <c r="Q1162" s="1"/>
    </row>
    <row r="1163" spans="1:17" x14ac:dyDescent="0.3">
      <c r="A1163">
        <v>27</v>
      </c>
      <c r="B1163">
        <v>11</v>
      </c>
      <c r="C1163" s="11">
        <v>46269</v>
      </c>
      <c r="D1163" t="s">
        <v>20</v>
      </c>
      <c r="E1163">
        <v>1000</v>
      </c>
      <c r="F1163" s="11">
        <v>46269</v>
      </c>
      <c r="G1163" t="s">
        <v>82</v>
      </c>
      <c r="H1163" t="s">
        <v>19</v>
      </c>
      <c r="I1163">
        <v>1000</v>
      </c>
      <c r="J1163" t="s">
        <v>23</v>
      </c>
      <c r="K1163" t="s">
        <v>17</v>
      </c>
      <c r="L1163" t="s">
        <v>18</v>
      </c>
      <c r="M1163" t="s">
        <v>19</v>
      </c>
      <c r="Q1163" s="1"/>
    </row>
    <row r="1164" spans="1:17" x14ac:dyDescent="0.3">
      <c r="A1164">
        <v>47</v>
      </c>
      <c r="B1164">
        <v>16</v>
      </c>
      <c r="C1164" s="11">
        <v>46238</v>
      </c>
      <c r="D1164" t="s">
        <v>13</v>
      </c>
      <c r="E1164">
        <v>3100</v>
      </c>
      <c r="F1164" s="11">
        <v>46207</v>
      </c>
      <c r="G1164" t="s">
        <v>48</v>
      </c>
      <c r="H1164" t="s">
        <v>15</v>
      </c>
      <c r="I1164">
        <v>800</v>
      </c>
      <c r="J1164" t="s">
        <v>23</v>
      </c>
      <c r="K1164" t="s">
        <v>33</v>
      </c>
      <c r="L1164" t="s">
        <v>34</v>
      </c>
      <c r="M1164" t="s">
        <v>19</v>
      </c>
      <c r="Q1164" s="1"/>
    </row>
    <row r="1165" spans="1:17" x14ac:dyDescent="0.3">
      <c r="A1165">
        <v>11</v>
      </c>
      <c r="B1165">
        <v>3</v>
      </c>
      <c r="C1165" s="11">
        <v>46115</v>
      </c>
      <c r="D1165" t="s">
        <v>13</v>
      </c>
      <c r="E1165">
        <v>8500</v>
      </c>
      <c r="F1165" s="11">
        <v>46176</v>
      </c>
      <c r="G1165" t="s">
        <v>75</v>
      </c>
      <c r="H1165" t="s">
        <v>63</v>
      </c>
      <c r="I1165">
        <v>900</v>
      </c>
      <c r="J1165" t="s">
        <v>23</v>
      </c>
      <c r="K1165" t="s">
        <v>33</v>
      </c>
      <c r="L1165" t="s">
        <v>25</v>
      </c>
      <c r="M1165" t="s">
        <v>28</v>
      </c>
      <c r="Q1165" s="1"/>
    </row>
    <row r="1166" spans="1:17" x14ac:dyDescent="0.3">
      <c r="A1166">
        <v>18</v>
      </c>
      <c r="B1166">
        <v>5</v>
      </c>
      <c r="C1166" s="11" t="s">
        <v>64</v>
      </c>
      <c r="D1166" t="s">
        <v>20</v>
      </c>
      <c r="E1166">
        <v>9500</v>
      </c>
      <c r="F1166" s="11">
        <v>46116</v>
      </c>
      <c r="G1166" t="s">
        <v>21</v>
      </c>
      <c r="H1166" t="s">
        <v>19</v>
      </c>
      <c r="I1166">
        <v>600</v>
      </c>
      <c r="J1166" t="s">
        <v>23</v>
      </c>
      <c r="K1166" t="s">
        <v>17</v>
      </c>
      <c r="L1166" t="s">
        <v>34</v>
      </c>
      <c r="M1166" t="s">
        <v>19</v>
      </c>
      <c r="Q1166" s="1"/>
    </row>
    <row r="1167" spans="1:17" x14ac:dyDescent="0.3">
      <c r="A1167">
        <v>33</v>
      </c>
      <c r="B1167">
        <v>13</v>
      </c>
      <c r="C1167" s="11">
        <v>46238</v>
      </c>
      <c r="D1167" t="s">
        <v>13</v>
      </c>
      <c r="E1167">
        <v>14000</v>
      </c>
      <c r="F1167" s="11">
        <v>46269</v>
      </c>
      <c r="G1167" t="s">
        <v>118</v>
      </c>
      <c r="H1167" t="s">
        <v>19</v>
      </c>
      <c r="I1167">
        <v>1500</v>
      </c>
      <c r="J1167" t="s">
        <v>23</v>
      </c>
      <c r="K1167" t="s">
        <v>29</v>
      </c>
      <c r="L1167" t="s">
        <v>25</v>
      </c>
      <c r="M1167" t="s">
        <v>41</v>
      </c>
      <c r="Q1167" s="1"/>
    </row>
    <row r="1168" spans="1:17" x14ac:dyDescent="0.3">
      <c r="A1168">
        <v>10</v>
      </c>
      <c r="B1168">
        <v>0</v>
      </c>
      <c r="C1168" s="11" t="s">
        <v>56</v>
      </c>
      <c r="D1168" t="s">
        <v>20</v>
      </c>
      <c r="E1168">
        <v>1000</v>
      </c>
      <c r="F1168" s="11">
        <v>46055</v>
      </c>
      <c r="G1168" t="s">
        <v>77</v>
      </c>
      <c r="H1168" t="s">
        <v>104</v>
      </c>
      <c r="I1168">
        <v>600</v>
      </c>
      <c r="J1168" t="s">
        <v>16</v>
      </c>
      <c r="K1168" t="s">
        <v>33</v>
      </c>
      <c r="L1168" t="s">
        <v>18</v>
      </c>
      <c r="M1168" t="s">
        <v>36</v>
      </c>
      <c r="Q1168" s="1"/>
    </row>
    <row r="1169" spans="1:17" x14ac:dyDescent="0.3">
      <c r="A1169">
        <v>24</v>
      </c>
      <c r="B1169">
        <v>9</v>
      </c>
      <c r="C1169" s="11">
        <v>46207</v>
      </c>
      <c r="D1169" t="s">
        <v>13</v>
      </c>
      <c r="E1169">
        <v>1600</v>
      </c>
      <c r="F1169" s="11">
        <v>46116</v>
      </c>
      <c r="G1169" t="s">
        <v>66</v>
      </c>
      <c r="H1169" t="s">
        <v>15</v>
      </c>
      <c r="I1169">
        <v>800</v>
      </c>
      <c r="J1169" t="s">
        <v>23</v>
      </c>
      <c r="K1169" t="s">
        <v>33</v>
      </c>
      <c r="L1169" t="s">
        <v>18</v>
      </c>
      <c r="M1169" t="s">
        <v>15</v>
      </c>
      <c r="Q1169" s="1"/>
    </row>
    <row r="1170" spans="1:17" x14ac:dyDescent="0.3">
      <c r="A1170">
        <v>36</v>
      </c>
      <c r="B1170">
        <v>14</v>
      </c>
      <c r="C1170" s="11">
        <v>46269</v>
      </c>
      <c r="D1170" t="s">
        <v>13</v>
      </c>
      <c r="E1170">
        <v>1100</v>
      </c>
      <c r="F1170" s="11" t="s">
        <v>81</v>
      </c>
      <c r="G1170" t="s">
        <v>27</v>
      </c>
      <c r="H1170" t="s">
        <v>19</v>
      </c>
      <c r="I1170">
        <v>700</v>
      </c>
      <c r="J1170" t="s">
        <v>23</v>
      </c>
      <c r="K1170" t="s">
        <v>24</v>
      </c>
      <c r="L1170" t="s">
        <v>18</v>
      </c>
      <c r="M1170" t="s">
        <v>41</v>
      </c>
      <c r="Q1170" s="1"/>
    </row>
    <row r="1171" spans="1:17" x14ac:dyDescent="0.3">
      <c r="A1171">
        <v>7</v>
      </c>
      <c r="B1171">
        <v>1</v>
      </c>
      <c r="C1171" s="11" t="s">
        <v>41</v>
      </c>
      <c r="D1171" t="s">
        <v>20</v>
      </c>
      <c r="E1171">
        <v>4000</v>
      </c>
      <c r="F1171" s="11">
        <v>46082</v>
      </c>
      <c r="G1171" t="s">
        <v>14</v>
      </c>
      <c r="H1171" t="s">
        <v>109</v>
      </c>
      <c r="I1171">
        <v>500</v>
      </c>
      <c r="J1171" t="s">
        <v>16</v>
      </c>
      <c r="K1171" t="s">
        <v>33</v>
      </c>
      <c r="L1171" t="s">
        <v>34</v>
      </c>
      <c r="M1171" t="s">
        <v>36</v>
      </c>
      <c r="Q1171" s="1"/>
    </row>
    <row r="1172" spans="1:17" x14ac:dyDescent="0.3">
      <c r="A1172">
        <v>18</v>
      </c>
      <c r="B1172">
        <v>8</v>
      </c>
      <c r="C1172" s="11" t="s">
        <v>64</v>
      </c>
      <c r="D1172" t="s">
        <v>13</v>
      </c>
      <c r="E1172">
        <v>6500</v>
      </c>
      <c r="F1172" s="11">
        <v>46057</v>
      </c>
      <c r="G1172" t="s">
        <v>115</v>
      </c>
      <c r="H1172" t="s">
        <v>28</v>
      </c>
      <c r="I1172">
        <v>1200</v>
      </c>
      <c r="J1172" t="s">
        <v>23</v>
      </c>
      <c r="K1172" t="s">
        <v>33</v>
      </c>
      <c r="L1172" t="s">
        <v>25</v>
      </c>
      <c r="M1172" t="s">
        <v>30</v>
      </c>
      <c r="Q1172" s="1"/>
    </row>
    <row r="1173" spans="1:17" x14ac:dyDescent="0.3">
      <c r="A1173">
        <v>8</v>
      </c>
      <c r="B1173">
        <v>5</v>
      </c>
      <c r="C1173" s="11">
        <v>46144</v>
      </c>
      <c r="D1173" t="s">
        <v>20</v>
      </c>
      <c r="E1173">
        <v>7500</v>
      </c>
      <c r="F1173" s="11">
        <v>46267</v>
      </c>
      <c r="G1173" t="s">
        <v>116</v>
      </c>
      <c r="H1173" t="s">
        <v>26</v>
      </c>
      <c r="I1173">
        <v>700</v>
      </c>
      <c r="J1173" t="s">
        <v>23</v>
      </c>
      <c r="K1173" t="s">
        <v>17</v>
      </c>
      <c r="L1173" t="s">
        <v>34</v>
      </c>
      <c r="M1173" t="s">
        <v>61</v>
      </c>
      <c r="Q1173" s="1"/>
    </row>
    <row r="1174" spans="1:17" x14ac:dyDescent="0.3">
      <c r="A1174">
        <v>22</v>
      </c>
      <c r="B1174">
        <v>10</v>
      </c>
      <c r="C1174" s="11">
        <v>46085</v>
      </c>
      <c r="D1174" t="s">
        <v>20</v>
      </c>
      <c r="E1174">
        <v>1200</v>
      </c>
      <c r="F1174" s="11">
        <v>46238</v>
      </c>
      <c r="G1174" t="s">
        <v>31</v>
      </c>
      <c r="H1174" t="s">
        <v>15</v>
      </c>
      <c r="I1174">
        <v>1000</v>
      </c>
      <c r="J1174" t="s">
        <v>23</v>
      </c>
      <c r="K1174" t="s">
        <v>33</v>
      </c>
      <c r="L1174" t="s">
        <v>18</v>
      </c>
      <c r="M1174" t="s">
        <v>19</v>
      </c>
      <c r="Q1174" s="1"/>
    </row>
    <row r="1175" spans="1:17" x14ac:dyDescent="0.3">
      <c r="A1175">
        <v>27</v>
      </c>
      <c r="B1175">
        <v>12</v>
      </c>
      <c r="C1175" s="11">
        <v>46085</v>
      </c>
      <c r="D1175" t="s">
        <v>13</v>
      </c>
      <c r="E1175">
        <v>1700</v>
      </c>
      <c r="F1175" s="11">
        <v>46269</v>
      </c>
      <c r="G1175" t="s">
        <v>62</v>
      </c>
      <c r="H1175" t="s">
        <v>28</v>
      </c>
      <c r="I1175">
        <v>800</v>
      </c>
      <c r="J1175" t="s">
        <v>23</v>
      </c>
      <c r="K1175" t="s">
        <v>17</v>
      </c>
      <c r="L1175" t="s">
        <v>18</v>
      </c>
      <c r="M1175" t="s">
        <v>30</v>
      </c>
      <c r="Q1175" s="1"/>
    </row>
    <row r="1176" spans="1:17" x14ac:dyDescent="0.3">
      <c r="A1176">
        <v>18</v>
      </c>
      <c r="B1176">
        <v>6</v>
      </c>
      <c r="C1176" s="11">
        <v>46206</v>
      </c>
      <c r="D1176" t="s">
        <v>20</v>
      </c>
      <c r="E1176">
        <v>7500</v>
      </c>
      <c r="F1176" s="11">
        <v>46268</v>
      </c>
      <c r="G1176" t="s">
        <v>35</v>
      </c>
      <c r="H1176" t="s">
        <v>30</v>
      </c>
      <c r="I1176">
        <v>600</v>
      </c>
      <c r="J1176" t="s">
        <v>23</v>
      </c>
      <c r="K1176" t="s">
        <v>33</v>
      </c>
      <c r="L1176" t="s">
        <v>18</v>
      </c>
      <c r="M1176" t="s">
        <v>28</v>
      </c>
      <c r="Q1176" s="1"/>
    </row>
    <row r="1177" spans="1:17" x14ac:dyDescent="0.3">
      <c r="A1177">
        <v>36</v>
      </c>
      <c r="B1177">
        <v>18</v>
      </c>
      <c r="C1177" s="11">
        <v>46238</v>
      </c>
      <c r="D1177" t="s">
        <v>13</v>
      </c>
      <c r="E1177">
        <v>12000</v>
      </c>
      <c r="F1177" s="11">
        <v>46269</v>
      </c>
      <c r="G1177" t="s">
        <v>50</v>
      </c>
      <c r="H1177" t="s">
        <v>19</v>
      </c>
      <c r="I1177">
        <v>1600</v>
      </c>
      <c r="J1177" t="s">
        <v>23</v>
      </c>
      <c r="K1177" t="s">
        <v>17</v>
      </c>
      <c r="L1177" t="s">
        <v>25</v>
      </c>
      <c r="M1177" t="s">
        <v>19</v>
      </c>
      <c r="Q1177" s="1"/>
    </row>
    <row r="1178" spans="1:17" x14ac:dyDescent="0.3">
      <c r="A1178">
        <v>12</v>
      </c>
      <c r="B1178">
        <v>2</v>
      </c>
      <c r="C1178" s="11">
        <v>46144</v>
      </c>
      <c r="D1178" t="s">
        <v>20</v>
      </c>
      <c r="E1178">
        <v>700</v>
      </c>
      <c r="F1178" s="11">
        <v>46236</v>
      </c>
      <c r="G1178" t="s">
        <v>117</v>
      </c>
      <c r="H1178" t="s">
        <v>67</v>
      </c>
      <c r="I1178">
        <v>900</v>
      </c>
      <c r="J1178" t="s">
        <v>23</v>
      </c>
      <c r="K1178" t="s">
        <v>33</v>
      </c>
      <c r="L1178" t="s">
        <v>25</v>
      </c>
      <c r="M1178" t="s">
        <v>43</v>
      </c>
      <c r="Q1178" s="1"/>
    </row>
    <row r="1179" spans="1:17" x14ac:dyDescent="0.3">
      <c r="A1179">
        <v>46</v>
      </c>
      <c r="B1179">
        <v>20</v>
      </c>
      <c r="C1179" s="11">
        <v>46269</v>
      </c>
      <c r="D1179" t="s">
        <v>13</v>
      </c>
      <c r="E1179">
        <v>950</v>
      </c>
      <c r="F1179" s="11">
        <v>46238</v>
      </c>
      <c r="G1179" t="s">
        <v>42</v>
      </c>
      <c r="H1179" t="s">
        <v>19</v>
      </c>
      <c r="I1179">
        <v>1300</v>
      </c>
      <c r="J1179" t="s">
        <v>23</v>
      </c>
      <c r="K1179" t="s">
        <v>29</v>
      </c>
      <c r="L1179" t="s">
        <v>18</v>
      </c>
      <c r="M1179" t="s">
        <v>41</v>
      </c>
      <c r="Q1179" s="1"/>
    </row>
    <row r="1180" spans="1:17" x14ac:dyDescent="0.3">
      <c r="A1180">
        <v>10</v>
      </c>
      <c r="B1180">
        <v>1</v>
      </c>
      <c r="C1180" s="11">
        <v>46266</v>
      </c>
      <c r="D1180" t="s">
        <v>20</v>
      </c>
      <c r="E1180">
        <v>800</v>
      </c>
      <c r="F1180" s="11">
        <v>46055</v>
      </c>
      <c r="G1180" t="s">
        <v>68</v>
      </c>
      <c r="H1180" t="s">
        <v>43</v>
      </c>
      <c r="I1180">
        <v>1000</v>
      </c>
      <c r="J1180" t="s">
        <v>23</v>
      </c>
      <c r="K1180" t="s">
        <v>33</v>
      </c>
      <c r="L1180" t="s">
        <v>25</v>
      </c>
      <c r="M1180" t="s">
        <v>28</v>
      </c>
      <c r="Q1180" s="1"/>
    </row>
    <row r="1181" spans="1:17" x14ac:dyDescent="0.3">
      <c r="A1181">
        <v>17</v>
      </c>
      <c r="B1181">
        <v>7</v>
      </c>
      <c r="C1181" s="11">
        <v>46237</v>
      </c>
      <c r="D1181" t="s">
        <v>13</v>
      </c>
      <c r="E1181">
        <v>9500</v>
      </c>
      <c r="F1181" s="11" t="s">
        <v>64</v>
      </c>
      <c r="G1181" t="s">
        <v>73</v>
      </c>
      <c r="H1181" t="s">
        <v>30</v>
      </c>
      <c r="I1181">
        <v>1200</v>
      </c>
      <c r="J1181" t="s">
        <v>23</v>
      </c>
      <c r="K1181" t="s">
        <v>17</v>
      </c>
      <c r="L1181" t="s">
        <v>18</v>
      </c>
      <c r="M1181" t="s">
        <v>15</v>
      </c>
      <c r="Q1181" s="1"/>
    </row>
    <row r="1182" spans="1:17" x14ac:dyDescent="0.3">
      <c r="A1182">
        <v>32</v>
      </c>
      <c r="B1182">
        <v>11</v>
      </c>
      <c r="C1182" s="11" t="s">
        <v>64</v>
      </c>
      <c r="D1182" t="s">
        <v>20</v>
      </c>
      <c r="E1182">
        <v>2800</v>
      </c>
      <c r="F1182" s="11">
        <v>46146</v>
      </c>
      <c r="G1182" t="s">
        <v>95</v>
      </c>
      <c r="H1182" t="s">
        <v>19</v>
      </c>
      <c r="I1182">
        <v>1100</v>
      </c>
      <c r="J1182" t="s">
        <v>23</v>
      </c>
      <c r="K1182" t="s">
        <v>33</v>
      </c>
      <c r="L1182" t="s">
        <v>34</v>
      </c>
      <c r="M1182" t="s">
        <v>19</v>
      </c>
      <c r="Q1182" s="1"/>
    </row>
    <row r="1183" spans="1:17" x14ac:dyDescent="0.3">
      <c r="A1183">
        <v>39</v>
      </c>
      <c r="B1183">
        <v>17</v>
      </c>
      <c r="C1183" s="11">
        <v>46269</v>
      </c>
      <c r="D1183" t="s">
        <v>13</v>
      </c>
      <c r="E1183">
        <v>6000</v>
      </c>
      <c r="F1183" s="11">
        <v>46238</v>
      </c>
      <c r="G1183" t="s">
        <v>57</v>
      </c>
      <c r="H1183" t="s">
        <v>19</v>
      </c>
      <c r="I1183">
        <v>1000</v>
      </c>
      <c r="J1183" t="s">
        <v>23</v>
      </c>
      <c r="K1183" t="s">
        <v>33</v>
      </c>
      <c r="L1183" t="s">
        <v>18</v>
      </c>
      <c r="M1183" t="s">
        <v>41</v>
      </c>
      <c r="Q1183" s="1"/>
    </row>
    <row r="1184" spans="1:17" x14ac:dyDescent="0.3">
      <c r="A1184">
        <v>4</v>
      </c>
      <c r="B1184">
        <v>2</v>
      </c>
      <c r="C1184" s="11">
        <v>46082</v>
      </c>
      <c r="D1184" t="s">
        <v>13</v>
      </c>
      <c r="E1184">
        <v>900</v>
      </c>
      <c r="F1184" s="11">
        <v>46235</v>
      </c>
      <c r="G1184" t="s">
        <v>72</v>
      </c>
      <c r="H1184" t="s">
        <v>109</v>
      </c>
      <c r="I1184">
        <v>600</v>
      </c>
      <c r="J1184" t="s">
        <v>16</v>
      </c>
      <c r="K1184" t="s">
        <v>33</v>
      </c>
      <c r="L1184" t="s">
        <v>34</v>
      </c>
      <c r="M1184" t="s">
        <v>32</v>
      </c>
      <c r="Q1184" s="1"/>
    </row>
    <row r="1185" spans="1:17" x14ac:dyDescent="0.3">
      <c r="A1185">
        <v>20</v>
      </c>
      <c r="B1185">
        <v>9</v>
      </c>
      <c r="C1185" s="11" t="s">
        <v>64</v>
      </c>
      <c r="D1185" t="s">
        <v>20</v>
      </c>
      <c r="E1185">
        <v>16000</v>
      </c>
      <c r="F1185" s="11">
        <v>46026</v>
      </c>
      <c r="G1185" t="s">
        <v>78</v>
      </c>
      <c r="H1185" t="s">
        <v>63</v>
      </c>
      <c r="I1185">
        <v>700</v>
      </c>
      <c r="J1185" t="s">
        <v>23</v>
      </c>
      <c r="K1185" t="s">
        <v>17</v>
      </c>
      <c r="L1185" t="s">
        <v>18</v>
      </c>
      <c r="M1185" t="s">
        <v>43</v>
      </c>
      <c r="Q1185" s="1"/>
    </row>
    <row r="1186" spans="1:17" x14ac:dyDescent="0.3">
      <c r="A1186">
        <v>10</v>
      </c>
      <c r="B1186">
        <v>3</v>
      </c>
      <c r="C1186" s="11" t="s">
        <v>56</v>
      </c>
      <c r="D1186" t="s">
        <v>13</v>
      </c>
      <c r="E1186">
        <v>900</v>
      </c>
      <c r="F1186" s="11">
        <v>46114</v>
      </c>
      <c r="G1186" t="s">
        <v>55</v>
      </c>
      <c r="H1186" t="s">
        <v>104</v>
      </c>
      <c r="I1186">
        <v>1200</v>
      </c>
      <c r="J1186" t="s">
        <v>23</v>
      </c>
      <c r="K1186" t="s">
        <v>33</v>
      </c>
      <c r="L1186" t="s">
        <v>25</v>
      </c>
      <c r="M1186" t="s">
        <v>43</v>
      </c>
      <c r="Q1186" s="1"/>
    </row>
    <row r="1187" spans="1:17" x14ac:dyDescent="0.3">
      <c r="A1187">
        <v>45</v>
      </c>
      <c r="B1187">
        <v>22</v>
      </c>
      <c r="C1187" s="11">
        <v>46269</v>
      </c>
      <c r="D1187" t="s">
        <v>20</v>
      </c>
      <c r="E1187">
        <v>9800</v>
      </c>
      <c r="F1187" s="11">
        <v>46238</v>
      </c>
      <c r="G1187" t="s">
        <v>99</v>
      </c>
      <c r="H1187" t="s">
        <v>19</v>
      </c>
      <c r="I1187">
        <v>1100</v>
      </c>
      <c r="J1187" t="s">
        <v>23</v>
      </c>
      <c r="K1187" t="s">
        <v>29</v>
      </c>
      <c r="L1187" t="s">
        <v>34</v>
      </c>
      <c r="M1187" t="s">
        <v>41</v>
      </c>
      <c r="Q1187" s="1"/>
    </row>
    <row r="1188" spans="1:17" x14ac:dyDescent="0.3">
      <c r="A1188">
        <v>9</v>
      </c>
      <c r="B1188">
        <v>1</v>
      </c>
      <c r="C1188" s="11">
        <v>46235</v>
      </c>
      <c r="D1188" t="s">
        <v>13</v>
      </c>
      <c r="E1188">
        <v>1300</v>
      </c>
      <c r="F1188" s="11">
        <v>46024</v>
      </c>
      <c r="G1188" t="s">
        <v>69</v>
      </c>
      <c r="H1188" t="s">
        <v>106</v>
      </c>
      <c r="I1188">
        <v>500</v>
      </c>
      <c r="J1188" t="s">
        <v>16</v>
      </c>
      <c r="K1188" t="s">
        <v>33</v>
      </c>
      <c r="L1188" t="s">
        <v>18</v>
      </c>
      <c r="M1188" t="s">
        <v>32</v>
      </c>
      <c r="Q1188" s="1"/>
    </row>
    <row r="1189" spans="1:17" x14ac:dyDescent="0.3">
      <c r="A1189">
        <v>25</v>
      </c>
      <c r="B1189">
        <v>7</v>
      </c>
      <c r="C1189" s="11" t="s">
        <v>64</v>
      </c>
      <c r="D1189" t="s">
        <v>20</v>
      </c>
      <c r="E1189">
        <v>7500</v>
      </c>
      <c r="F1189" s="11">
        <v>46057</v>
      </c>
      <c r="G1189" t="s">
        <v>37</v>
      </c>
      <c r="H1189" t="s">
        <v>30</v>
      </c>
      <c r="I1189">
        <v>1400</v>
      </c>
      <c r="J1189" t="s">
        <v>23</v>
      </c>
      <c r="K1189" t="s">
        <v>33</v>
      </c>
      <c r="L1189" t="s">
        <v>34</v>
      </c>
      <c r="M1189" t="s">
        <v>15</v>
      </c>
      <c r="Q1189" s="1"/>
    </row>
    <row r="1190" spans="1:17" x14ac:dyDescent="0.3">
      <c r="A1190">
        <v>28</v>
      </c>
      <c r="B1190">
        <v>12</v>
      </c>
      <c r="C1190" s="11">
        <v>46269</v>
      </c>
      <c r="D1190" t="s">
        <v>20</v>
      </c>
      <c r="E1190">
        <v>1100</v>
      </c>
      <c r="F1190" s="11">
        <v>46269</v>
      </c>
      <c r="G1190" t="s">
        <v>82</v>
      </c>
      <c r="H1190" t="s">
        <v>19</v>
      </c>
      <c r="I1190">
        <v>1100</v>
      </c>
      <c r="J1190" t="s">
        <v>23</v>
      </c>
      <c r="K1190" t="s">
        <v>17</v>
      </c>
      <c r="L1190" t="s">
        <v>18</v>
      </c>
      <c r="M1190" t="s">
        <v>19</v>
      </c>
      <c r="Q1190" s="1"/>
    </row>
    <row r="1191" spans="1:17" x14ac:dyDescent="0.3">
      <c r="A1191">
        <v>50</v>
      </c>
      <c r="B1191">
        <v>17</v>
      </c>
      <c r="C1191" s="11">
        <v>46269</v>
      </c>
      <c r="D1191" t="s">
        <v>13</v>
      </c>
      <c r="E1191">
        <v>3300</v>
      </c>
      <c r="F1191" s="11">
        <v>46238</v>
      </c>
      <c r="G1191" t="s">
        <v>48</v>
      </c>
      <c r="H1191" t="s">
        <v>15</v>
      </c>
      <c r="I1191">
        <v>900</v>
      </c>
      <c r="J1191" t="s">
        <v>23</v>
      </c>
      <c r="K1191" t="s">
        <v>33</v>
      </c>
      <c r="L1191" t="s">
        <v>34</v>
      </c>
      <c r="M1191" t="s">
        <v>19</v>
      </c>
      <c r="Q1191" s="1"/>
    </row>
    <row r="1192" spans="1:17" x14ac:dyDescent="0.3">
      <c r="A1192">
        <v>12</v>
      </c>
      <c r="B1192">
        <v>4</v>
      </c>
      <c r="C1192" s="11">
        <v>46176</v>
      </c>
      <c r="D1192" t="s">
        <v>13</v>
      </c>
      <c r="E1192">
        <v>9000</v>
      </c>
      <c r="F1192" s="11">
        <v>46237</v>
      </c>
      <c r="G1192" t="s">
        <v>75</v>
      </c>
      <c r="H1192" t="s">
        <v>63</v>
      </c>
      <c r="I1192">
        <v>1000</v>
      </c>
      <c r="J1192" t="s">
        <v>23</v>
      </c>
      <c r="K1192" t="s">
        <v>33</v>
      </c>
      <c r="L1192" t="s">
        <v>25</v>
      </c>
      <c r="M1192" t="s">
        <v>28</v>
      </c>
      <c r="Q1192" s="1"/>
    </row>
    <row r="1193" spans="1:17" x14ac:dyDescent="0.3">
      <c r="A1193">
        <v>20</v>
      </c>
      <c r="B1193">
        <v>6</v>
      </c>
      <c r="C1193" s="11" t="s">
        <v>64</v>
      </c>
      <c r="D1193" t="s">
        <v>20</v>
      </c>
      <c r="E1193">
        <v>10000</v>
      </c>
      <c r="F1193" s="11">
        <v>46146</v>
      </c>
      <c r="G1193" t="s">
        <v>21</v>
      </c>
      <c r="H1193" t="s">
        <v>19</v>
      </c>
      <c r="I1193">
        <v>700</v>
      </c>
      <c r="J1193" t="s">
        <v>23</v>
      </c>
      <c r="K1193" t="s">
        <v>17</v>
      </c>
      <c r="L1193" t="s">
        <v>34</v>
      </c>
      <c r="M1193" t="s">
        <v>19</v>
      </c>
      <c r="Q1193" s="1"/>
    </row>
    <row r="1194" spans="1:17" x14ac:dyDescent="0.3">
      <c r="A1194">
        <v>35</v>
      </c>
      <c r="B1194">
        <v>14</v>
      </c>
      <c r="C1194" s="11">
        <v>46238</v>
      </c>
      <c r="D1194" t="s">
        <v>13</v>
      </c>
      <c r="E1194">
        <v>14500</v>
      </c>
      <c r="F1194" s="11">
        <v>46269</v>
      </c>
      <c r="G1194" t="s">
        <v>118</v>
      </c>
      <c r="H1194" t="s">
        <v>19</v>
      </c>
      <c r="I1194">
        <v>1600</v>
      </c>
      <c r="J1194" t="s">
        <v>23</v>
      </c>
      <c r="K1194" t="s">
        <v>29</v>
      </c>
      <c r="L1194" t="s">
        <v>25</v>
      </c>
      <c r="M1194" t="s">
        <v>41</v>
      </c>
      <c r="Q1194" s="1"/>
    </row>
    <row r="1195" spans="1:17" x14ac:dyDescent="0.3">
      <c r="A1195">
        <v>11</v>
      </c>
      <c r="B1195">
        <v>0</v>
      </c>
      <c r="C1195" s="11">
        <v>46235</v>
      </c>
      <c r="D1195" t="s">
        <v>20</v>
      </c>
      <c r="E1195">
        <v>1200</v>
      </c>
      <c r="F1195" s="11" t="s">
        <v>56</v>
      </c>
      <c r="G1195" t="s">
        <v>77</v>
      </c>
      <c r="H1195" t="s">
        <v>106</v>
      </c>
      <c r="I1195">
        <v>700</v>
      </c>
      <c r="J1195" t="s">
        <v>16</v>
      </c>
      <c r="K1195" t="s">
        <v>33</v>
      </c>
      <c r="L1195" t="s">
        <v>18</v>
      </c>
      <c r="M1195" t="s">
        <v>36</v>
      </c>
      <c r="Q1195" s="1"/>
    </row>
    <row r="1196" spans="1:17" x14ac:dyDescent="0.3">
      <c r="A1196">
        <v>25</v>
      </c>
      <c r="B1196">
        <v>10</v>
      </c>
      <c r="C1196" s="11">
        <v>46238</v>
      </c>
      <c r="D1196" t="s">
        <v>13</v>
      </c>
      <c r="E1196">
        <v>1700</v>
      </c>
      <c r="F1196" s="11">
        <v>46146</v>
      </c>
      <c r="G1196" t="s">
        <v>66</v>
      </c>
      <c r="H1196" t="s">
        <v>15</v>
      </c>
      <c r="I1196">
        <v>900</v>
      </c>
      <c r="J1196" t="s">
        <v>23</v>
      </c>
      <c r="K1196" t="s">
        <v>33</v>
      </c>
      <c r="L1196" t="s">
        <v>18</v>
      </c>
      <c r="M1196" t="s">
        <v>15</v>
      </c>
      <c r="Q1196" s="1"/>
    </row>
    <row r="1197" spans="1:17" x14ac:dyDescent="0.3">
      <c r="A1197">
        <v>37</v>
      </c>
      <c r="B1197">
        <v>15</v>
      </c>
      <c r="C1197" s="11">
        <v>46269</v>
      </c>
      <c r="D1197" t="s">
        <v>13</v>
      </c>
      <c r="E1197">
        <v>1200</v>
      </c>
      <c r="F1197" s="11" t="s">
        <v>81</v>
      </c>
      <c r="G1197" t="s">
        <v>27</v>
      </c>
      <c r="H1197" t="s">
        <v>19</v>
      </c>
      <c r="I1197">
        <v>800</v>
      </c>
      <c r="J1197" t="s">
        <v>23</v>
      </c>
      <c r="K1197" t="s">
        <v>24</v>
      </c>
      <c r="L1197" t="s">
        <v>18</v>
      </c>
      <c r="M1197" t="s">
        <v>41</v>
      </c>
      <c r="Q1197" s="1"/>
    </row>
    <row r="1198" spans="1:17" x14ac:dyDescent="0.3">
      <c r="A1198">
        <v>8</v>
      </c>
      <c r="B1198">
        <v>2</v>
      </c>
      <c r="C1198" s="11">
        <v>46235</v>
      </c>
      <c r="D1198" t="s">
        <v>20</v>
      </c>
      <c r="E1198">
        <v>4500</v>
      </c>
      <c r="F1198" s="11">
        <v>46024</v>
      </c>
      <c r="G1198" t="s">
        <v>14</v>
      </c>
      <c r="H1198" t="s">
        <v>109</v>
      </c>
      <c r="I1198">
        <v>600</v>
      </c>
      <c r="J1198" t="s">
        <v>16</v>
      </c>
      <c r="K1198" t="s">
        <v>33</v>
      </c>
      <c r="L1198" t="s">
        <v>34</v>
      </c>
      <c r="M1198" t="s">
        <v>36</v>
      </c>
      <c r="Q1198" s="1"/>
    </row>
    <row r="1199" spans="1:17" x14ac:dyDescent="0.3">
      <c r="A1199">
        <v>20</v>
      </c>
      <c r="B1199">
        <v>9</v>
      </c>
      <c r="C1199" s="11">
        <v>46268</v>
      </c>
      <c r="D1199" t="s">
        <v>13</v>
      </c>
      <c r="E1199">
        <v>7500</v>
      </c>
      <c r="F1199" s="11">
        <v>46085</v>
      </c>
      <c r="G1199" t="s">
        <v>115</v>
      </c>
      <c r="H1199" t="s">
        <v>30</v>
      </c>
      <c r="I1199">
        <v>1300</v>
      </c>
      <c r="J1199" t="s">
        <v>23</v>
      </c>
      <c r="K1199" t="s">
        <v>33</v>
      </c>
      <c r="L1199" t="s">
        <v>25</v>
      </c>
      <c r="M1199" t="s">
        <v>30</v>
      </c>
      <c r="Q1199" s="1"/>
    </row>
    <row r="1200" spans="1:17" x14ac:dyDescent="0.3">
      <c r="A1200">
        <v>9</v>
      </c>
      <c r="B1200">
        <v>6</v>
      </c>
      <c r="C1200" s="11">
        <v>46236</v>
      </c>
      <c r="D1200" t="s">
        <v>20</v>
      </c>
      <c r="E1200">
        <v>8500</v>
      </c>
      <c r="F1200" s="11" t="s">
        <v>52</v>
      </c>
      <c r="G1200" t="s">
        <v>116</v>
      </c>
      <c r="H1200" t="s">
        <v>26</v>
      </c>
      <c r="I1200">
        <v>800</v>
      </c>
      <c r="J1200" t="s">
        <v>23</v>
      </c>
      <c r="K1200" t="s">
        <v>17</v>
      </c>
      <c r="L1200" t="s">
        <v>34</v>
      </c>
      <c r="M1200" t="s">
        <v>61</v>
      </c>
      <c r="Q1200" s="1"/>
    </row>
    <row r="1201" spans="1:17" x14ac:dyDescent="0.3">
      <c r="A1201">
        <v>23</v>
      </c>
      <c r="B1201">
        <v>11</v>
      </c>
      <c r="C1201" s="11">
        <v>46116</v>
      </c>
      <c r="D1201" t="s">
        <v>20</v>
      </c>
      <c r="E1201">
        <v>1300</v>
      </c>
      <c r="F1201" s="11">
        <v>46238</v>
      </c>
      <c r="G1201" t="s">
        <v>31</v>
      </c>
      <c r="H1201" t="s">
        <v>15</v>
      </c>
      <c r="I1201">
        <v>1200</v>
      </c>
      <c r="J1201" t="s">
        <v>23</v>
      </c>
      <c r="K1201" t="s">
        <v>33</v>
      </c>
      <c r="L1201" t="s">
        <v>18</v>
      </c>
      <c r="M1201" t="s">
        <v>19</v>
      </c>
      <c r="Q1201" s="1"/>
    </row>
    <row r="1202" spans="1:17" x14ac:dyDescent="0.3">
      <c r="A1202">
        <v>28</v>
      </c>
      <c r="B1202">
        <v>13</v>
      </c>
      <c r="C1202" s="11">
        <v>46116</v>
      </c>
      <c r="D1202" t="s">
        <v>13</v>
      </c>
      <c r="E1202">
        <v>1800</v>
      </c>
      <c r="F1202" s="11">
        <v>46269</v>
      </c>
      <c r="G1202" t="s">
        <v>62</v>
      </c>
      <c r="H1202" t="s">
        <v>28</v>
      </c>
      <c r="I1202">
        <v>900</v>
      </c>
      <c r="J1202" t="s">
        <v>23</v>
      </c>
      <c r="K1202" t="s">
        <v>17</v>
      </c>
      <c r="L1202" t="s">
        <v>18</v>
      </c>
      <c r="M1202" t="s">
        <v>30</v>
      </c>
      <c r="Q1202" s="1"/>
    </row>
    <row r="1203" spans="1:17" x14ac:dyDescent="0.3">
      <c r="A1203">
        <v>20</v>
      </c>
      <c r="B1203">
        <v>7</v>
      </c>
      <c r="C1203" s="11">
        <v>46176</v>
      </c>
      <c r="D1203" t="s">
        <v>20</v>
      </c>
      <c r="E1203">
        <v>8000</v>
      </c>
      <c r="F1203" s="11">
        <v>46268</v>
      </c>
      <c r="G1203" t="s">
        <v>35</v>
      </c>
      <c r="H1203" t="s">
        <v>30</v>
      </c>
      <c r="I1203">
        <v>700</v>
      </c>
      <c r="J1203" t="s">
        <v>23</v>
      </c>
      <c r="K1203" t="s">
        <v>33</v>
      </c>
      <c r="L1203" t="s">
        <v>18</v>
      </c>
      <c r="M1203" t="s">
        <v>28</v>
      </c>
      <c r="Q1203" s="1"/>
    </row>
    <row r="1204" spans="1:17" x14ac:dyDescent="0.3">
      <c r="A1204">
        <v>38</v>
      </c>
      <c r="B1204">
        <v>19</v>
      </c>
      <c r="C1204" s="11">
        <v>46269</v>
      </c>
      <c r="D1204" t="s">
        <v>13</v>
      </c>
      <c r="E1204">
        <v>13000</v>
      </c>
      <c r="F1204" s="11" t="s">
        <v>81</v>
      </c>
      <c r="G1204" t="s">
        <v>50</v>
      </c>
      <c r="H1204" t="s">
        <v>19</v>
      </c>
      <c r="I1204">
        <v>1700</v>
      </c>
      <c r="J1204" t="s">
        <v>23</v>
      </c>
      <c r="K1204" t="s">
        <v>17</v>
      </c>
      <c r="L1204" t="s">
        <v>25</v>
      </c>
      <c r="M1204" t="s">
        <v>19</v>
      </c>
      <c r="Q1204" s="1"/>
    </row>
    <row r="1205" spans="1:17" x14ac:dyDescent="0.3">
      <c r="A1205">
        <v>13</v>
      </c>
      <c r="B1205">
        <v>3</v>
      </c>
      <c r="C1205" s="11">
        <v>46083</v>
      </c>
      <c r="D1205" t="s">
        <v>20</v>
      </c>
      <c r="E1205">
        <v>600</v>
      </c>
      <c r="F1205" s="11">
        <v>46175</v>
      </c>
      <c r="G1205" t="s">
        <v>117</v>
      </c>
      <c r="H1205" t="s">
        <v>67</v>
      </c>
      <c r="I1205">
        <v>1000</v>
      </c>
      <c r="J1205" t="s">
        <v>23</v>
      </c>
      <c r="K1205" t="s">
        <v>33</v>
      </c>
      <c r="L1205" t="s">
        <v>25</v>
      </c>
      <c r="M1205" t="s">
        <v>43</v>
      </c>
      <c r="Q1205" s="1"/>
    </row>
    <row r="1206" spans="1:17" x14ac:dyDescent="0.3">
      <c r="A1206">
        <v>50</v>
      </c>
      <c r="B1206">
        <v>21</v>
      </c>
      <c r="C1206" s="11">
        <v>46269</v>
      </c>
      <c r="D1206" t="s">
        <v>13</v>
      </c>
      <c r="E1206">
        <v>1000</v>
      </c>
      <c r="F1206" s="11">
        <v>46269</v>
      </c>
      <c r="G1206" t="s">
        <v>42</v>
      </c>
      <c r="H1206" t="s">
        <v>19</v>
      </c>
      <c r="I1206">
        <v>1400</v>
      </c>
      <c r="J1206" t="s">
        <v>23</v>
      </c>
      <c r="K1206" t="s">
        <v>29</v>
      </c>
      <c r="L1206" t="s">
        <v>18</v>
      </c>
      <c r="M1206" t="s">
        <v>41</v>
      </c>
      <c r="Q1206" s="1"/>
    </row>
    <row r="1207" spans="1:17" x14ac:dyDescent="0.3">
      <c r="A1207">
        <v>12</v>
      </c>
      <c r="B1207">
        <v>2</v>
      </c>
      <c r="C1207" s="11">
        <v>46204</v>
      </c>
      <c r="D1207" t="s">
        <v>20</v>
      </c>
      <c r="E1207">
        <v>900</v>
      </c>
      <c r="F1207" s="11" t="s">
        <v>56</v>
      </c>
      <c r="G1207" t="s">
        <v>68</v>
      </c>
      <c r="H1207" t="s">
        <v>43</v>
      </c>
      <c r="I1207">
        <v>1100</v>
      </c>
      <c r="J1207" t="s">
        <v>23</v>
      </c>
      <c r="K1207" t="s">
        <v>33</v>
      </c>
      <c r="L1207" t="s">
        <v>25</v>
      </c>
      <c r="M1207" t="s">
        <v>28</v>
      </c>
      <c r="Q1207" s="1"/>
    </row>
    <row r="1208" spans="1:17" x14ac:dyDescent="0.3">
      <c r="A1208">
        <v>22</v>
      </c>
      <c r="B1208">
        <v>8</v>
      </c>
      <c r="C1208" s="11">
        <v>46026</v>
      </c>
      <c r="D1208" t="s">
        <v>20</v>
      </c>
      <c r="E1208">
        <v>11000</v>
      </c>
      <c r="F1208" s="11">
        <v>46177</v>
      </c>
      <c r="G1208" t="s">
        <v>73</v>
      </c>
      <c r="H1208" t="s">
        <v>30</v>
      </c>
      <c r="I1208">
        <v>1400</v>
      </c>
      <c r="J1208" t="s">
        <v>23</v>
      </c>
      <c r="K1208" t="s">
        <v>17</v>
      </c>
      <c r="L1208" t="s">
        <v>18</v>
      </c>
      <c r="M1208" t="s">
        <v>15</v>
      </c>
      <c r="Q1208" s="1"/>
    </row>
    <row r="1209" spans="1:17" x14ac:dyDescent="0.3">
      <c r="A1209">
        <v>34</v>
      </c>
      <c r="B1209">
        <v>12</v>
      </c>
      <c r="C1209" s="11">
        <v>46026</v>
      </c>
      <c r="D1209" t="s">
        <v>13</v>
      </c>
      <c r="E1209">
        <v>3000</v>
      </c>
      <c r="F1209" s="11">
        <v>46177</v>
      </c>
      <c r="G1209" t="s">
        <v>95</v>
      </c>
      <c r="H1209" t="s">
        <v>19</v>
      </c>
      <c r="I1209">
        <v>1200</v>
      </c>
      <c r="J1209" t="s">
        <v>23</v>
      </c>
      <c r="K1209" t="s">
        <v>33</v>
      </c>
      <c r="L1209" t="s">
        <v>34</v>
      </c>
      <c r="M1209" t="s">
        <v>19</v>
      </c>
      <c r="Q1209" s="1"/>
    </row>
    <row r="1210" spans="1:17" x14ac:dyDescent="0.3">
      <c r="A1210">
        <v>41</v>
      </c>
      <c r="B1210">
        <v>18</v>
      </c>
      <c r="C1210" s="11">
        <v>46269</v>
      </c>
      <c r="D1210" t="s">
        <v>13</v>
      </c>
      <c r="E1210">
        <v>7000</v>
      </c>
      <c r="F1210" s="11">
        <v>46269</v>
      </c>
      <c r="G1210" t="s">
        <v>57</v>
      </c>
      <c r="H1210" t="s">
        <v>19</v>
      </c>
      <c r="I1210">
        <v>1100</v>
      </c>
      <c r="J1210" t="s">
        <v>23</v>
      </c>
      <c r="K1210" t="s">
        <v>33</v>
      </c>
      <c r="L1210" t="s">
        <v>18</v>
      </c>
      <c r="M1210" t="s">
        <v>41</v>
      </c>
      <c r="Q1210" s="1"/>
    </row>
    <row r="1211" spans="1:17" x14ac:dyDescent="0.3">
      <c r="A1211">
        <v>6</v>
      </c>
      <c r="B1211">
        <v>3</v>
      </c>
      <c r="C1211" s="11" t="s">
        <v>41</v>
      </c>
      <c r="D1211" t="s">
        <v>13</v>
      </c>
      <c r="E1211">
        <v>1000</v>
      </c>
      <c r="F1211" s="11">
        <v>46143</v>
      </c>
      <c r="G1211" t="s">
        <v>72</v>
      </c>
      <c r="H1211" t="s">
        <v>109</v>
      </c>
      <c r="I1211">
        <v>700</v>
      </c>
      <c r="J1211" t="s">
        <v>16</v>
      </c>
      <c r="K1211" t="s">
        <v>33</v>
      </c>
      <c r="L1211" t="s">
        <v>34</v>
      </c>
      <c r="M1211" t="s">
        <v>32</v>
      </c>
      <c r="Q1211" s="1"/>
    </row>
    <row r="1212" spans="1:17" x14ac:dyDescent="0.3">
      <c r="A1212">
        <v>21</v>
      </c>
      <c r="B1212">
        <v>10</v>
      </c>
      <c r="C1212" s="11">
        <v>46268</v>
      </c>
      <c r="D1212" t="s">
        <v>20</v>
      </c>
      <c r="E1212">
        <v>18000</v>
      </c>
      <c r="F1212" s="11">
        <v>46026</v>
      </c>
      <c r="G1212" t="s">
        <v>78</v>
      </c>
      <c r="H1212" t="s">
        <v>63</v>
      </c>
      <c r="I1212">
        <v>800</v>
      </c>
      <c r="J1212" t="s">
        <v>23</v>
      </c>
      <c r="K1212" t="s">
        <v>17</v>
      </c>
      <c r="L1212" t="s">
        <v>18</v>
      </c>
      <c r="M1212" t="s">
        <v>43</v>
      </c>
      <c r="Q1212" s="1"/>
    </row>
    <row r="1213" spans="1:17" x14ac:dyDescent="0.3">
      <c r="A1213">
        <v>11</v>
      </c>
      <c r="B1213">
        <v>4</v>
      </c>
      <c r="C1213" s="11">
        <v>46204</v>
      </c>
      <c r="D1213" t="s">
        <v>13</v>
      </c>
      <c r="E1213">
        <v>1000</v>
      </c>
      <c r="F1213" s="11" t="s">
        <v>56</v>
      </c>
      <c r="G1213" t="s">
        <v>55</v>
      </c>
      <c r="H1213" t="s">
        <v>106</v>
      </c>
      <c r="I1213">
        <v>1300</v>
      </c>
      <c r="J1213" t="s">
        <v>23</v>
      </c>
      <c r="K1213" t="s">
        <v>33</v>
      </c>
      <c r="L1213" t="s">
        <v>25</v>
      </c>
      <c r="M1213" t="s">
        <v>43</v>
      </c>
      <c r="Q1213" s="1"/>
    </row>
    <row r="1214" spans="1:17" x14ac:dyDescent="0.3">
      <c r="A1214">
        <v>48</v>
      </c>
      <c r="B1214">
        <v>23</v>
      </c>
      <c r="C1214" s="11">
        <v>46269</v>
      </c>
      <c r="D1214" t="s">
        <v>20</v>
      </c>
      <c r="E1214">
        <v>10000</v>
      </c>
      <c r="F1214" s="11">
        <v>46269</v>
      </c>
      <c r="G1214" t="s">
        <v>99</v>
      </c>
      <c r="H1214" t="s">
        <v>19</v>
      </c>
      <c r="I1214">
        <v>1200</v>
      </c>
      <c r="J1214" t="s">
        <v>23</v>
      </c>
      <c r="K1214" t="s">
        <v>29</v>
      </c>
      <c r="L1214" t="s">
        <v>34</v>
      </c>
      <c r="M1214" t="s">
        <v>41</v>
      </c>
      <c r="Q1214" s="1"/>
    </row>
    <row r="1215" spans="1:17" x14ac:dyDescent="0.3">
      <c r="A1215">
        <v>10</v>
      </c>
      <c r="B1215">
        <v>2</v>
      </c>
      <c r="C1215" s="11">
        <v>46204</v>
      </c>
      <c r="D1215" t="s">
        <v>13</v>
      </c>
      <c r="E1215">
        <v>1500</v>
      </c>
      <c r="F1215" s="11" t="s">
        <v>56</v>
      </c>
      <c r="G1215" t="s">
        <v>69</v>
      </c>
      <c r="H1215" t="s">
        <v>106</v>
      </c>
      <c r="I1215">
        <v>600</v>
      </c>
      <c r="J1215" t="s">
        <v>16</v>
      </c>
      <c r="K1215" t="s">
        <v>33</v>
      </c>
      <c r="L1215" t="s">
        <v>18</v>
      </c>
      <c r="M1215" t="s">
        <v>32</v>
      </c>
      <c r="Q1215" s="1"/>
    </row>
    <row r="1216" spans="1:17" x14ac:dyDescent="0.3">
      <c r="A1216">
        <v>27</v>
      </c>
      <c r="B1216">
        <v>8</v>
      </c>
      <c r="C1216" s="11" t="s">
        <v>64</v>
      </c>
      <c r="D1216" t="s">
        <v>20</v>
      </c>
      <c r="E1216">
        <v>9500</v>
      </c>
      <c r="F1216" s="11">
        <v>46085</v>
      </c>
      <c r="G1216" t="s">
        <v>37</v>
      </c>
      <c r="H1216" t="s">
        <v>30</v>
      </c>
      <c r="I1216">
        <v>1500</v>
      </c>
      <c r="J1216" t="s">
        <v>23</v>
      </c>
      <c r="K1216" t="s">
        <v>33</v>
      </c>
      <c r="L1216" t="s">
        <v>34</v>
      </c>
      <c r="M1216" t="s">
        <v>15</v>
      </c>
      <c r="Q1216" s="1"/>
    </row>
    <row r="1217" spans="1:17" x14ac:dyDescent="0.3">
      <c r="A1217">
        <v>30</v>
      </c>
      <c r="B1217">
        <v>14</v>
      </c>
      <c r="C1217" s="11">
        <v>46269</v>
      </c>
      <c r="D1217" t="s">
        <v>20</v>
      </c>
      <c r="E1217">
        <v>1200</v>
      </c>
      <c r="F1217" s="11">
        <v>46269</v>
      </c>
      <c r="G1217" t="s">
        <v>82</v>
      </c>
      <c r="H1217" t="s">
        <v>19</v>
      </c>
      <c r="I1217">
        <v>1200</v>
      </c>
      <c r="J1217" t="s">
        <v>23</v>
      </c>
      <c r="K1217" t="s">
        <v>17</v>
      </c>
      <c r="L1217" t="s">
        <v>18</v>
      </c>
      <c r="M1217" t="s">
        <v>19</v>
      </c>
      <c r="Q1217" s="1"/>
    </row>
    <row r="1218" spans="1:17" x14ac:dyDescent="0.3">
      <c r="A1218">
        <v>53</v>
      </c>
      <c r="B1218">
        <v>18</v>
      </c>
      <c r="C1218" s="11">
        <v>46269</v>
      </c>
      <c r="D1218" t="s">
        <v>13</v>
      </c>
      <c r="E1218">
        <v>3500</v>
      </c>
      <c r="F1218" s="11">
        <v>46269</v>
      </c>
      <c r="G1218" t="s">
        <v>48</v>
      </c>
      <c r="H1218" t="s">
        <v>19</v>
      </c>
      <c r="I1218">
        <v>1000</v>
      </c>
      <c r="J1218" t="s">
        <v>23</v>
      </c>
      <c r="K1218" t="s">
        <v>33</v>
      </c>
      <c r="L1218" t="s">
        <v>34</v>
      </c>
      <c r="M1218" t="s">
        <v>19</v>
      </c>
      <c r="Q1218" s="1"/>
    </row>
    <row r="1219" spans="1:17" x14ac:dyDescent="0.3">
      <c r="A1219">
        <v>13</v>
      </c>
      <c r="B1219">
        <v>5</v>
      </c>
      <c r="C1219" s="11" t="s">
        <v>52</v>
      </c>
      <c r="D1219" t="s">
        <v>13</v>
      </c>
      <c r="E1219">
        <v>9500</v>
      </c>
      <c r="F1219" s="11">
        <v>46145</v>
      </c>
      <c r="G1219" t="s">
        <v>75</v>
      </c>
      <c r="H1219" t="s">
        <v>63</v>
      </c>
      <c r="I1219">
        <v>1100</v>
      </c>
      <c r="J1219" t="s">
        <v>23</v>
      </c>
      <c r="K1219" t="s">
        <v>33</v>
      </c>
      <c r="L1219" t="s">
        <v>25</v>
      </c>
      <c r="M1219" t="s">
        <v>28</v>
      </c>
      <c r="Q1219" s="1"/>
    </row>
    <row r="1220" spans="1:17" x14ac:dyDescent="0.3">
      <c r="A1220">
        <v>22</v>
      </c>
      <c r="B1220">
        <v>7</v>
      </c>
      <c r="C1220" s="11" t="s">
        <v>64</v>
      </c>
      <c r="D1220" t="s">
        <v>20</v>
      </c>
      <c r="E1220">
        <v>10500</v>
      </c>
      <c r="F1220" s="11">
        <v>46177</v>
      </c>
      <c r="G1220" t="s">
        <v>21</v>
      </c>
      <c r="H1220" t="s">
        <v>19</v>
      </c>
      <c r="I1220">
        <v>800</v>
      </c>
      <c r="J1220" t="s">
        <v>23</v>
      </c>
      <c r="K1220" t="s">
        <v>17</v>
      </c>
      <c r="L1220" t="s">
        <v>34</v>
      </c>
      <c r="M1220" t="s">
        <v>19</v>
      </c>
      <c r="Q1220" s="1"/>
    </row>
    <row r="1221" spans="1:17" x14ac:dyDescent="0.3">
      <c r="A1221">
        <v>37</v>
      </c>
      <c r="B1221">
        <v>15</v>
      </c>
      <c r="C1221" s="11">
        <v>46269</v>
      </c>
      <c r="D1221" t="s">
        <v>13</v>
      </c>
      <c r="E1221">
        <v>15000</v>
      </c>
      <c r="F1221" s="11" t="s">
        <v>81</v>
      </c>
      <c r="G1221" t="s">
        <v>118</v>
      </c>
      <c r="H1221" t="s">
        <v>19</v>
      </c>
      <c r="I1221">
        <v>1700</v>
      </c>
      <c r="J1221" t="s">
        <v>23</v>
      </c>
      <c r="K1221" t="s">
        <v>29</v>
      </c>
      <c r="L1221" t="s">
        <v>25</v>
      </c>
      <c r="M1221" t="s">
        <v>41</v>
      </c>
      <c r="Q1221" s="1"/>
    </row>
    <row r="1222" spans="1:17" x14ac:dyDescent="0.3">
      <c r="A1222">
        <v>12</v>
      </c>
      <c r="B1222">
        <v>1</v>
      </c>
      <c r="C1222" s="11">
        <v>46143</v>
      </c>
      <c r="D1222" t="s">
        <v>20</v>
      </c>
      <c r="E1222">
        <v>1400</v>
      </c>
      <c r="F1222" s="11">
        <v>46204</v>
      </c>
      <c r="G1222" t="s">
        <v>77</v>
      </c>
      <c r="H1222" t="s">
        <v>106</v>
      </c>
      <c r="I1222">
        <v>800</v>
      </c>
      <c r="J1222" t="s">
        <v>16</v>
      </c>
      <c r="K1222" t="s">
        <v>33</v>
      </c>
      <c r="L1222" t="s">
        <v>18</v>
      </c>
      <c r="M1222" t="s">
        <v>36</v>
      </c>
      <c r="Q1222" s="1"/>
    </row>
    <row r="1223" spans="1:17" x14ac:dyDescent="0.3">
      <c r="A1223">
        <v>26</v>
      </c>
      <c r="B1223">
        <v>11</v>
      </c>
      <c r="C1223" s="11">
        <v>46269</v>
      </c>
      <c r="D1223" t="s">
        <v>13</v>
      </c>
      <c r="E1223">
        <v>1800</v>
      </c>
      <c r="F1223" s="11">
        <v>46177</v>
      </c>
      <c r="G1223" t="s">
        <v>66</v>
      </c>
      <c r="H1223" t="s">
        <v>15</v>
      </c>
      <c r="I1223">
        <v>1000</v>
      </c>
      <c r="J1223" t="s">
        <v>23</v>
      </c>
      <c r="K1223" t="s">
        <v>33</v>
      </c>
      <c r="L1223" t="s">
        <v>18</v>
      </c>
      <c r="M1223" t="s">
        <v>15</v>
      </c>
      <c r="Q1223" s="1"/>
    </row>
    <row r="1224" spans="1:17" x14ac:dyDescent="0.3">
      <c r="A1224">
        <v>39</v>
      </c>
      <c r="B1224">
        <v>16</v>
      </c>
      <c r="C1224" s="11">
        <v>46269</v>
      </c>
      <c r="D1224" t="s">
        <v>13</v>
      </c>
      <c r="E1224">
        <v>1300</v>
      </c>
      <c r="F1224" s="11" t="s">
        <v>81</v>
      </c>
      <c r="G1224" t="s">
        <v>27</v>
      </c>
      <c r="H1224" t="s">
        <v>19</v>
      </c>
      <c r="I1224">
        <v>900</v>
      </c>
      <c r="J1224" t="s">
        <v>23</v>
      </c>
      <c r="K1224" t="s">
        <v>24</v>
      </c>
      <c r="L1224" t="s">
        <v>18</v>
      </c>
      <c r="M1224" t="s">
        <v>41</v>
      </c>
      <c r="Q1224" s="1"/>
    </row>
    <row r="1225" spans="1:17" x14ac:dyDescent="0.3">
      <c r="A1225">
        <v>10</v>
      </c>
      <c r="B1225">
        <v>3</v>
      </c>
      <c r="C1225" s="11">
        <v>46143</v>
      </c>
      <c r="D1225" t="s">
        <v>20</v>
      </c>
      <c r="E1225">
        <v>5000</v>
      </c>
      <c r="F1225" s="11" t="s">
        <v>56</v>
      </c>
      <c r="G1225" t="s">
        <v>14</v>
      </c>
      <c r="H1225" t="s">
        <v>109</v>
      </c>
      <c r="I1225">
        <v>700</v>
      </c>
      <c r="J1225" t="s">
        <v>16</v>
      </c>
      <c r="K1225" t="s">
        <v>33</v>
      </c>
      <c r="L1225" t="s">
        <v>34</v>
      </c>
      <c r="M1225" t="s">
        <v>36</v>
      </c>
      <c r="Q1225" s="1"/>
    </row>
    <row r="1226" spans="1:17" x14ac:dyDescent="0.3">
      <c r="A1226">
        <v>22</v>
      </c>
      <c r="B1226">
        <v>10</v>
      </c>
      <c r="C1226" s="11" t="s">
        <v>64</v>
      </c>
      <c r="D1226" t="s">
        <v>13</v>
      </c>
      <c r="E1226">
        <v>8500</v>
      </c>
      <c r="F1226" s="11">
        <v>46116</v>
      </c>
      <c r="G1226" t="s">
        <v>115</v>
      </c>
      <c r="H1226" t="s">
        <v>30</v>
      </c>
      <c r="I1226">
        <v>1400</v>
      </c>
      <c r="J1226" t="s">
        <v>23</v>
      </c>
      <c r="K1226" t="s">
        <v>33</v>
      </c>
      <c r="L1226" t="s">
        <v>25</v>
      </c>
      <c r="M1226" t="s">
        <v>30</v>
      </c>
      <c r="Q1226" s="1"/>
    </row>
    <row r="1227" spans="1:17" x14ac:dyDescent="0.3">
      <c r="A1227">
        <v>10</v>
      </c>
      <c r="B1227">
        <v>7</v>
      </c>
      <c r="C1227" s="11">
        <v>46055</v>
      </c>
      <c r="D1227" t="s">
        <v>20</v>
      </c>
      <c r="E1227">
        <v>9000</v>
      </c>
      <c r="F1227" s="11">
        <v>46144</v>
      </c>
      <c r="G1227" t="s">
        <v>116</v>
      </c>
      <c r="H1227" t="s">
        <v>26</v>
      </c>
      <c r="I1227">
        <v>900</v>
      </c>
      <c r="J1227" t="s">
        <v>23</v>
      </c>
      <c r="K1227" t="s">
        <v>17</v>
      </c>
      <c r="L1227" t="s">
        <v>34</v>
      </c>
      <c r="M1227" t="s">
        <v>61</v>
      </c>
      <c r="Q1227" s="1"/>
    </row>
    <row r="1228" spans="1:17" x14ac:dyDescent="0.3">
      <c r="A1228">
        <v>25</v>
      </c>
      <c r="B1228">
        <v>12</v>
      </c>
      <c r="C1228" s="11">
        <v>46146</v>
      </c>
      <c r="D1228" t="s">
        <v>20</v>
      </c>
      <c r="E1228">
        <v>1400</v>
      </c>
      <c r="F1228" s="11" t="s">
        <v>81</v>
      </c>
      <c r="G1228" t="s">
        <v>31</v>
      </c>
      <c r="H1228" t="s">
        <v>15</v>
      </c>
      <c r="I1228">
        <v>1300</v>
      </c>
      <c r="J1228" t="s">
        <v>23</v>
      </c>
      <c r="K1228" t="s">
        <v>33</v>
      </c>
      <c r="L1228" t="s">
        <v>18</v>
      </c>
      <c r="M1228" t="s">
        <v>19</v>
      </c>
      <c r="Q1228" s="1"/>
    </row>
    <row r="1229" spans="1:17" x14ac:dyDescent="0.3">
      <c r="A1229">
        <v>29</v>
      </c>
      <c r="B1229">
        <v>14</v>
      </c>
      <c r="C1229" s="11">
        <v>46146</v>
      </c>
      <c r="D1229" t="s">
        <v>13</v>
      </c>
      <c r="E1229">
        <v>1900</v>
      </c>
      <c r="F1229" s="11">
        <v>46269</v>
      </c>
      <c r="G1229" t="s">
        <v>62</v>
      </c>
      <c r="H1229" t="s">
        <v>30</v>
      </c>
      <c r="I1229">
        <v>1000</v>
      </c>
      <c r="J1229" t="s">
        <v>23</v>
      </c>
      <c r="K1229" t="s">
        <v>17</v>
      </c>
      <c r="L1229" t="s">
        <v>18</v>
      </c>
      <c r="M1229" t="s">
        <v>30</v>
      </c>
      <c r="Q1229" s="1"/>
    </row>
    <row r="1230" spans="1:17" x14ac:dyDescent="0.3">
      <c r="A1230">
        <v>22</v>
      </c>
      <c r="B1230">
        <v>8</v>
      </c>
      <c r="C1230" s="11">
        <v>46145</v>
      </c>
      <c r="D1230" t="s">
        <v>20</v>
      </c>
      <c r="E1230">
        <v>8500</v>
      </c>
      <c r="F1230" s="11">
        <v>46268</v>
      </c>
      <c r="G1230" t="s">
        <v>35</v>
      </c>
      <c r="H1230" t="s">
        <v>30</v>
      </c>
      <c r="I1230">
        <v>800</v>
      </c>
      <c r="J1230" t="s">
        <v>23</v>
      </c>
      <c r="K1230" t="s">
        <v>33</v>
      </c>
      <c r="L1230" t="s">
        <v>18</v>
      </c>
      <c r="M1230" t="s">
        <v>28</v>
      </c>
      <c r="Q1230" s="1"/>
    </row>
    <row r="1231" spans="1:17" x14ac:dyDescent="0.3">
      <c r="A1231">
        <v>40</v>
      </c>
      <c r="B1231">
        <v>20</v>
      </c>
      <c r="C1231" s="11">
        <v>46269</v>
      </c>
      <c r="D1231" t="s">
        <v>13</v>
      </c>
      <c r="E1231">
        <v>13500</v>
      </c>
      <c r="F1231" s="11" t="s">
        <v>81</v>
      </c>
      <c r="G1231" t="s">
        <v>50</v>
      </c>
      <c r="H1231" t="s">
        <v>19</v>
      </c>
      <c r="I1231">
        <v>1800</v>
      </c>
      <c r="J1231" t="s">
        <v>23</v>
      </c>
      <c r="K1231" t="s">
        <v>17</v>
      </c>
      <c r="L1231" t="s">
        <v>25</v>
      </c>
      <c r="M1231" t="s">
        <v>19</v>
      </c>
      <c r="Q1231" s="1"/>
    </row>
    <row r="1232" spans="1:17" x14ac:dyDescent="0.3">
      <c r="A1232">
        <v>15</v>
      </c>
      <c r="B1232">
        <v>4</v>
      </c>
      <c r="C1232" s="11">
        <v>46235</v>
      </c>
      <c r="D1232" t="s">
        <v>20</v>
      </c>
      <c r="E1232">
        <v>700</v>
      </c>
      <c r="F1232" s="11">
        <v>46024</v>
      </c>
      <c r="G1232" t="s">
        <v>117</v>
      </c>
      <c r="H1232" t="s">
        <v>67</v>
      </c>
      <c r="I1232">
        <v>1100</v>
      </c>
      <c r="J1232" t="s">
        <v>23</v>
      </c>
      <c r="K1232" t="s">
        <v>33</v>
      </c>
      <c r="L1232" t="s">
        <v>25</v>
      </c>
      <c r="M1232" t="s">
        <v>43</v>
      </c>
      <c r="Q1232" s="1"/>
    </row>
    <row r="1233" spans="1:17" x14ac:dyDescent="0.3">
      <c r="A1233">
        <v>55</v>
      </c>
      <c r="B1233">
        <v>22</v>
      </c>
      <c r="C1233" s="11">
        <v>46269</v>
      </c>
      <c r="D1233" t="s">
        <v>13</v>
      </c>
      <c r="E1233">
        <v>1100</v>
      </c>
      <c r="F1233" s="11">
        <v>46269</v>
      </c>
      <c r="G1233" t="s">
        <v>42</v>
      </c>
      <c r="H1233" t="s">
        <v>19</v>
      </c>
      <c r="I1233">
        <v>1500</v>
      </c>
      <c r="J1233" t="s">
        <v>23</v>
      </c>
      <c r="K1233" t="s">
        <v>29</v>
      </c>
      <c r="L1233" t="s">
        <v>18</v>
      </c>
      <c r="M1233" t="s">
        <v>41</v>
      </c>
      <c r="Q1233" s="1"/>
    </row>
    <row r="1234" spans="1:17" x14ac:dyDescent="0.3">
      <c r="A1234">
        <v>14</v>
      </c>
      <c r="B1234">
        <v>3</v>
      </c>
      <c r="C1234" s="11">
        <v>46143</v>
      </c>
      <c r="D1234" t="s">
        <v>20</v>
      </c>
      <c r="E1234">
        <v>950</v>
      </c>
      <c r="F1234" s="11" t="s">
        <v>56</v>
      </c>
      <c r="G1234" t="s">
        <v>68</v>
      </c>
      <c r="H1234" t="s">
        <v>43</v>
      </c>
      <c r="I1234">
        <v>1200</v>
      </c>
      <c r="J1234" t="s">
        <v>23</v>
      </c>
      <c r="K1234" t="s">
        <v>33</v>
      </c>
      <c r="L1234" t="s">
        <v>25</v>
      </c>
      <c r="M1234" t="s">
        <v>28</v>
      </c>
      <c r="Q1234" s="1"/>
    </row>
    <row r="1235" spans="1:17" x14ac:dyDescent="0.3">
      <c r="A1235">
        <v>24</v>
      </c>
      <c r="B1235">
        <v>9</v>
      </c>
      <c r="C1235" s="11" t="s">
        <v>64</v>
      </c>
      <c r="D1235" t="s">
        <v>20</v>
      </c>
      <c r="E1235">
        <v>13000</v>
      </c>
      <c r="F1235" s="11">
        <v>46207</v>
      </c>
      <c r="G1235" t="s">
        <v>73</v>
      </c>
      <c r="H1235" t="s">
        <v>30</v>
      </c>
      <c r="I1235">
        <v>1600</v>
      </c>
      <c r="J1235" t="s">
        <v>23</v>
      </c>
      <c r="K1235" t="s">
        <v>17</v>
      </c>
      <c r="L1235" t="s">
        <v>18</v>
      </c>
      <c r="M1235" t="s">
        <v>15</v>
      </c>
      <c r="Q1235" s="1"/>
    </row>
    <row r="1236" spans="1:17" x14ac:dyDescent="0.3">
      <c r="A1236">
        <v>36</v>
      </c>
      <c r="B1236">
        <v>13</v>
      </c>
      <c r="C1236" s="11" t="s">
        <v>64</v>
      </c>
      <c r="D1236" t="s">
        <v>13</v>
      </c>
      <c r="E1236">
        <v>3200</v>
      </c>
      <c r="F1236" s="11">
        <v>46207</v>
      </c>
      <c r="G1236" t="s">
        <v>95</v>
      </c>
      <c r="H1236" t="s">
        <v>19</v>
      </c>
      <c r="I1236">
        <v>1300</v>
      </c>
      <c r="J1236" t="s">
        <v>23</v>
      </c>
      <c r="K1236" t="s">
        <v>33</v>
      </c>
      <c r="L1236" t="s">
        <v>34</v>
      </c>
      <c r="M1236" t="s">
        <v>19</v>
      </c>
      <c r="Q1236" s="1"/>
    </row>
    <row r="1237" spans="1:17" x14ac:dyDescent="0.3">
      <c r="A1237">
        <v>43</v>
      </c>
      <c r="B1237">
        <v>19</v>
      </c>
      <c r="C1237" s="11">
        <v>46269</v>
      </c>
      <c r="D1237" t="s">
        <v>13</v>
      </c>
      <c r="E1237">
        <v>7500</v>
      </c>
      <c r="F1237" s="11">
        <v>46269</v>
      </c>
      <c r="G1237" t="s">
        <v>57</v>
      </c>
      <c r="H1237" t="s">
        <v>19</v>
      </c>
      <c r="I1237">
        <v>1200</v>
      </c>
      <c r="J1237" t="s">
        <v>23</v>
      </c>
      <c r="K1237" t="s">
        <v>33</v>
      </c>
      <c r="L1237" t="s">
        <v>18</v>
      </c>
      <c r="M1237" t="s">
        <v>41</v>
      </c>
      <c r="Q1237" s="1"/>
    </row>
    <row r="1238" spans="1:17" x14ac:dyDescent="0.3">
      <c r="A1238">
        <v>7</v>
      </c>
      <c r="B1238">
        <v>4</v>
      </c>
      <c r="C1238" s="11" t="s">
        <v>41</v>
      </c>
      <c r="D1238" t="s">
        <v>13</v>
      </c>
      <c r="E1238">
        <v>1100</v>
      </c>
      <c r="F1238" s="11">
        <v>46174</v>
      </c>
      <c r="G1238" t="s">
        <v>72</v>
      </c>
      <c r="H1238" t="s">
        <v>109</v>
      </c>
      <c r="I1238">
        <v>800</v>
      </c>
      <c r="J1238" t="s">
        <v>16</v>
      </c>
      <c r="K1238" t="s">
        <v>33</v>
      </c>
      <c r="L1238" t="s">
        <v>34</v>
      </c>
      <c r="M1238" t="s">
        <v>32</v>
      </c>
      <c r="Q1238" s="1"/>
    </row>
    <row r="1239" spans="1:17" x14ac:dyDescent="0.3">
      <c r="A1239">
        <v>23</v>
      </c>
      <c r="B1239">
        <v>12</v>
      </c>
      <c r="C1239" s="11" t="s">
        <v>64</v>
      </c>
      <c r="D1239" t="s">
        <v>20</v>
      </c>
      <c r="E1239">
        <v>19000</v>
      </c>
      <c r="F1239" s="11">
        <v>46026</v>
      </c>
      <c r="G1239" t="s">
        <v>78</v>
      </c>
      <c r="H1239" t="s">
        <v>28</v>
      </c>
      <c r="I1239">
        <v>900</v>
      </c>
      <c r="J1239" t="s">
        <v>23</v>
      </c>
      <c r="K1239" t="s">
        <v>17</v>
      </c>
      <c r="L1239" t="s">
        <v>18</v>
      </c>
      <c r="M1239" t="s">
        <v>43</v>
      </c>
      <c r="Q1239" s="1"/>
    </row>
    <row r="1240" spans="1:17" x14ac:dyDescent="0.3">
      <c r="A1240">
        <v>12</v>
      </c>
      <c r="B1240">
        <v>5</v>
      </c>
      <c r="C1240" s="11">
        <v>46143</v>
      </c>
      <c r="D1240" t="s">
        <v>13</v>
      </c>
      <c r="E1240">
        <v>1100</v>
      </c>
      <c r="F1240" s="11" t="s">
        <v>56</v>
      </c>
      <c r="G1240" t="s">
        <v>55</v>
      </c>
      <c r="H1240" t="s">
        <v>106</v>
      </c>
      <c r="I1240">
        <v>1400</v>
      </c>
      <c r="J1240" t="s">
        <v>23</v>
      </c>
      <c r="K1240" t="s">
        <v>33</v>
      </c>
      <c r="L1240" t="s">
        <v>25</v>
      </c>
      <c r="M1240" t="s">
        <v>43</v>
      </c>
      <c r="Q1240" s="1"/>
    </row>
    <row r="1241" spans="1:17" x14ac:dyDescent="0.3">
      <c r="A1241">
        <v>50</v>
      </c>
      <c r="B1241">
        <v>24</v>
      </c>
      <c r="C1241" s="11">
        <v>46269</v>
      </c>
      <c r="D1241" t="s">
        <v>20</v>
      </c>
      <c r="E1241">
        <v>10500</v>
      </c>
      <c r="F1241" s="11">
        <v>46269</v>
      </c>
      <c r="G1241" t="s">
        <v>99</v>
      </c>
      <c r="H1241" t="s">
        <v>19</v>
      </c>
      <c r="I1241">
        <v>1300</v>
      </c>
      <c r="J1241" t="s">
        <v>23</v>
      </c>
      <c r="K1241" t="s">
        <v>29</v>
      </c>
      <c r="L1241" t="s">
        <v>34</v>
      </c>
      <c r="M1241" t="s">
        <v>41</v>
      </c>
      <c r="Q1241" s="1"/>
    </row>
    <row r="1242" spans="1:17" x14ac:dyDescent="0.3">
      <c r="A1242">
        <v>11</v>
      </c>
      <c r="B1242">
        <v>3</v>
      </c>
      <c r="C1242" s="11">
        <v>46143</v>
      </c>
      <c r="D1242" t="s">
        <v>13</v>
      </c>
      <c r="E1242">
        <v>1600</v>
      </c>
      <c r="F1242" s="11" t="s">
        <v>56</v>
      </c>
      <c r="G1242" t="s">
        <v>69</v>
      </c>
      <c r="H1242" t="s">
        <v>106</v>
      </c>
      <c r="I1242">
        <v>700</v>
      </c>
      <c r="J1242" t="s">
        <v>16</v>
      </c>
      <c r="K1242" t="s">
        <v>33</v>
      </c>
      <c r="L1242" t="s">
        <v>18</v>
      </c>
      <c r="M1242" t="s">
        <v>32</v>
      </c>
      <c r="Q1242" s="1"/>
    </row>
    <row r="1243" spans="1:17" x14ac:dyDescent="0.3">
      <c r="A1243">
        <v>29</v>
      </c>
      <c r="B1243">
        <v>10</v>
      </c>
      <c r="C1243" s="11" t="s">
        <v>64</v>
      </c>
      <c r="D1243" t="s">
        <v>20</v>
      </c>
      <c r="E1243">
        <v>9500</v>
      </c>
      <c r="F1243" s="11">
        <v>46116</v>
      </c>
      <c r="G1243" t="s">
        <v>37</v>
      </c>
      <c r="H1243" t="s">
        <v>30</v>
      </c>
      <c r="I1243">
        <v>1800</v>
      </c>
      <c r="J1243" t="s">
        <v>23</v>
      </c>
      <c r="K1243" t="s">
        <v>33</v>
      </c>
      <c r="L1243" t="s">
        <v>34</v>
      </c>
      <c r="M1243" t="s">
        <v>15</v>
      </c>
      <c r="Q1243" s="1"/>
    </row>
    <row r="1244" spans="1:17" x14ac:dyDescent="0.3">
      <c r="A1244">
        <v>30</v>
      </c>
      <c r="B1244">
        <v>5</v>
      </c>
      <c r="C1244" s="11">
        <v>46057</v>
      </c>
      <c r="D1244" t="s">
        <v>13</v>
      </c>
      <c r="E1244">
        <v>1000</v>
      </c>
      <c r="F1244" s="11">
        <v>46146</v>
      </c>
      <c r="G1244" t="s">
        <v>48</v>
      </c>
      <c r="H1244" t="s">
        <v>30</v>
      </c>
      <c r="I1244">
        <v>2500</v>
      </c>
      <c r="J1244" t="s">
        <v>16</v>
      </c>
      <c r="K1244" t="s">
        <v>17</v>
      </c>
      <c r="L1244" t="s">
        <v>18</v>
      </c>
      <c r="M1244" t="s">
        <v>15</v>
      </c>
      <c r="Q1244" s="1"/>
    </row>
    <row r="1245" spans="1:17" x14ac:dyDescent="0.3">
      <c r="A1245">
        <v>10</v>
      </c>
      <c r="B1245">
        <v>2</v>
      </c>
      <c r="C1245" s="11">
        <v>46268</v>
      </c>
      <c r="D1245" t="s">
        <v>20</v>
      </c>
      <c r="E1245">
        <v>200</v>
      </c>
      <c r="F1245" s="11">
        <v>46237</v>
      </c>
      <c r="G1245" t="s">
        <v>78</v>
      </c>
      <c r="H1245" t="s">
        <v>58</v>
      </c>
      <c r="I1245">
        <v>100</v>
      </c>
      <c r="J1245" t="s">
        <v>16</v>
      </c>
      <c r="K1245" t="s">
        <v>33</v>
      </c>
      <c r="L1245" t="s">
        <v>25</v>
      </c>
      <c r="M1245" t="s">
        <v>43</v>
      </c>
      <c r="Q1245" s="1"/>
    </row>
    <row r="1246" spans="1:17" x14ac:dyDescent="0.3">
      <c r="A1246">
        <v>15</v>
      </c>
      <c r="B1246">
        <v>8</v>
      </c>
      <c r="C1246" s="11">
        <v>46238</v>
      </c>
      <c r="D1246" t="s">
        <v>13</v>
      </c>
      <c r="E1246">
        <v>5000</v>
      </c>
      <c r="F1246" s="11">
        <v>46207</v>
      </c>
      <c r="G1246" t="s">
        <v>95</v>
      </c>
      <c r="H1246" t="s">
        <v>19</v>
      </c>
      <c r="I1246">
        <v>600</v>
      </c>
      <c r="J1246" t="s">
        <v>16</v>
      </c>
      <c r="K1246" t="s">
        <v>17</v>
      </c>
      <c r="L1246" t="s">
        <v>18</v>
      </c>
      <c r="M1246" t="s">
        <v>19</v>
      </c>
      <c r="Q1246" s="1"/>
    </row>
    <row r="1247" spans="1:17" x14ac:dyDescent="0.3">
      <c r="A1247">
        <v>5</v>
      </c>
      <c r="B1247">
        <v>0</v>
      </c>
      <c r="C1247" s="11">
        <v>46146</v>
      </c>
      <c r="D1247" t="s">
        <v>13</v>
      </c>
      <c r="E1247">
        <v>100</v>
      </c>
      <c r="F1247" s="11">
        <v>46057</v>
      </c>
      <c r="G1247" t="s">
        <v>80</v>
      </c>
      <c r="H1247" t="s">
        <v>63</v>
      </c>
      <c r="I1247">
        <v>200</v>
      </c>
      <c r="J1247" t="s">
        <v>16</v>
      </c>
      <c r="K1247" t="s">
        <v>24</v>
      </c>
      <c r="L1247" t="s">
        <v>34</v>
      </c>
      <c r="M1247" t="s">
        <v>28</v>
      </c>
      <c r="Q1247" s="1"/>
    </row>
    <row r="1248" spans="1:17" x14ac:dyDescent="0.3">
      <c r="A1248">
        <v>40</v>
      </c>
      <c r="B1248">
        <v>15</v>
      </c>
      <c r="C1248" s="11">
        <v>46177</v>
      </c>
      <c r="D1248" t="s">
        <v>20</v>
      </c>
      <c r="E1248">
        <v>8000</v>
      </c>
      <c r="F1248" s="11">
        <v>46269</v>
      </c>
      <c r="G1248" t="s">
        <v>55</v>
      </c>
      <c r="H1248" t="s">
        <v>15</v>
      </c>
      <c r="I1248">
        <v>900</v>
      </c>
      <c r="J1248" t="s">
        <v>23</v>
      </c>
      <c r="K1248" t="s">
        <v>17</v>
      </c>
      <c r="L1248" t="s">
        <v>25</v>
      </c>
      <c r="M1248" t="s">
        <v>40</v>
      </c>
      <c r="Q1248" s="1"/>
    </row>
    <row r="1249" spans="1:17" x14ac:dyDescent="0.3">
      <c r="A1249">
        <v>20</v>
      </c>
      <c r="B1249">
        <v>3</v>
      </c>
      <c r="C1249" s="11">
        <v>46056</v>
      </c>
      <c r="D1249" t="s">
        <v>13</v>
      </c>
      <c r="E1249">
        <v>1500</v>
      </c>
      <c r="F1249" s="11">
        <v>46115</v>
      </c>
      <c r="G1249" t="s">
        <v>39</v>
      </c>
      <c r="H1249" t="s">
        <v>67</v>
      </c>
      <c r="I1249">
        <v>170</v>
      </c>
      <c r="J1249" t="s">
        <v>16</v>
      </c>
      <c r="K1249" t="s">
        <v>29</v>
      </c>
      <c r="L1249" t="s">
        <v>18</v>
      </c>
      <c r="M1249" t="s">
        <v>61</v>
      </c>
      <c r="Q1249" s="1"/>
    </row>
    <row r="1250" spans="1:17" x14ac:dyDescent="0.3">
      <c r="A1250">
        <v>8</v>
      </c>
      <c r="B1250">
        <v>1</v>
      </c>
      <c r="C1250" s="11">
        <v>46144</v>
      </c>
      <c r="D1250" t="s">
        <v>13</v>
      </c>
      <c r="E1250">
        <v>2000</v>
      </c>
      <c r="F1250" s="11">
        <v>46083</v>
      </c>
      <c r="G1250" t="s">
        <v>21</v>
      </c>
      <c r="H1250" t="s">
        <v>54</v>
      </c>
      <c r="I1250">
        <v>400</v>
      </c>
      <c r="J1250" t="s">
        <v>16</v>
      </c>
      <c r="K1250" t="s">
        <v>33</v>
      </c>
      <c r="L1250" t="s">
        <v>18</v>
      </c>
      <c r="M1250" t="s">
        <v>32</v>
      </c>
      <c r="Q1250" s="1"/>
    </row>
    <row r="1251" spans="1:17" x14ac:dyDescent="0.3">
      <c r="A1251">
        <v>12</v>
      </c>
      <c r="B1251">
        <v>6</v>
      </c>
      <c r="C1251" s="11" t="s">
        <v>64</v>
      </c>
      <c r="D1251" t="s">
        <v>20</v>
      </c>
      <c r="E1251">
        <v>700</v>
      </c>
      <c r="F1251" s="11" t="s">
        <v>64</v>
      </c>
      <c r="G1251" t="s">
        <v>66</v>
      </c>
      <c r="H1251" t="s">
        <v>43</v>
      </c>
      <c r="I1251">
        <v>750</v>
      </c>
      <c r="J1251" t="s">
        <v>16</v>
      </c>
      <c r="K1251" t="s">
        <v>24</v>
      </c>
      <c r="L1251" t="s">
        <v>25</v>
      </c>
      <c r="M1251" t="s">
        <v>30</v>
      </c>
      <c r="Q1251" s="1"/>
    </row>
    <row r="1252" spans="1:17" x14ac:dyDescent="0.3">
      <c r="A1252">
        <v>35</v>
      </c>
      <c r="B1252">
        <v>18</v>
      </c>
      <c r="C1252" s="11">
        <v>46269</v>
      </c>
      <c r="D1252" t="s">
        <v>13</v>
      </c>
      <c r="E1252">
        <v>6000</v>
      </c>
      <c r="F1252" s="11">
        <v>46238</v>
      </c>
      <c r="G1252" t="s">
        <v>60</v>
      </c>
      <c r="H1252" t="s">
        <v>30</v>
      </c>
      <c r="I1252">
        <v>700</v>
      </c>
      <c r="J1252" t="s">
        <v>16</v>
      </c>
      <c r="K1252" t="s">
        <v>17</v>
      </c>
      <c r="L1252" t="s">
        <v>18</v>
      </c>
      <c r="M1252" t="s">
        <v>49</v>
      </c>
      <c r="Q1252" s="1"/>
    </row>
    <row r="1253" spans="1:17" x14ac:dyDescent="0.3">
      <c r="A1253">
        <v>45</v>
      </c>
      <c r="B1253">
        <v>12</v>
      </c>
      <c r="C1253" s="11">
        <v>46207</v>
      </c>
      <c r="D1253" t="s">
        <v>20</v>
      </c>
      <c r="E1253">
        <v>3000</v>
      </c>
      <c r="F1253" s="11">
        <v>46177</v>
      </c>
      <c r="G1253" t="s">
        <v>14</v>
      </c>
      <c r="H1253" t="s">
        <v>28</v>
      </c>
      <c r="I1253">
        <v>300</v>
      </c>
      <c r="J1253" t="s">
        <v>23</v>
      </c>
      <c r="K1253" t="s">
        <v>33</v>
      </c>
      <c r="L1253" t="s">
        <v>25</v>
      </c>
      <c r="M1253" t="s">
        <v>19</v>
      </c>
      <c r="Q1253" s="1"/>
    </row>
    <row r="1254" spans="1:17" x14ac:dyDescent="0.3">
      <c r="A1254">
        <v>25</v>
      </c>
      <c r="B1254">
        <v>5</v>
      </c>
      <c r="C1254" s="11">
        <v>46237</v>
      </c>
      <c r="D1254" t="s">
        <v>20</v>
      </c>
      <c r="E1254">
        <v>400</v>
      </c>
      <c r="F1254" s="11">
        <v>46206</v>
      </c>
      <c r="G1254" t="s">
        <v>74</v>
      </c>
      <c r="H1254" t="s">
        <v>45</v>
      </c>
      <c r="I1254">
        <v>500</v>
      </c>
      <c r="J1254" t="s">
        <v>23</v>
      </c>
      <c r="K1254" t="s">
        <v>24</v>
      </c>
      <c r="L1254" t="s">
        <v>18</v>
      </c>
      <c r="M1254" t="s">
        <v>43</v>
      </c>
      <c r="Q1254" s="1"/>
    </row>
    <row r="1255" spans="1:17" x14ac:dyDescent="0.3">
      <c r="A1255">
        <v>3</v>
      </c>
      <c r="B1255">
        <v>0</v>
      </c>
      <c r="C1255" s="11">
        <v>46085</v>
      </c>
      <c r="D1255" t="s">
        <v>20</v>
      </c>
      <c r="E1255">
        <v>900</v>
      </c>
      <c r="F1255" s="11">
        <v>46116</v>
      </c>
      <c r="G1255" t="s">
        <v>27</v>
      </c>
      <c r="H1255" t="s">
        <v>26</v>
      </c>
      <c r="I1255">
        <v>1000</v>
      </c>
      <c r="J1255" t="s">
        <v>16</v>
      </c>
      <c r="K1255" t="s">
        <v>17</v>
      </c>
      <c r="L1255" t="s">
        <v>25</v>
      </c>
      <c r="M1255" t="s">
        <v>63</v>
      </c>
      <c r="Q1255" s="1"/>
    </row>
    <row r="1256" spans="1:17" x14ac:dyDescent="0.3">
      <c r="A1256">
        <v>18</v>
      </c>
      <c r="B1256">
        <v>10</v>
      </c>
      <c r="C1256" s="11">
        <v>46177</v>
      </c>
      <c r="D1256" t="s">
        <v>13</v>
      </c>
      <c r="E1256">
        <v>3500</v>
      </c>
      <c r="F1256" s="11">
        <v>46207</v>
      </c>
      <c r="G1256" t="s">
        <v>97</v>
      </c>
      <c r="H1256" t="s">
        <v>61</v>
      </c>
      <c r="I1256">
        <v>800</v>
      </c>
      <c r="J1256" t="s">
        <v>16</v>
      </c>
      <c r="K1256" t="s">
        <v>33</v>
      </c>
      <c r="L1256" t="s">
        <v>34</v>
      </c>
      <c r="M1256" t="s">
        <v>15</v>
      </c>
      <c r="Q1256" s="1"/>
    </row>
    <row r="1257" spans="1:17" x14ac:dyDescent="0.3">
      <c r="A1257">
        <v>7</v>
      </c>
      <c r="B1257">
        <v>2</v>
      </c>
      <c r="C1257" s="11">
        <v>46206</v>
      </c>
      <c r="D1257" t="s">
        <v>13</v>
      </c>
      <c r="E1257">
        <v>4500</v>
      </c>
      <c r="F1257" s="11">
        <v>46145</v>
      </c>
      <c r="G1257" t="s">
        <v>65</v>
      </c>
      <c r="H1257" t="s">
        <v>22</v>
      </c>
      <c r="I1257">
        <v>300</v>
      </c>
      <c r="J1257" t="s">
        <v>16</v>
      </c>
      <c r="K1257" t="s">
        <v>29</v>
      </c>
      <c r="L1257" t="s">
        <v>18</v>
      </c>
      <c r="M1257" t="s">
        <v>26</v>
      </c>
      <c r="Q1257" s="1"/>
    </row>
    <row r="1258" spans="1:17" x14ac:dyDescent="0.3">
      <c r="A1258">
        <v>22</v>
      </c>
      <c r="B1258">
        <v>7</v>
      </c>
      <c r="C1258" s="11">
        <v>46146</v>
      </c>
      <c r="D1258" t="s">
        <v>20</v>
      </c>
      <c r="E1258">
        <v>5500</v>
      </c>
      <c r="F1258" s="11">
        <v>46085</v>
      </c>
      <c r="G1258" t="s">
        <v>73</v>
      </c>
      <c r="H1258" t="s">
        <v>32</v>
      </c>
      <c r="I1258">
        <v>1000</v>
      </c>
      <c r="J1258" t="s">
        <v>16</v>
      </c>
      <c r="K1258" t="s">
        <v>17</v>
      </c>
      <c r="L1258" t="s">
        <v>25</v>
      </c>
      <c r="M1258" t="s">
        <v>51</v>
      </c>
      <c r="Q1258" s="1"/>
    </row>
    <row r="1259" spans="1:17" x14ac:dyDescent="0.3">
      <c r="A1259">
        <v>50</v>
      </c>
      <c r="B1259">
        <v>20</v>
      </c>
      <c r="C1259" s="11">
        <v>46146</v>
      </c>
      <c r="D1259" t="s">
        <v>13</v>
      </c>
      <c r="E1259">
        <v>9500</v>
      </c>
      <c r="F1259" s="11">
        <v>46207</v>
      </c>
      <c r="G1259" t="s">
        <v>35</v>
      </c>
      <c r="H1259" t="s">
        <v>19</v>
      </c>
      <c r="I1259">
        <v>900</v>
      </c>
      <c r="J1259" t="s">
        <v>16</v>
      </c>
      <c r="K1259" t="s">
        <v>17</v>
      </c>
      <c r="L1259" t="s">
        <v>25</v>
      </c>
      <c r="M1259">
        <v>1</v>
      </c>
      <c r="Q1259" s="1"/>
    </row>
    <row r="1260" spans="1:17" x14ac:dyDescent="0.3">
      <c r="A1260">
        <v>13</v>
      </c>
      <c r="B1260">
        <v>4</v>
      </c>
      <c r="C1260" s="11">
        <v>46115</v>
      </c>
      <c r="D1260" t="s">
        <v>13</v>
      </c>
      <c r="E1260">
        <v>750</v>
      </c>
      <c r="F1260" s="11">
        <v>46084</v>
      </c>
      <c r="G1260" t="s">
        <v>98</v>
      </c>
      <c r="H1260">
        <v>0</v>
      </c>
      <c r="I1260">
        <v>600</v>
      </c>
      <c r="J1260" t="s">
        <v>16</v>
      </c>
      <c r="K1260" t="s">
        <v>33</v>
      </c>
      <c r="L1260" t="s">
        <v>34</v>
      </c>
      <c r="M1260" t="s">
        <v>61</v>
      </c>
      <c r="Q1260" s="1"/>
    </row>
    <row r="1261" spans="1:17" x14ac:dyDescent="0.3">
      <c r="A1261">
        <v>6</v>
      </c>
      <c r="B1261">
        <v>0</v>
      </c>
      <c r="C1261" s="11" t="s">
        <v>52</v>
      </c>
      <c r="D1261" t="s">
        <v>20</v>
      </c>
      <c r="E1261">
        <v>300</v>
      </c>
      <c r="F1261" s="11">
        <v>46236</v>
      </c>
      <c r="G1261" t="s">
        <v>96</v>
      </c>
      <c r="H1261" t="s">
        <v>112</v>
      </c>
      <c r="I1261">
        <v>200</v>
      </c>
      <c r="J1261" t="s">
        <v>16</v>
      </c>
      <c r="K1261" t="s">
        <v>24</v>
      </c>
      <c r="L1261" t="s">
        <v>18</v>
      </c>
      <c r="M1261" t="s">
        <v>46</v>
      </c>
      <c r="Q1261" s="1"/>
    </row>
    <row r="1262" spans="1:17" x14ac:dyDescent="0.3">
      <c r="A1262">
        <v>28</v>
      </c>
      <c r="B1262">
        <v>9</v>
      </c>
      <c r="C1262" s="11">
        <v>46026</v>
      </c>
      <c r="D1262" t="s">
        <v>20</v>
      </c>
      <c r="E1262">
        <v>2500</v>
      </c>
      <c r="F1262" s="11" t="s">
        <v>64</v>
      </c>
      <c r="G1262" t="s">
        <v>77</v>
      </c>
      <c r="H1262" t="s">
        <v>63</v>
      </c>
      <c r="I1262">
        <v>800</v>
      </c>
      <c r="J1262" t="s">
        <v>16</v>
      </c>
      <c r="K1262" t="s">
        <v>17</v>
      </c>
      <c r="L1262" t="s">
        <v>25</v>
      </c>
      <c r="M1262" t="s">
        <v>28</v>
      </c>
      <c r="Q1262" s="1"/>
    </row>
    <row r="1263" spans="1:17" x14ac:dyDescent="0.3">
      <c r="A1263">
        <v>16</v>
      </c>
      <c r="B1263">
        <v>3</v>
      </c>
      <c r="C1263" s="11">
        <v>46238</v>
      </c>
      <c r="D1263" t="s">
        <v>13</v>
      </c>
      <c r="E1263">
        <v>4000</v>
      </c>
      <c r="F1263" s="11">
        <v>46269</v>
      </c>
      <c r="G1263" t="s">
        <v>75</v>
      </c>
      <c r="H1263" t="s">
        <v>15</v>
      </c>
      <c r="I1263">
        <v>500</v>
      </c>
      <c r="J1263" t="s">
        <v>16</v>
      </c>
      <c r="K1263" t="s">
        <v>29</v>
      </c>
      <c r="L1263" t="s">
        <v>18</v>
      </c>
      <c r="M1263" t="s">
        <v>15</v>
      </c>
      <c r="Q1263" s="1"/>
    </row>
    <row r="1264" spans="1:17" x14ac:dyDescent="0.3">
      <c r="A1264">
        <v>9</v>
      </c>
      <c r="B1264">
        <v>2</v>
      </c>
      <c r="C1264" s="11">
        <v>46084</v>
      </c>
      <c r="D1264" t="s">
        <v>13</v>
      </c>
      <c r="E1264">
        <v>550</v>
      </c>
      <c r="F1264" s="11">
        <v>46025</v>
      </c>
      <c r="G1264" t="s">
        <v>47</v>
      </c>
      <c r="H1264" t="s">
        <v>67</v>
      </c>
      <c r="I1264">
        <v>300</v>
      </c>
      <c r="J1264" t="s">
        <v>23</v>
      </c>
      <c r="K1264" t="s">
        <v>17</v>
      </c>
      <c r="L1264" t="s">
        <v>25</v>
      </c>
      <c r="M1264" t="s">
        <v>32</v>
      </c>
      <c r="Q1264" s="1"/>
    </row>
    <row r="1265" spans="1:17" x14ac:dyDescent="0.3">
      <c r="A1265">
        <v>33</v>
      </c>
      <c r="B1265">
        <v>14</v>
      </c>
      <c r="C1265" s="11">
        <v>46116</v>
      </c>
      <c r="D1265" t="s">
        <v>20</v>
      </c>
      <c r="E1265">
        <v>8500</v>
      </c>
      <c r="F1265" s="11">
        <v>46177</v>
      </c>
      <c r="G1265" t="s">
        <v>69</v>
      </c>
      <c r="H1265" t="s">
        <v>28</v>
      </c>
      <c r="I1265">
        <v>700</v>
      </c>
      <c r="J1265" t="s">
        <v>16</v>
      </c>
      <c r="K1265" t="s">
        <v>33</v>
      </c>
      <c r="L1265" t="s">
        <v>18</v>
      </c>
      <c r="M1265" t="s">
        <v>49</v>
      </c>
      <c r="Q1265" s="1"/>
    </row>
    <row r="1266" spans="1:17" x14ac:dyDescent="0.3">
      <c r="A1266">
        <v>11</v>
      </c>
      <c r="B1266">
        <v>1</v>
      </c>
      <c r="C1266" s="11" t="s">
        <v>64</v>
      </c>
      <c r="D1266" t="s">
        <v>20</v>
      </c>
      <c r="E1266">
        <v>600</v>
      </c>
      <c r="F1266" s="11">
        <v>46268</v>
      </c>
      <c r="G1266" t="s">
        <v>80</v>
      </c>
      <c r="H1266" t="s">
        <v>32</v>
      </c>
      <c r="I1266">
        <v>800</v>
      </c>
      <c r="J1266" t="s">
        <v>16</v>
      </c>
      <c r="K1266" t="s">
        <v>24</v>
      </c>
      <c r="L1266" t="s">
        <v>25</v>
      </c>
      <c r="M1266" t="s">
        <v>91</v>
      </c>
      <c r="Q1266" s="1"/>
    </row>
    <row r="1267" spans="1:17" x14ac:dyDescent="0.3">
      <c r="A1267">
        <v>2</v>
      </c>
      <c r="B1267">
        <v>0</v>
      </c>
      <c r="C1267" s="11">
        <v>46144</v>
      </c>
      <c r="D1267" t="s">
        <v>13</v>
      </c>
      <c r="E1267">
        <v>150</v>
      </c>
      <c r="F1267" s="11">
        <v>46114</v>
      </c>
      <c r="G1267" t="s">
        <v>53</v>
      </c>
      <c r="H1267" t="s">
        <v>38</v>
      </c>
      <c r="I1267">
        <v>100</v>
      </c>
      <c r="J1267" t="s">
        <v>16</v>
      </c>
      <c r="K1267" t="s">
        <v>29</v>
      </c>
      <c r="L1267" t="s">
        <v>34</v>
      </c>
      <c r="M1267" t="s">
        <v>119</v>
      </c>
      <c r="Q1267" s="1"/>
    </row>
    <row r="1268" spans="1:17" x14ac:dyDescent="0.3">
      <c r="A1268">
        <v>18</v>
      </c>
      <c r="B1268">
        <v>6</v>
      </c>
      <c r="C1268" s="11">
        <v>46237</v>
      </c>
      <c r="D1268" t="s">
        <v>13</v>
      </c>
      <c r="E1268">
        <v>4500</v>
      </c>
      <c r="F1268" s="11">
        <v>46176</v>
      </c>
      <c r="G1268" t="s">
        <v>69</v>
      </c>
      <c r="H1268" t="s">
        <v>26</v>
      </c>
      <c r="I1268">
        <v>1000</v>
      </c>
      <c r="J1268" t="s">
        <v>16</v>
      </c>
      <c r="K1268" t="s">
        <v>33</v>
      </c>
      <c r="L1268" t="s">
        <v>18</v>
      </c>
      <c r="M1268" t="s">
        <v>30</v>
      </c>
      <c r="Q1268" s="1"/>
    </row>
    <row r="1269" spans="1:17" x14ac:dyDescent="0.3">
      <c r="A1269">
        <v>5</v>
      </c>
      <c r="B1269">
        <v>1</v>
      </c>
      <c r="C1269" s="11">
        <v>46057</v>
      </c>
      <c r="D1269" t="s">
        <v>20</v>
      </c>
      <c r="E1269">
        <v>3000</v>
      </c>
      <c r="F1269" s="11">
        <v>46085</v>
      </c>
      <c r="G1269" t="s">
        <v>71</v>
      </c>
      <c r="H1269" t="s">
        <v>61</v>
      </c>
      <c r="I1269">
        <v>700</v>
      </c>
      <c r="J1269" t="s">
        <v>16</v>
      </c>
      <c r="K1269" t="s">
        <v>17</v>
      </c>
      <c r="L1269" t="s">
        <v>25</v>
      </c>
      <c r="M1269" t="s">
        <v>28</v>
      </c>
      <c r="Q1269" s="1"/>
    </row>
    <row r="1270" spans="1:17" x14ac:dyDescent="0.3">
      <c r="A1270">
        <v>23</v>
      </c>
      <c r="B1270">
        <v>7</v>
      </c>
      <c r="C1270" s="11">
        <v>46177</v>
      </c>
      <c r="D1270" t="s">
        <v>13</v>
      </c>
      <c r="E1270">
        <v>7000</v>
      </c>
      <c r="F1270" s="11">
        <v>46207</v>
      </c>
      <c r="G1270" t="s">
        <v>97</v>
      </c>
      <c r="H1270" t="s">
        <v>15</v>
      </c>
      <c r="I1270">
        <v>800</v>
      </c>
      <c r="J1270" t="s">
        <v>16</v>
      </c>
      <c r="K1270" t="s">
        <v>33</v>
      </c>
      <c r="L1270" t="s">
        <v>18</v>
      </c>
      <c r="M1270" t="s">
        <v>19</v>
      </c>
      <c r="Q1270" s="1"/>
    </row>
    <row r="1271" spans="1:17" x14ac:dyDescent="0.3">
      <c r="A1271">
        <v>7</v>
      </c>
      <c r="B1271">
        <v>0</v>
      </c>
      <c r="C1271" s="11">
        <v>46145</v>
      </c>
      <c r="D1271" t="s">
        <v>13</v>
      </c>
      <c r="E1271">
        <v>150</v>
      </c>
      <c r="F1271" s="11">
        <v>46115</v>
      </c>
      <c r="G1271" t="s">
        <v>53</v>
      </c>
      <c r="H1271" t="s">
        <v>45</v>
      </c>
      <c r="I1271">
        <v>100</v>
      </c>
      <c r="J1271" t="s">
        <v>16</v>
      </c>
      <c r="K1271" t="s">
        <v>24</v>
      </c>
      <c r="L1271" t="s">
        <v>34</v>
      </c>
      <c r="M1271" t="s">
        <v>32</v>
      </c>
      <c r="Q1271" s="1"/>
    </row>
    <row r="1272" spans="1:17" x14ac:dyDescent="0.3">
      <c r="A1272">
        <v>12</v>
      </c>
      <c r="B1272">
        <v>3</v>
      </c>
      <c r="C1272" s="11">
        <v>46268</v>
      </c>
      <c r="D1272" t="s">
        <v>20</v>
      </c>
      <c r="E1272">
        <v>800</v>
      </c>
      <c r="F1272" s="11">
        <v>46206</v>
      </c>
      <c r="G1272" t="s">
        <v>55</v>
      </c>
      <c r="H1272" t="s">
        <v>32</v>
      </c>
      <c r="I1272">
        <v>600</v>
      </c>
      <c r="J1272" t="s">
        <v>16</v>
      </c>
      <c r="K1272" t="s">
        <v>29</v>
      </c>
      <c r="L1272" t="s">
        <v>18</v>
      </c>
      <c r="M1272" t="s">
        <v>61</v>
      </c>
      <c r="Q1272" s="1"/>
    </row>
    <row r="1273" spans="1:17" x14ac:dyDescent="0.3">
      <c r="A1273">
        <v>30</v>
      </c>
      <c r="B1273">
        <v>12</v>
      </c>
      <c r="C1273" s="11">
        <v>46146</v>
      </c>
      <c r="D1273" t="s">
        <v>13</v>
      </c>
      <c r="E1273">
        <v>9500</v>
      </c>
      <c r="F1273" s="11">
        <v>46238</v>
      </c>
      <c r="G1273" t="s">
        <v>72</v>
      </c>
      <c r="H1273" t="s">
        <v>19</v>
      </c>
      <c r="I1273">
        <v>1000</v>
      </c>
      <c r="J1273" t="s">
        <v>16</v>
      </c>
      <c r="K1273" t="s">
        <v>17</v>
      </c>
      <c r="L1273" t="s">
        <v>25</v>
      </c>
      <c r="M1273" t="s">
        <v>40</v>
      </c>
      <c r="Q1273" s="1"/>
    </row>
    <row r="1274" spans="1:17" x14ac:dyDescent="0.3">
      <c r="A1274">
        <v>40</v>
      </c>
      <c r="B1274">
        <v>18</v>
      </c>
      <c r="C1274" s="11">
        <v>46207</v>
      </c>
      <c r="D1274" t="s">
        <v>20</v>
      </c>
      <c r="E1274">
        <v>5500</v>
      </c>
      <c r="F1274" s="11">
        <v>46177</v>
      </c>
      <c r="G1274" t="s">
        <v>75</v>
      </c>
      <c r="H1274" t="s">
        <v>30</v>
      </c>
      <c r="I1274">
        <v>700</v>
      </c>
      <c r="J1274" t="s">
        <v>16</v>
      </c>
      <c r="K1274" t="s">
        <v>33</v>
      </c>
      <c r="L1274" t="s">
        <v>18</v>
      </c>
      <c r="M1274" t="s">
        <v>49</v>
      </c>
      <c r="Q1274" s="1"/>
    </row>
    <row r="1275" spans="1:17" x14ac:dyDescent="0.3">
      <c r="A1275">
        <v>8</v>
      </c>
      <c r="B1275">
        <v>2</v>
      </c>
      <c r="C1275" s="11" t="s">
        <v>52</v>
      </c>
      <c r="D1275" t="s">
        <v>13</v>
      </c>
      <c r="E1275">
        <v>250</v>
      </c>
      <c r="F1275" s="11">
        <v>46236</v>
      </c>
      <c r="G1275" t="s">
        <v>60</v>
      </c>
      <c r="H1275" t="s">
        <v>54</v>
      </c>
      <c r="I1275">
        <v>400</v>
      </c>
      <c r="J1275" t="s">
        <v>16</v>
      </c>
      <c r="K1275" t="s">
        <v>33</v>
      </c>
      <c r="L1275" t="s">
        <v>34</v>
      </c>
      <c r="M1275" t="s">
        <v>105</v>
      </c>
      <c r="Q1275" s="1"/>
    </row>
    <row r="1276" spans="1:17" x14ac:dyDescent="0.3">
      <c r="A1276">
        <v>15</v>
      </c>
      <c r="B1276">
        <v>5</v>
      </c>
      <c r="C1276" s="11">
        <v>46176</v>
      </c>
      <c r="D1276" t="s">
        <v>20</v>
      </c>
      <c r="E1276">
        <v>4000</v>
      </c>
      <c r="F1276" s="11">
        <v>46145</v>
      </c>
      <c r="G1276" t="s">
        <v>39</v>
      </c>
      <c r="H1276" t="s">
        <v>26</v>
      </c>
      <c r="I1276">
        <v>500</v>
      </c>
      <c r="J1276" t="s">
        <v>23</v>
      </c>
      <c r="K1276" t="s">
        <v>17</v>
      </c>
      <c r="L1276" t="s">
        <v>25</v>
      </c>
      <c r="M1276" t="s">
        <v>43</v>
      </c>
      <c r="Q1276" s="1"/>
    </row>
    <row r="1277" spans="1:17" x14ac:dyDescent="0.3">
      <c r="A1277">
        <v>25</v>
      </c>
      <c r="B1277">
        <v>10</v>
      </c>
      <c r="C1277" s="11">
        <v>46085</v>
      </c>
      <c r="D1277" t="s">
        <v>13</v>
      </c>
      <c r="E1277">
        <v>8500</v>
      </c>
      <c r="F1277" s="11">
        <v>46146</v>
      </c>
      <c r="G1277" t="s">
        <v>80</v>
      </c>
      <c r="H1277" t="s">
        <v>63</v>
      </c>
      <c r="I1277">
        <v>600</v>
      </c>
      <c r="J1277" t="s">
        <v>16</v>
      </c>
      <c r="K1277" t="s">
        <v>24</v>
      </c>
      <c r="L1277" t="s">
        <v>18</v>
      </c>
      <c r="M1277" t="s">
        <v>15</v>
      </c>
      <c r="Q1277" s="1"/>
    </row>
    <row r="1278" spans="1:17" x14ac:dyDescent="0.3">
      <c r="A1278">
        <v>35</v>
      </c>
      <c r="B1278">
        <v>15</v>
      </c>
      <c r="C1278" s="11">
        <v>46269</v>
      </c>
      <c r="D1278" t="s">
        <v>13</v>
      </c>
      <c r="E1278">
        <v>6000</v>
      </c>
      <c r="F1278" s="11">
        <v>46238</v>
      </c>
      <c r="G1278" t="s">
        <v>95</v>
      </c>
      <c r="H1278" t="s">
        <v>15</v>
      </c>
      <c r="I1278">
        <v>700</v>
      </c>
      <c r="J1278" t="s">
        <v>23</v>
      </c>
      <c r="K1278" t="s">
        <v>33</v>
      </c>
      <c r="L1278" t="s">
        <v>25</v>
      </c>
      <c r="M1278" t="s">
        <v>19</v>
      </c>
      <c r="Q1278" s="1"/>
    </row>
    <row r="1279" spans="1:17" x14ac:dyDescent="0.3">
      <c r="A1279">
        <v>9</v>
      </c>
      <c r="B1279">
        <v>2</v>
      </c>
      <c r="C1279" s="11">
        <v>46144</v>
      </c>
      <c r="D1279" t="s">
        <v>20</v>
      </c>
      <c r="E1279">
        <v>1500</v>
      </c>
      <c r="F1279" s="11">
        <v>46083</v>
      </c>
      <c r="G1279" t="s">
        <v>47</v>
      </c>
      <c r="H1279" t="s">
        <v>104</v>
      </c>
      <c r="I1279">
        <v>300</v>
      </c>
      <c r="J1279" t="s">
        <v>16</v>
      </c>
      <c r="K1279" t="s">
        <v>29</v>
      </c>
      <c r="L1279" t="s">
        <v>18</v>
      </c>
      <c r="M1279" t="s">
        <v>46</v>
      </c>
      <c r="Q1279" s="1"/>
    </row>
    <row r="1280" spans="1:17" x14ac:dyDescent="0.3">
      <c r="A1280">
        <v>20</v>
      </c>
      <c r="B1280">
        <v>4</v>
      </c>
      <c r="C1280" s="11" t="s">
        <v>64</v>
      </c>
      <c r="D1280" t="s">
        <v>20</v>
      </c>
      <c r="E1280">
        <v>650</v>
      </c>
      <c r="F1280" s="11">
        <v>46268</v>
      </c>
      <c r="G1280" t="s">
        <v>35</v>
      </c>
      <c r="H1280" t="s">
        <v>32</v>
      </c>
      <c r="I1280">
        <v>800</v>
      </c>
      <c r="J1280" t="s">
        <v>16</v>
      </c>
      <c r="K1280" t="s">
        <v>33</v>
      </c>
      <c r="L1280" t="s">
        <v>25</v>
      </c>
      <c r="M1280" t="s">
        <v>63</v>
      </c>
      <c r="Q1280" s="1"/>
    </row>
    <row r="1281" spans="1:17" x14ac:dyDescent="0.3">
      <c r="A1281">
        <v>13</v>
      </c>
      <c r="B1281">
        <v>3</v>
      </c>
      <c r="C1281" s="11">
        <v>46177</v>
      </c>
      <c r="D1281" t="s">
        <v>13</v>
      </c>
      <c r="E1281">
        <v>5000</v>
      </c>
      <c r="F1281" s="11">
        <v>46207</v>
      </c>
      <c r="G1281" t="s">
        <v>57</v>
      </c>
      <c r="H1281" t="s">
        <v>28</v>
      </c>
      <c r="I1281">
        <v>750</v>
      </c>
      <c r="J1281" t="s">
        <v>16</v>
      </c>
      <c r="K1281" t="s">
        <v>17</v>
      </c>
      <c r="L1281" t="s">
        <v>18</v>
      </c>
      <c r="M1281" t="s">
        <v>15</v>
      </c>
      <c r="Q1281" s="1"/>
    </row>
    <row r="1282" spans="1:17" x14ac:dyDescent="0.3">
      <c r="A1282">
        <v>6</v>
      </c>
      <c r="B1282">
        <v>1</v>
      </c>
      <c r="C1282" s="11">
        <v>46084</v>
      </c>
      <c r="D1282" t="s">
        <v>20</v>
      </c>
      <c r="E1282">
        <v>200</v>
      </c>
      <c r="F1282" s="11">
        <v>46056</v>
      </c>
      <c r="G1282" t="s">
        <v>31</v>
      </c>
      <c r="H1282" t="s">
        <v>67</v>
      </c>
      <c r="I1282">
        <v>200</v>
      </c>
      <c r="J1282" t="s">
        <v>16</v>
      </c>
      <c r="K1282" t="s">
        <v>29</v>
      </c>
      <c r="L1282" t="s">
        <v>34</v>
      </c>
      <c r="M1282" t="s">
        <v>26</v>
      </c>
      <c r="Q1282" s="1"/>
    </row>
    <row r="1283" spans="1:17" x14ac:dyDescent="0.3">
      <c r="A1283">
        <v>32</v>
      </c>
      <c r="B1283">
        <v>11</v>
      </c>
      <c r="C1283" s="11">
        <v>46238</v>
      </c>
      <c r="D1283" t="s">
        <v>13</v>
      </c>
      <c r="E1283">
        <v>7500</v>
      </c>
      <c r="F1283" s="11">
        <v>46269</v>
      </c>
      <c r="G1283" t="s">
        <v>21</v>
      </c>
      <c r="H1283" t="s">
        <v>19</v>
      </c>
      <c r="I1283">
        <v>900</v>
      </c>
      <c r="J1283" t="s">
        <v>16</v>
      </c>
      <c r="K1283" t="s">
        <v>17</v>
      </c>
      <c r="L1283" t="s">
        <v>25</v>
      </c>
      <c r="M1283" t="s">
        <v>40</v>
      </c>
      <c r="Q1283" s="1"/>
    </row>
    <row r="1284" spans="1:17" x14ac:dyDescent="0.3">
      <c r="A1284">
        <v>10</v>
      </c>
      <c r="B1284">
        <v>0</v>
      </c>
      <c r="C1284" s="11">
        <v>46206</v>
      </c>
      <c r="D1284" t="s">
        <v>20</v>
      </c>
      <c r="E1284">
        <v>250</v>
      </c>
      <c r="F1284" s="11">
        <v>46145</v>
      </c>
      <c r="G1284" t="s">
        <v>70</v>
      </c>
      <c r="H1284" t="s">
        <v>22</v>
      </c>
      <c r="I1284">
        <v>100</v>
      </c>
      <c r="J1284" t="s">
        <v>16</v>
      </c>
      <c r="K1284" t="s">
        <v>24</v>
      </c>
      <c r="L1284" t="s">
        <v>18</v>
      </c>
      <c r="M1284" t="s">
        <v>46</v>
      </c>
      <c r="Q1284" s="1"/>
    </row>
    <row r="1285" spans="1:17" x14ac:dyDescent="0.3">
      <c r="A1285">
        <v>28</v>
      </c>
      <c r="B1285">
        <v>8</v>
      </c>
      <c r="C1285" s="11">
        <v>46026</v>
      </c>
      <c r="D1285" t="s">
        <v>13</v>
      </c>
      <c r="E1285">
        <v>3000</v>
      </c>
      <c r="F1285" s="11" t="s">
        <v>64</v>
      </c>
      <c r="G1285" t="s">
        <v>42</v>
      </c>
      <c r="H1285" t="s">
        <v>43</v>
      </c>
      <c r="I1285">
        <v>800</v>
      </c>
      <c r="J1285" t="s">
        <v>16</v>
      </c>
      <c r="K1285" t="s">
        <v>17</v>
      </c>
      <c r="L1285" t="s">
        <v>18</v>
      </c>
      <c r="M1285" t="s">
        <v>28</v>
      </c>
      <c r="Q1285" s="1"/>
    </row>
    <row r="1286" spans="1:17" x14ac:dyDescent="0.3">
      <c r="A1286">
        <v>4</v>
      </c>
      <c r="B1286">
        <v>0</v>
      </c>
      <c r="C1286" s="11">
        <v>46236</v>
      </c>
      <c r="D1286" t="s">
        <v>13</v>
      </c>
      <c r="E1286">
        <v>100</v>
      </c>
      <c r="F1286" s="11">
        <v>46175</v>
      </c>
      <c r="G1286" t="s">
        <v>96</v>
      </c>
      <c r="H1286" t="s">
        <v>38</v>
      </c>
      <c r="I1286">
        <v>100</v>
      </c>
      <c r="J1286" t="s">
        <v>16</v>
      </c>
      <c r="K1286" t="s">
        <v>33</v>
      </c>
      <c r="L1286" t="s">
        <v>34</v>
      </c>
      <c r="M1286" t="s">
        <v>46</v>
      </c>
      <c r="Q1286" s="1"/>
    </row>
    <row r="1287" spans="1:17" x14ac:dyDescent="0.3">
      <c r="A1287">
        <v>17</v>
      </c>
      <c r="B1287">
        <v>4</v>
      </c>
      <c r="C1287" s="11">
        <v>46057</v>
      </c>
      <c r="D1287" t="s">
        <v>20</v>
      </c>
      <c r="E1287">
        <v>4500</v>
      </c>
      <c r="F1287" s="11">
        <v>46116</v>
      </c>
      <c r="G1287" t="s">
        <v>80</v>
      </c>
      <c r="H1287" t="s">
        <v>30</v>
      </c>
      <c r="I1287">
        <v>500</v>
      </c>
      <c r="J1287" t="s">
        <v>16</v>
      </c>
      <c r="K1287" t="s">
        <v>29</v>
      </c>
      <c r="L1287" t="s">
        <v>25</v>
      </c>
      <c r="M1287" t="s">
        <v>30</v>
      </c>
      <c r="Q1287" s="1"/>
    </row>
    <row r="1288" spans="1:17" x14ac:dyDescent="0.3">
      <c r="A1288">
        <v>21</v>
      </c>
      <c r="B1288">
        <v>9</v>
      </c>
      <c r="C1288" s="11">
        <v>46146</v>
      </c>
      <c r="D1288" t="s">
        <v>20</v>
      </c>
      <c r="E1288">
        <v>8500</v>
      </c>
      <c r="F1288" s="11">
        <v>46177</v>
      </c>
      <c r="G1288" t="s">
        <v>82</v>
      </c>
      <c r="H1288" t="s">
        <v>28</v>
      </c>
      <c r="I1288">
        <v>600</v>
      </c>
      <c r="J1288" t="s">
        <v>16</v>
      </c>
      <c r="K1288" t="s">
        <v>17</v>
      </c>
      <c r="L1288" t="s">
        <v>18</v>
      </c>
      <c r="M1288" t="s">
        <v>49</v>
      </c>
      <c r="Q1288" s="1"/>
    </row>
    <row r="1289" spans="1:17" x14ac:dyDescent="0.3">
      <c r="A1289">
        <v>37</v>
      </c>
      <c r="B1289">
        <v>14</v>
      </c>
      <c r="C1289" s="11">
        <v>46269</v>
      </c>
      <c r="D1289" t="s">
        <v>13</v>
      </c>
      <c r="E1289">
        <v>7000</v>
      </c>
      <c r="F1289" s="11">
        <v>46238</v>
      </c>
      <c r="G1289" t="s">
        <v>60</v>
      </c>
      <c r="H1289" t="s">
        <v>19</v>
      </c>
      <c r="I1289">
        <v>700</v>
      </c>
      <c r="J1289" t="s">
        <v>23</v>
      </c>
      <c r="K1289" t="s">
        <v>33</v>
      </c>
      <c r="L1289" t="s">
        <v>25</v>
      </c>
      <c r="M1289" t="s">
        <v>19</v>
      </c>
      <c r="Q1289" s="1"/>
    </row>
    <row r="1290" spans="1:17" x14ac:dyDescent="0.3">
      <c r="A1290">
        <v>14</v>
      </c>
      <c r="B1290">
        <v>5</v>
      </c>
      <c r="C1290" s="11">
        <v>46268</v>
      </c>
      <c r="D1290" t="s">
        <v>20</v>
      </c>
      <c r="E1290">
        <v>500</v>
      </c>
      <c r="F1290" s="11">
        <v>46237</v>
      </c>
      <c r="G1290" t="s">
        <v>48</v>
      </c>
      <c r="H1290">
        <v>0</v>
      </c>
      <c r="I1290">
        <v>700</v>
      </c>
      <c r="J1290" t="s">
        <v>16</v>
      </c>
      <c r="K1290" t="s">
        <v>24</v>
      </c>
      <c r="L1290" t="s">
        <v>34</v>
      </c>
      <c r="M1290" t="s">
        <v>43</v>
      </c>
      <c r="Q1290" s="1"/>
    </row>
    <row r="1291" spans="1:17" x14ac:dyDescent="0.3">
      <c r="A1291">
        <v>19</v>
      </c>
      <c r="B1291">
        <v>7</v>
      </c>
      <c r="C1291" s="11">
        <v>46085</v>
      </c>
      <c r="D1291" t="s">
        <v>13</v>
      </c>
      <c r="E1291">
        <v>5500</v>
      </c>
      <c r="F1291" s="11">
        <v>46116</v>
      </c>
      <c r="G1291" t="s">
        <v>69</v>
      </c>
      <c r="H1291" t="s">
        <v>30</v>
      </c>
      <c r="I1291">
        <v>700</v>
      </c>
      <c r="J1291" t="s">
        <v>16</v>
      </c>
      <c r="K1291" t="s">
        <v>33</v>
      </c>
      <c r="L1291" t="s">
        <v>25</v>
      </c>
      <c r="M1291" t="s">
        <v>15</v>
      </c>
      <c r="Q1291" s="1"/>
    </row>
    <row r="1292" spans="1:17" x14ac:dyDescent="0.3">
      <c r="A1292">
        <v>6</v>
      </c>
      <c r="B1292">
        <v>1</v>
      </c>
      <c r="C1292" s="11">
        <v>46145</v>
      </c>
      <c r="D1292" t="s">
        <v>20</v>
      </c>
      <c r="E1292">
        <v>2000</v>
      </c>
      <c r="F1292" s="11">
        <v>46115</v>
      </c>
      <c r="G1292" t="s">
        <v>31</v>
      </c>
      <c r="H1292" t="s">
        <v>58</v>
      </c>
      <c r="I1292">
        <v>200</v>
      </c>
      <c r="J1292" t="s">
        <v>16</v>
      </c>
      <c r="K1292" t="s">
        <v>29</v>
      </c>
      <c r="L1292" t="s">
        <v>18</v>
      </c>
      <c r="M1292" t="s">
        <v>26</v>
      </c>
      <c r="Q1292" s="1"/>
    </row>
    <row r="1293" spans="1:17" x14ac:dyDescent="0.3">
      <c r="A1293">
        <v>31</v>
      </c>
      <c r="B1293">
        <v>13</v>
      </c>
      <c r="C1293" s="11">
        <v>46207</v>
      </c>
      <c r="D1293" t="s">
        <v>13</v>
      </c>
      <c r="E1293">
        <v>8000</v>
      </c>
      <c r="F1293" s="11">
        <v>46177</v>
      </c>
      <c r="G1293" t="s">
        <v>48</v>
      </c>
      <c r="H1293" t="s">
        <v>15</v>
      </c>
      <c r="I1293">
        <v>800</v>
      </c>
      <c r="J1293" t="s">
        <v>16</v>
      </c>
      <c r="K1293" t="s">
        <v>17</v>
      </c>
      <c r="L1293" t="s">
        <v>18</v>
      </c>
      <c r="M1293" t="s">
        <v>19</v>
      </c>
      <c r="Q1293" s="1"/>
    </row>
    <row r="1294" spans="1:17" x14ac:dyDescent="0.3">
      <c r="A1294">
        <v>8</v>
      </c>
      <c r="B1294">
        <v>3</v>
      </c>
      <c r="C1294" s="11">
        <v>46056</v>
      </c>
      <c r="D1294" t="s">
        <v>13</v>
      </c>
      <c r="E1294">
        <v>300</v>
      </c>
      <c r="F1294" s="11">
        <v>46025</v>
      </c>
      <c r="G1294" t="s">
        <v>53</v>
      </c>
      <c r="H1294" t="s">
        <v>22</v>
      </c>
      <c r="I1294">
        <v>100</v>
      </c>
      <c r="J1294" t="s">
        <v>16</v>
      </c>
      <c r="K1294" t="s">
        <v>33</v>
      </c>
      <c r="L1294" t="s">
        <v>34</v>
      </c>
      <c r="M1294" t="s">
        <v>32</v>
      </c>
      <c r="Q1294" s="1"/>
    </row>
    <row r="1295" spans="1:17" x14ac:dyDescent="0.3">
      <c r="A1295">
        <v>14</v>
      </c>
      <c r="B1295">
        <v>4</v>
      </c>
      <c r="C1295" s="11" t="s">
        <v>64</v>
      </c>
      <c r="D1295" t="s">
        <v>20</v>
      </c>
      <c r="E1295">
        <v>700</v>
      </c>
      <c r="F1295" s="11">
        <v>46026</v>
      </c>
      <c r="G1295" t="s">
        <v>39</v>
      </c>
      <c r="H1295" t="s">
        <v>26</v>
      </c>
      <c r="I1295">
        <v>600</v>
      </c>
      <c r="J1295" t="s">
        <v>16</v>
      </c>
      <c r="K1295" t="s">
        <v>24</v>
      </c>
      <c r="L1295" t="s">
        <v>18</v>
      </c>
      <c r="M1295" t="s">
        <v>63</v>
      </c>
      <c r="Q1295" s="1"/>
    </row>
    <row r="1296" spans="1:17" x14ac:dyDescent="0.3">
      <c r="A1296">
        <v>24</v>
      </c>
      <c r="B1296">
        <v>11</v>
      </c>
      <c r="C1296" s="11">
        <v>46177</v>
      </c>
      <c r="D1296" t="s">
        <v>13</v>
      </c>
      <c r="E1296">
        <v>9000</v>
      </c>
      <c r="F1296" s="11">
        <v>46207</v>
      </c>
      <c r="G1296" t="s">
        <v>72</v>
      </c>
      <c r="H1296" t="s">
        <v>19</v>
      </c>
      <c r="I1296">
        <v>1000</v>
      </c>
      <c r="J1296" t="s">
        <v>16</v>
      </c>
      <c r="K1296" t="s">
        <v>17</v>
      </c>
      <c r="L1296" t="s">
        <v>25</v>
      </c>
      <c r="M1296" t="s">
        <v>40</v>
      </c>
      <c r="Q1296" s="1"/>
    </row>
    <row r="1297" spans="1:17" x14ac:dyDescent="0.3">
      <c r="A1297">
        <v>41</v>
      </c>
      <c r="B1297">
        <v>17</v>
      </c>
      <c r="C1297" s="11">
        <v>46238</v>
      </c>
      <c r="D1297" t="s">
        <v>20</v>
      </c>
      <c r="E1297">
        <v>5000</v>
      </c>
      <c r="F1297" s="11">
        <v>46269</v>
      </c>
      <c r="G1297" t="s">
        <v>21</v>
      </c>
      <c r="H1297" t="s">
        <v>19</v>
      </c>
      <c r="I1297">
        <v>700</v>
      </c>
      <c r="J1297" t="s">
        <v>16</v>
      </c>
      <c r="K1297" t="s">
        <v>33</v>
      </c>
      <c r="L1297" t="s">
        <v>18</v>
      </c>
      <c r="M1297" t="s">
        <v>40</v>
      </c>
      <c r="Q1297" s="1"/>
    </row>
    <row r="1298" spans="1:17" x14ac:dyDescent="0.3">
      <c r="A1298">
        <v>9</v>
      </c>
      <c r="B1298">
        <v>2</v>
      </c>
      <c r="C1298" s="11">
        <v>46236</v>
      </c>
      <c r="D1298" t="s">
        <v>13</v>
      </c>
      <c r="E1298">
        <v>200</v>
      </c>
      <c r="F1298" s="11">
        <v>46175</v>
      </c>
      <c r="G1298" t="s">
        <v>27</v>
      </c>
      <c r="H1298" t="s">
        <v>112</v>
      </c>
      <c r="I1298">
        <v>100</v>
      </c>
      <c r="J1298" t="s">
        <v>16</v>
      </c>
      <c r="K1298" t="s">
        <v>29</v>
      </c>
      <c r="L1298" t="s">
        <v>34</v>
      </c>
      <c r="M1298" t="s">
        <v>46</v>
      </c>
      <c r="Q1298" s="1"/>
    </row>
    <row r="1299" spans="1:17" x14ac:dyDescent="0.3">
      <c r="A1299">
        <v>16</v>
      </c>
      <c r="B1299">
        <v>6</v>
      </c>
      <c r="C1299" s="11">
        <v>46237</v>
      </c>
      <c r="D1299" t="s">
        <v>20</v>
      </c>
      <c r="E1299">
        <v>4500</v>
      </c>
      <c r="F1299" s="11">
        <v>46268</v>
      </c>
      <c r="G1299" t="s">
        <v>71</v>
      </c>
      <c r="H1299" t="s">
        <v>43</v>
      </c>
      <c r="I1299">
        <v>500</v>
      </c>
      <c r="J1299" t="s">
        <v>16</v>
      </c>
      <c r="K1299" t="s">
        <v>17</v>
      </c>
      <c r="L1299" t="s">
        <v>25</v>
      </c>
      <c r="M1299" t="s">
        <v>30</v>
      </c>
      <c r="Q1299" s="1"/>
    </row>
    <row r="1300" spans="1:17" x14ac:dyDescent="0.3">
      <c r="A1300">
        <v>26</v>
      </c>
      <c r="B1300">
        <v>9</v>
      </c>
      <c r="C1300" s="11">
        <v>46116</v>
      </c>
      <c r="D1300" t="s">
        <v>13</v>
      </c>
      <c r="E1300">
        <v>7500</v>
      </c>
      <c r="F1300" s="11">
        <v>46146</v>
      </c>
      <c r="G1300" t="s">
        <v>75</v>
      </c>
      <c r="H1300" t="s">
        <v>28</v>
      </c>
      <c r="I1300">
        <v>600</v>
      </c>
      <c r="J1300" t="s">
        <v>16</v>
      </c>
      <c r="K1300" t="s">
        <v>33</v>
      </c>
      <c r="L1300" t="s">
        <v>18</v>
      </c>
      <c r="M1300" t="s">
        <v>15</v>
      </c>
      <c r="Q1300" s="1"/>
    </row>
    <row r="1301" spans="1:17" x14ac:dyDescent="0.3">
      <c r="A1301">
        <v>36</v>
      </c>
      <c r="B1301">
        <v>14</v>
      </c>
      <c r="C1301" s="11">
        <v>46269</v>
      </c>
      <c r="D1301" t="s">
        <v>13</v>
      </c>
      <c r="E1301">
        <v>6500</v>
      </c>
      <c r="F1301" s="11">
        <v>46238</v>
      </c>
      <c r="G1301" t="s">
        <v>69</v>
      </c>
      <c r="H1301" t="s">
        <v>19</v>
      </c>
      <c r="I1301">
        <v>700</v>
      </c>
      <c r="J1301" t="s">
        <v>23</v>
      </c>
      <c r="K1301" t="s">
        <v>17</v>
      </c>
      <c r="L1301" t="s">
        <v>25</v>
      </c>
      <c r="M1301" t="s">
        <v>40</v>
      </c>
      <c r="Q1301" s="1"/>
    </row>
    <row r="1302" spans="1:17" x14ac:dyDescent="0.3">
      <c r="A1302">
        <v>11</v>
      </c>
      <c r="B1302">
        <v>1</v>
      </c>
      <c r="C1302" s="11" t="s">
        <v>52</v>
      </c>
      <c r="D1302" t="s">
        <v>20</v>
      </c>
      <c r="E1302">
        <v>300</v>
      </c>
      <c r="F1302" s="11">
        <v>46267</v>
      </c>
      <c r="G1302" t="s">
        <v>53</v>
      </c>
      <c r="H1302" t="s">
        <v>54</v>
      </c>
      <c r="I1302">
        <v>200</v>
      </c>
      <c r="J1302" t="s">
        <v>16</v>
      </c>
      <c r="K1302" t="s">
        <v>29</v>
      </c>
      <c r="L1302" t="s">
        <v>34</v>
      </c>
      <c r="M1302" t="s">
        <v>46</v>
      </c>
      <c r="Q1302" s="1"/>
    </row>
    <row r="1303" spans="1:17" x14ac:dyDescent="0.3">
      <c r="A1303">
        <v>19</v>
      </c>
      <c r="B1303">
        <v>5</v>
      </c>
      <c r="C1303" s="11">
        <v>46026</v>
      </c>
      <c r="D1303" t="s">
        <v>20</v>
      </c>
      <c r="E1303">
        <v>6000</v>
      </c>
      <c r="F1303" s="11">
        <v>46057</v>
      </c>
      <c r="G1303" t="s">
        <v>48</v>
      </c>
      <c r="H1303" t="s">
        <v>61</v>
      </c>
      <c r="I1303">
        <v>700</v>
      </c>
      <c r="J1303" t="s">
        <v>16</v>
      </c>
      <c r="K1303" t="s">
        <v>24</v>
      </c>
      <c r="L1303" t="s">
        <v>18</v>
      </c>
      <c r="M1303" t="s">
        <v>28</v>
      </c>
      <c r="Q1303" s="1"/>
    </row>
    <row r="1304" spans="1:17" x14ac:dyDescent="0.3">
      <c r="A1304">
        <v>33</v>
      </c>
      <c r="B1304">
        <v>12</v>
      </c>
      <c r="C1304" s="11">
        <v>46207</v>
      </c>
      <c r="D1304" t="s">
        <v>13</v>
      </c>
      <c r="E1304">
        <v>8500</v>
      </c>
      <c r="F1304" s="11">
        <v>46177</v>
      </c>
      <c r="G1304" t="s">
        <v>95</v>
      </c>
      <c r="H1304" t="s">
        <v>15</v>
      </c>
      <c r="I1304">
        <v>800</v>
      </c>
      <c r="J1304" t="s">
        <v>16</v>
      </c>
      <c r="K1304" t="s">
        <v>33</v>
      </c>
      <c r="L1304" t="s">
        <v>25</v>
      </c>
      <c r="M1304" t="s">
        <v>19</v>
      </c>
      <c r="Q1304" s="1"/>
    </row>
    <row r="1305" spans="1:17" x14ac:dyDescent="0.3">
      <c r="A1305">
        <v>7</v>
      </c>
      <c r="B1305">
        <v>1</v>
      </c>
      <c r="C1305" s="11">
        <v>46084</v>
      </c>
      <c r="D1305" t="s">
        <v>20</v>
      </c>
      <c r="E1305">
        <v>250</v>
      </c>
      <c r="F1305" s="11">
        <v>46025</v>
      </c>
      <c r="G1305" t="s">
        <v>31</v>
      </c>
      <c r="H1305" t="s">
        <v>45</v>
      </c>
      <c r="I1305">
        <v>100</v>
      </c>
      <c r="J1305" t="s">
        <v>16</v>
      </c>
      <c r="K1305" t="s">
        <v>33</v>
      </c>
      <c r="L1305" t="s">
        <v>34</v>
      </c>
      <c r="M1305" t="s">
        <v>32</v>
      </c>
      <c r="Q1305" s="1"/>
    </row>
    <row r="1306" spans="1:17" x14ac:dyDescent="0.3">
      <c r="A1306">
        <v>22</v>
      </c>
      <c r="B1306">
        <v>8</v>
      </c>
      <c r="C1306" s="11">
        <v>46146</v>
      </c>
      <c r="D1306" t="s">
        <v>13</v>
      </c>
      <c r="E1306">
        <v>7000</v>
      </c>
      <c r="F1306" s="11">
        <v>46116</v>
      </c>
      <c r="G1306" t="s">
        <v>97</v>
      </c>
      <c r="H1306" t="s">
        <v>30</v>
      </c>
      <c r="I1306">
        <v>800</v>
      </c>
      <c r="J1306" t="s">
        <v>16</v>
      </c>
      <c r="K1306" t="s">
        <v>17</v>
      </c>
      <c r="L1306" t="s">
        <v>18</v>
      </c>
      <c r="M1306" t="s">
        <v>49</v>
      </c>
      <c r="Q1306" s="1"/>
    </row>
    <row r="1307" spans="1:17" x14ac:dyDescent="0.3">
      <c r="A1307">
        <v>12</v>
      </c>
      <c r="B1307">
        <v>0</v>
      </c>
      <c r="C1307" s="11">
        <v>46056</v>
      </c>
      <c r="D1307" t="s">
        <v>20</v>
      </c>
      <c r="E1307">
        <v>400</v>
      </c>
      <c r="F1307" s="11" t="s">
        <v>52</v>
      </c>
      <c r="G1307" t="s">
        <v>120</v>
      </c>
      <c r="H1307" t="s">
        <v>58</v>
      </c>
      <c r="I1307">
        <v>200</v>
      </c>
      <c r="J1307" t="s">
        <v>16</v>
      </c>
      <c r="K1307" t="s">
        <v>24</v>
      </c>
      <c r="L1307" t="s">
        <v>34</v>
      </c>
      <c r="M1307" t="s">
        <v>46</v>
      </c>
      <c r="Q1307" s="1"/>
    </row>
    <row r="1308" spans="1:17" x14ac:dyDescent="0.3">
      <c r="A1308">
        <v>29</v>
      </c>
      <c r="B1308">
        <v>10</v>
      </c>
      <c r="C1308" s="11">
        <v>46146</v>
      </c>
      <c r="D1308" t="s">
        <v>20</v>
      </c>
      <c r="E1308">
        <v>8000</v>
      </c>
      <c r="F1308" s="11">
        <v>46207</v>
      </c>
      <c r="G1308" t="s">
        <v>72</v>
      </c>
      <c r="H1308" t="s">
        <v>15</v>
      </c>
      <c r="I1308">
        <v>900</v>
      </c>
      <c r="J1308" t="s">
        <v>16</v>
      </c>
      <c r="K1308" t="s">
        <v>17</v>
      </c>
      <c r="L1308" t="s">
        <v>25</v>
      </c>
      <c r="M1308" t="s">
        <v>19</v>
      </c>
      <c r="Q1308" s="1"/>
    </row>
    <row r="1309" spans="1:17" x14ac:dyDescent="0.3">
      <c r="A1309">
        <v>39</v>
      </c>
      <c r="B1309">
        <v>16</v>
      </c>
      <c r="C1309" s="11">
        <v>46269</v>
      </c>
      <c r="D1309" t="s">
        <v>13</v>
      </c>
      <c r="E1309">
        <v>5500</v>
      </c>
      <c r="F1309" s="11">
        <v>46238</v>
      </c>
      <c r="G1309" t="s">
        <v>21</v>
      </c>
      <c r="H1309" t="s">
        <v>19</v>
      </c>
      <c r="I1309">
        <v>700</v>
      </c>
      <c r="J1309" t="s">
        <v>23</v>
      </c>
      <c r="K1309" t="s">
        <v>33</v>
      </c>
      <c r="L1309" t="s">
        <v>18</v>
      </c>
      <c r="M1309" t="s">
        <v>40</v>
      </c>
      <c r="Q1309" s="1"/>
    </row>
    <row r="1310" spans="1:17" x14ac:dyDescent="0.3">
      <c r="A1310">
        <v>10</v>
      </c>
      <c r="B1310">
        <v>3</v>
      </c>
      <c r="C1310" s="11">
        <v>46145</v>
      </c>
      <c r="D1310" t="s">
        <v>13</v>
      </c>
      <c r="E1310">
        <v>350</v>
      </c>
      <c r="F1310" s="11">
        <v>46115</v>
      </c>
      <c r="G1310" t="s">
        <v>66</v>
      </c>
      <c r="H1310" t="s">
        <v>67</v>
      </c>
      <c r="I1310">
        <v>300</v>
      </c>
      <c r="J1310" t="s">
        <v>16</v>
      </c>
      <c r="K1310" t="s">
        <v>29</v>
      </c>
      <c r="L1310" t="s">
        <v>18</v>
      </c>
      <c r="M1310" t="s">
        <v>43</v>
      </c>
      <c r="Q1310" s="1"/>
    </row>
    <row r="1311" spans="1:17" x14ac:dyDescent="0.3">
      <c r="A1311">
        <v>20</v>
      </c>
      <c r="B1311">
        <v>6</v>
      </c>
      <c r="C1311" s="11" t="s">
        <v>64</v>
      </c>
      <c r="D1311" t="s">
        <v>20</v>
      </c>
      <c r="E1311">
        <v>5000</v>
      </c>
      <c r="F1311" s="11">
        <v>46026</v>
      </c>
      <c r="G1311" t="s">
        <v>48</v>
      </c>
      <c r="H1311" t="s">
        <v>63</v>
      </c>
      <c r="I1311">
        <v>600</v>
      </c>
      <c r="J1311" t="s">
        <v>16</v>
      </c>
      <c r="K1311" t="s">
        <v>24</v>
      </c>
      <c r="L1311" t="s">
        <v>18</v>
      </c>
      <c r="M1311" t="s">
        <v>30</v>
      </c>
      <c r="Q1311" s="1"/>
    </row>
    <row r="1312" spans="1:17" x14ac:dyDescent="0.3">
      <c r="A1312">
        <v>34</v>
      </c>
      <c r="B1312">
        <v>13</v>
      </c>
      <c r="C1312" s="11">
        <v>46238</v>
      </c>
      <c r="D1312" t="s">
        <v>13</v>
      </c>
      <c r="E1312">
        <v>8000</v>
      </c>
      <c r="F1312" s="11">
        <v>46269</v>
      </c>
      <c r="G1312" t="s">
        <v>95</v>
      </c>
      <c r="H1312" t="s">
        <v>19</v>
      </c>
      <c r="I1312">
        <v>800</v>
      </c>
      <c r="J1312" t="s">
        <v>16</v>
      </c>
      <c r="K1312" t="s">
        <v>33</v>
      </c>
      <c r="L1312" t="s">
        <v>25</v>
      </c>
      <c r="M1312" t="s">
        <v>40</v>
      </c>
      <c r="Q1312" s="1"/>
    </row>
    <row r="1313" spans="1:17" x14ac:dyDescent="0.3">
      <c r="A1313">
        <v>8</v>
      </c>
      <c r="B1313">
        <v>1</v>
      </c>
      <c r="C1313" s="11">
        <v>46025</v>
      </c>
      <c r="D1313" t="s">
        <v>20</v>
      </c>
      <c r="E1313">
        <v>300</v>
      </c>
      <c r="F1313" s="11" t="s">
        <v>52</v>
      </c>
      <c r="G1313" t="s">
        <v>31</v>
      </c>
      <c r="H1313" t="s">
        <v>22</v>
      </c>
      <c r="I1313">
        <v>200</v>
      </c>
      <c r="J1313" t="s">
        <v>16</v>
      </c>
      <c r="K1313" t="s">
        <v>29</v>
      </c>
      <c r="L1313" t="s">
        <v>34</v>
      </c>
      <c r="M1313" t="s">
        <v>46</v>
      </c>
      <c r="Q1313" s="1"/>
    </row>
    <row r="1314" spans="1:17" x14ac:dyDescent="0.3">
      <c r="A1314">
        <v>17</v>
      </c>
      <c r="B1314">
        <v>7</v>
      </c>
      <c r="C1314" s="11">
        <v>46116</v>
      </c>
      <c r="D1314" t="s">
        <v>13</v>
      </c>
      <c r="E1314">
        <v>7000</v>
      </c>
      <c r="F1314" s="11">
        <v>46177</v>
      </c>
      <c r="G1314" t="s">
        <v>60</v>
      </c>
      <c r="H1314" t="s">
        <v>30</v>
      </c>
      <c r="I1314">
        <v>800</v>
      </c>
      <c r="J1314" t="s">
        <v>16</v>
      </c>
      <c r="K1314" t="s">
        <v>17</v>
      </c>
      <c r="L1314" t="s">
        <v>18</v>
      </c>
      <c r="M1314" t="s">
        <v>49</v>
      </c>
      <c r="Q1314" s="1"/>
    </row>
    <row r="1315" spans="1:17" x14ac:dyDescent="0.3">
      <c r="A1315">
        <v>13</v>
      </c>
      <c r="B1315">
        <v>0</v>
      </c>
      <c r="C1315" s="11" t="s">
        <v>52</v>
      </c>
      <c r="D1315" t="s">
        <v>20</v>
      </c>
      <c r="E1315">
        <v>450</v>
      </c>
      <c r="F1315" s="11">
        <v>46236</v>
      </c>
      <c r="G1315" t="s">
        <v>120</v>
      </c>
      <c r="H1315" t="s">
        <v>45</v>
      </c>
      <c r="I1315">
        <v>200</v>
      </c>
      <c r="J1315" t="s">
        <v>16</v>
      </c>
      <c r="K1315" t="s">
        <v>24</v>
      </c>
      <c r="L1315" t="s">
        <v>34</v>
      </c>
      <c r="M1315" t="s">
        <v>46</v>
      </c>
      <c r="Q1315" s="1"/>
    </row>
    <row r="1316" spans="1:17" x14ac:dyDescent="0.3">
      <c r="A1316">
        <v>23</v>
      </c>
      <c r="B1316">
        <v>8</v>
      </c>
      <c r="C1316" s="11">
        <v>46177</v>
      </c>
      <c r="D1316" t="s">
        <v>13</v>
      </c>
      <c r="E1316">
        <v>7000</v>
      </c>
      <c r="F1316" s="11">
        <v>46146</v>
      </c>
      <c r="G1316" t="s">
        <v>72</v>
      </c>
      <c r="H1316" t="s">
        <v>30</v>
      </c>
      <c r="I1316">
        <v>800</v>
      </c>
      <c r="J1316" t="s">
        <v>16</v>
      </c>
      <c r="K1316" t="s">
        <v>33</v>
      </c>
      <c r="L1316" t="s">
        <v>25</v>
      </c>
      <c r="M1316" t="s">
        <v>49</v>
      </c>
      <c r="Q1316" s="1"/>
    </row>
    <row r="1317" spans="1:17" x14ac:dyDescent="0.3">
      <c r="A1317">
        <v>9</v>
      </c>
      <c r="B1317">
        <v>2</v>
      </c>
      <c r="C1317" s="11">
        <v>46056</v>
      </c>
      <c r="D1317" t="s">
        <v>20</v>
      </c>
      <c r="E1317">
        <v>350</v>
      </c>
      <c r="F1317" s="11">
        <v>46025</v>
      </c>
      <c r="G1317" t="s">
        <v>120</v>
      </c>
      <c r="H1317" t="s">
        <v>58</v>
      </c>
      <c r="I1317">
        <v>200</v>
      </c>
      <c r="J1317" t="s">
        <v>16</v>
      </c>
      <c r="K1317" t="s">
        <v>29</v>
      </c>
      <c r="L1317" t="s">
        <v>34</v>
      </c>
      <c r="M1317" t="s">
        <v>46</v>
      </c>
      <c r="Q1317" s="1"/>
    </row>
    <row r="1318" spans="1:17" x14ac:dyDescent="0.3">
      <c r="A1318">
        <v>32</v>
      </c>
      <c r="B1318">
        <v>14</v>
      </c>
      <c r="C1318" s="11">
        <v>46238</v>
      </c>
      <c r="D1318" t="s">
        <v>13</v>
      </c>
      <c r="E1318">
        <v>8500</v>
      </c>
      <c r="F1318" s="11">
        <v>46269</v>
      </c>
      <c r="G1318" t="s">
        <v>95</v>
      </c>
      <c r="H1318" t="s">
        <v>19</v>
      </c>
      <c r="I1318">
        <v>800</v>
      </c>
      <c r="J1318" t="s">
        <v>16</v>
      </c>
      <c r="K1318" t="s">
        <v>33</v>
      </c>
      <c r="L1318" t="s">
        <v>25</v>
      </c>
      <c r="M1318" t="s">
        <v>40</v>
      </c>
      <c r="Q1318" s="1"/>
    </row>
    <row r="1319" spans="1:17" x14ac:dyDescent="0.3">
      <c r="A1319">
        <v>10</v>
      </c>
      <c r="B1319">
        <v>1</v>
      </c>
      <c r="C1319" s="11">
        <v>46145</v>
      </c>
      <c r="D1319" t="s">
        <v>13</v>
      </c>
      <c r="E1319">
        <v>400</v>
      </c>
      <c r="F1319" s="11">
        <v>46115</v>
      </c>
      <c r="G1319" t="s">
        <v>66</v>
      </c>
      <c r="H1319" t="s">
        <v>67</v>
      </c>
      <c r="I1319">
        <v>300</v>
      </c>
      <c r="J1319" t="s">
        <v>16</v>
      </c>
      <c r="K1319" t="s">
        <v>29</v>
      </c>
      <c r="L1319" t="s">
        <v>18</v>
      </c>
      <c r="M1319" t="s">
        <v>43</v>
      </c>
      <c r="Q1319" s="1"/>
    </row>
    <row r="1320" spans="1:17" x14ac:dyDescent="0.3">
      <c r="A1320">
        <v>21</v>
      </c>
      <c r="B1320">
        <v>7</v>
      </c>
      <c r="C1320" s="11">
        <v>46057</v>
      </c>
      <c r="D1320" t="s">
        <v>20</v>
      </c>
      <c r="E1320">
        <v>5000</v>
      </c>
      <c r="F1320" s="11">
        <v>46085</v>
      </c>
      <c r="G1320" t="s">
        <v>55</v>
      </c>
      <c r="H1320" t="s">
        <v>61</v>
      </c>
      <c r="I1320">
        <v>600</v>
      </c>
      <c r="J1320" t="s">
        <v>16</v>
      </c>
      <c r="K1320" t="s">
        <v>24</v>
      </c>
      <c r="L1320" t="s">
        <v>18</v>
      </c>
      <c r="M1320" t="s">
        <v>28</v>
      </c>
      <c r="Q1320" s="1"/>
    </row>
    <row r="1321" spans="1:17" x14ac:dyDescent="0.3">
      <c r="A1321">
        <v>35</v>
      </c>
      <c r="B1321">
        <v>12</v>
      </c>
      <c r="C1321" s="11">
        <v>46177</v>
      </c>
      <c r="D1321" t="s">
        <v>13</v>
      </c>
      <c r="E1321">
        <v>9000</v>
      </c>
      <c r="F1321" s="11">
        <v>46207</v>
      </c>
      <c r="G1321" t="s">
        <v>97</v>
      </c>
      <c r="H1321" t="s">
        <v>15</v>
      </c>
      <c r="I1321">
        <v>900</v>
      </c>
      <c r="J1321" t="s">
        <v>16</v>
      </c>
      <c r="K1321" t="s">
        <v>17</v>
      </c>
      <c r="L1321" t="s">
        <v>18</v>
      </c>
      <c r="M1321" t="s">
        <v>19</v>
      </c>
      <c r="Q1321" s="1"/>
    </row>
    <row r="1322" spans="1:17" x14ac:dyDescent="0.3">
      <c r="A1322">
        <v>42</v>
      </c>
      <c r="B1322">
        <v>18</v>
      </c>
      <c r="C1322" s="11">
        <v>46269</v>
      </c>
      <c r="D1322" t="s">
        <v>20</v>
      </c>
      <c r="E1322">
        <v>5500</v>
      </c>
      <c r="F1322" s="11">
        <v>46238</v>
      </c>
      <c r="G1322" t="s">
        <v>14</v>
      </c>
      <c r="H1322" t="s">
        <v>19</v>
      </c>
      <c r="I1322">
        <v>700</v>
      </c>
      <c r="J1322" t="s">
        <v>23</v>
      </c>
      <c r="K1322" t="s">
        <v>33</v>
      </c>
      <c r="L1322" t="s">
        <v>18</v>
      </c>
      <c r="M1322" t="s">
        <v>40</v>
      </c>
      <c r="Q1322" s="1"/>
    </row>
    <row r="1323" spans="1:17" x14ac:dyDescent="0.3">
      <c r="A1323">
        <v>11</v>
      </c>
      <c r="B1323">
        <v>2</v>
      </c>
      <c r="C1323" s="11">
        <v>46025</v>
      </c>
      <c r="D1323" t="s">
        <v>13</v>
      </c>
      <c r="E1323">
        <v>400</v>
      </c>
      <c r="F1323" s="11" t="s">
        <v>52</v>
      </c>
      <c r="G1323" t="s">
        <v>120</v>
      </c>
      <c r="H1323" t="s">
        <v>45</v>
      </c>
      <c r="I1323">
        <v>200</v>
      </c>
      <c r="J1323" t="s">
        <v>16</v>
      </c>
      <c r="K1323" t="s">
        <v>29</v>
      </c>
      <c r="L1323" t="s">
        <v>34</v>
      </c>
      <c r="M1323" t="s">
        <v>46</v>
      </c>
      <c r="Q1323" s="1"/>
    </row>
    <row r="1324" spans="1:17" x14ac:dyDescent="0.3">
      <c r="A1324">
        <v>18</v>
      </c>
      <c r="B1324">
        <v>6</v>
      </c>
      <c r="C1324" s="11" t="s">
        <v>64</v>
      </c>
      <c r="D1324" t="s">
        <v>20</v>
      </c>
      <c r="E1324">
        <v>5500</v>
      </c>
      <c r="F1324" s="11">
        <v>46026</v>
      </c>
      <c r="G1324" t="s">
        <v>55</v>
      </c>
      <c r="H1324" t="s">
        <v>63</v>
      </c>
      <c r="I1324">
        <v>600</v>
      </c>
      <c r="J1324" t="s">
        <v>16</v>
      </c>
      <c r="K1324" t="s">
        <v>24</v>
      </c>
      <c r="L1324" t="s">
        <v>18</v>
      </c>
      <c r="M1324" t="s">
        <v>30</v>
      </c>
      <c r="Q1324" s="1"/>
    </row>
    <row r="1325" spans="1:17" x14ac:dyDescent="0.3">
      <c r="A1325">
        <v>24</v>
      </c>
      <c r="B1325">
        <v>9</v>
      </c>
      <c r="C1325" s="11">
        <v>46146</v>
      </c>
      <c r="D1325" t="s">
        <v>13</v>
      </c>
      <c r="E1325">
        <v>7500</v>
      </c>
      <c r="F1325" s="11">
        <v>46116</v>
      </c>
      <c r="G1325" t="s">
        <v>75</v>
      </c>
      <c r="H1325" t="s">
        <v>28</v>
      </c>
      <c r="I1325">
        <v>700</v>
      </c>
      <c r="J1325" t="s">
        <v>16</v>
      </c>
      <c r="K1325" t="s">
        <v>33</v>
      </c>
      <c r="L1325" t="s">
        <v>18</v>
      </c>
      <c r="M1325" t="s">
        <v>15</v>
      </c>
      <c r="Q1325" s="1"/>
    </row>
    <row r="1326" spans="1:17" x14ac:dyDescent="0.3">
      <c r="A1326">
        <v>37</v>
      </c>
      <c r="B1326">
        <v>15</v>
      </c>
      <c r="C1326" s="11">
        <v>46269</v>
      </c>
      <c r="D1326" t="s">
        <v>13</v>
      </c>
      <c r="E1326">
        <v>6500</v>
      </c>
      <c r="F1326" s="11">
        <v>46238</v>
      </c>
      <c r="G1326" t="s">
        <v>21</v>
      </c>
      <c r="H1326" t="s">
        <v>19</v>
      </c>
      <c r="I1326">
        <v>800</v>
      </c>
      <c r="J1326" t="s">
        <v>16</v>
      </c>
      <c r="K1326" t="s">
        <v>17</v>
      </c>
      <c r="L1326" t="s">
        <v>18</v>
      </c>
      <c r="M1326" t="s">
        <v>40</v>
      </c>
      <c r="Q1326" s="1"/>
    </row>
    <row r="1327" spans="1:17" x14ac:dyDescent="0.3">
      <c r="A1327">
        <v>12</v>
      </c>
      <c r="B1327">
        <v>1</v>
      </c>
      <c r="C1327" s="11" t="s">
        <v>52</v>
      </c>
      <c r="D1327" t="s">
        <v>20</v>
      </c>
      <c r="E1327">
        <v>350</v>
      </c>
      <c r="F1327" s="11">
        <v>46267</v>
      </c>
      <c r="G1327" t="s">
        <v>120</v>
      </c>
      <c r="H1327" t="s">
        <v>22</v>
      </c>
      <c r="I1327">
        <v>200</v>
      </c>
      <c r="J1327" t="s">
        <v>16</v>
      </c>
      <c r="K1327" t="s">
        <v>29</v>
      </c>
      <c r="L1327" t="s">
        <v>34</v>
      </c>
      <c r="M1327" t="s">
        <v>46</v>
      </c>
      <c r="Q1327" s="1"/>
    </row>
    <row r="1328" spans="1:17" x14ac:dyDescent="0.3">
      <c r="A1328">
        <v>22</v>
      </c>
      <c r="B1328">
        <v>8</v>
      </c>
      <c r="C1328" s="11">
        <v>46085</v>
      </c>
      <c r="D1328" t="s">
        <v>20</v>
      </c>
      <c r="E1328">
        <v>6000</v>
      </c>
      <c r="F1328" s="11">
        <v>46116</v>
      </c>
      <c r="G1328" t="s">
        <v>55</v>
      </c>
      <c r="H1328" t="s">
        <v>30</v>
      </c>
      <c r="I1328">
        <v>600</v>
      </c>
      <c r="J1328" t="s">
        <v>16</v>
      </c>
      <c r="K1328" t="s">
        <v>24</v>
      </c>
      <c r="L1328" t="s">
        <v>18</v>
      </c>
      <c r="M1328" t="s">
        <v>15</v>
      </c>
      <c r="Q1328" s="1"/>
    </row>
    <row r="1329" spans="1:17" x14ac:dyDescent="0.3">
      <c r="A1329">
        <v>36</v>
      </c>
      <c r="B1329">
        <v>13</v>
      </c>
      <c r="C1329" s="11">
        <v>46207</v>
      </c>
      <c r="D1329" t="s">
        <v>13</v>
      </c>
      <c r="E1329">
        <v>8500</v>
      </c>
      <c r="F1329" s="11">
        <v>46177</v>
      </c>
      <c r="G1329" t="s">
        <v>95</v>
      </c>
      <c r="H1329" t="s">
        <v>15</v>
      </c>
      <c r="I1329">
        <v>800</v>
      </c>
      <c r="J1329" t="s">
        <v>16</v>
      </c>
      <c r="K1329" t="s">
        <v>33</v>
      </c>
      <c r="L1329" t="s">
        <v>25</v>
      </c>
      <c r="M1329" t="s">
        <v>19</v>
      </c>
      <c r="Q1329" s="1"/>
    </row>
    <row r="1330" spans="1:17" x14ac:dyDescent="0.3">
      <c r="A1330">
        <v>8</v>
      </c>
      <c r="B1330">
        <v>2</v>
      </c>
      <c r="C1330" s="11" t="s">
        <v>52</v>
      </c>
      <c r="D1330" t="s">
        <v>13</v>
      </c>
      <c r="E1330">
        <v>300</v>
      </c>
      <c r="F1330" s="11">
        <v>46236</v>
      </c>
      <c r="G1330" t="s">
        <v>27</v>
      </c>
      <c r="H1330" t="s">
        <v>54</v>
      </c>
      <c r="I1330">
        <v>100</v>
      </c>
      <c r="J1330" t="s">
        <v>16</v>
      </c>
      <c r="K1330" t="s">
        <v>29</v>
      </c>
      <c r="L1330" t="s">
        <v>34</v>
      </c>
      <c r="M1330" t="s">
        <v>46</v>
      </c>
      <c r="Q1330" s="1"/>
    </row>
    <row r="1331" spans="1:17" x14ac:dyDescent="0.3">
      <c r="A1331">
        <v>15</v>
      </c>
      <c r="B1331">
        <v>5</v>
      </c>
      <c r="C1331" s="11">
        <v>46237</v>
      </c>
      <c r="D1331" t="s">
        <v>20</v>
      </c>
      <c r="E1331">
        <v>5000</v>
      </c>
      <c r="F1331" s="11">
        <v>46268</v>
      </c>
      <c r="G1331" t="s">
        <v>55</v>
      </c>
      <c r="H1331" t="s">
        <v>43</v>
      </c>
      <c r="I1331">
        <v>500</v>
      </c>
      <c r="J1331" t="s">
        <v>16</v>
      </c>
      <c r="K1331" t="s">
        <v>17</v>
      </c>
      <c r="L1331" t="s">
        <v>18</v>
      </c>
      <c r="M1331" t="s">
        <v>30</v>
      </c>
      <c r="Q1331" s="1"/>
    </row>
    <row r="1332" spans="1:17" x14ac:dyDescent="0.3">
      <c r="A1332">
        <v>29</v>
      </c>
      <c r="B1332">
        <v>11</v>
      </c>
      <c r="C1332" s="11">
        <v>46146</v>
      </c>
      <c r="D1332" t="s">
        <v>13</v>
      </c>
      <c r="E1332">
        <v>8000</v>
      </c>
      <c r="F1332" s="11">
        <v>46177</v>
      </c>
      <c r="G1332" t="s">
        <v>97</v>
      </c>
      <c r="H1332" t="s">
        <v>15</v>
      </c>
      <c r="I1332">
        <v>900</v>
      </c>
      <c r="J1332" t="s">
        <v>16</v>
      </c>
      <c r="K1332" t="s">
        <v>33</v>
      </c>
      <c r="L1332" t="s">
        <v>18</v>
      </c>
      <c r="M1332" t="s">
        <v>19</v>
      </c>
      <c r="Q1332" s="1"/>
    </row>
    <row r="1333" spans="1:17" x14ac:dyDescent="0.3">
      <c r="A1333">
        <v>41</v>
      </c>
      <c r="B1333">
        <v>17</v>
      </c>
      <c r="C1333" s="11">
        <v>46269</v>
      </c>
      <c r="D1333" t="s">
        <v>20</v>
      </c>
      <c r="E1333">
        <v>5500</v>
      </c>
      <c r="F1333" s="11">
        <v>46238</v>
      </c>
      <c r="G1333" t="s">
        <v>14</v>
      </c>
      <c r="H1333" t="s">
        <v>19</v>
      </c>
      <c r="I1333">
        <v>700</v>
      </c>
      <c r="J1333" t="s">
        <v>23</v>
      </c>
      <c r="K1333" t="s">
        <v>33</v>
      </c>
      <c r="L1333" t="s">
        <v>18</v>
      </c>
      <c r="M1333" t="s">
        <v>40</v>
      </c>
      <c r="Q1333" s="1"/>
    </row>
    <row r="1334" spans="1:17" x14ac:dyDescent="0.3">
      <c r="A1334">
        <v>10</v>
      </c>
      <c r="B1334">
        <v>2</v>
      </c>
      <c r="C1334" s="11">
        <v>46084</v>
      </c>
      <c r="D1334" t="s">
        <v>13</v>
      </c>
      <c r="E1334">
        <v>400</v>
      </c>
      <c r="F1334" s="11">
        <v>46056</v>
      </c>
      <c r="G1334" t="s">
        <v>66</v>
      </c>
      <c r="H1334" t="s">
        <v>58</v>
      </c>
      <c r="I1334">
        <v>300</v>
      </c>
      <c r="J1334" t="s">
        <v>16</v>
      </c>
      <c r="K1334" t="s">
        <v>29</v>
      </c>
      <c r="L1334" t="s">
        <v>18</v>
      </c>
      <c r="M1334" t="s">
        <v>43</v>
      </c>
      <c r="Q1334" s="1"/>
    </row>
    <row r="1335" spans="1:17" x14ac:dyDescent="0.3">
      <c r="A1335">
        <v>19</v>
      </c>
      <c r="B1335">
        <v>7</v>
      </c>
      <c r="C1335" s="11">
        <v>46026</v>
      </c>
      <c r="D1335" t="s">
        <v>20</v>
      </c>
      <c r="E1335">
        <v>5500</v>
      </c>
      <c r="F1335" s="11">
        <v>46057</v>
      </c>
      <c r="G1335" t="s">
        <v>55</v>
      </c>
      <c r="H1335" t="s">
        <v>63</v>
      </c>
      <c r="I1335">
        <v>600</v>
      </c>
      <c r="J1335" t="s">
        <v>16</v>
      </c>
      <c r="K1335" t="s">
        <v>24</v>
      </c>
      <c r="L1335" t="s">
        <v>18</v>
      </c>
      <c r="M1335" t="s">
        <v>28</v>
      </c>
      <c r="Q1335" s="1"/>
    </row>
    <row r="1336" spans="1:17" x14ac:dyDescent="0.3">
      <c r="A1336">
        <v>33</v>
      </c>
      <c r="B1336">
        <v>14</v>
      </c>
      <c r="C1336" s="11">
        <v>46207</v>
      </c>
      <c r="D1336" t="s">
        <v>13</v>
      </c>
      <c r="E1336">
        <v>8500</v>
      </c>
      <c r="F1336" s="11">
        <v>46177</v>
      </c>
      <c r="G1336" t="s">
        <v>95</v>
      </c>
      <c r="H1336" t="s">
        <v>15</v>
      </c>
      <c r="I1336">
        <v>800</v>
      </c>
      <c r="J1336" t="s">
        <v>16</v>
      </c>
      <c r="K1336" t="s">
        <v>33</v>
      </c>
      <c r="L1336" t="s">
        <v>25</v>
      </c>
      <c r="M1336" t="s">
        <v>19</v>
      </c>
      <c r="Q1336" s="1"/>
    </row>
    <row r="1337" spans="1:17" x14ac:dyDescent="0.3">
      <c r="A1337">
        <v>7</v>
      </c>
      <c r="B1337">
        <v>1</v>
      </c>
      <c r="C1337" s="11">
        <v>46056</v>
      </c>
      <c r="D1337" t="s">
        <v>20</v>
      </c>
      <c r="E1337">
        <v>300</v>
      </c>
      <c r="F1337" s="11">
        <v>46025</v>
      </c>
      <c r="G1337" t="s">
        <v>31</v>
      </c>
      <c r="H1337" t="s">
        <v>22</v>
      </c>
      <c r="I1337">
        <v>200</v>
      </c>
      <c r="J1337" t="s">
        <v>16</v>
      </c>
      <c r="K1337" t="s">
        <v>33</v>
      </c>
      <c r="L1337" t="s">
        <v>34</v>
      </c>
      <c r="M1337" t="s">
        <v>46</v>
      </c>
      <c r="Q1337" s="1"/>
    </row>
    <row r="1338" spans="1:17" x14ac:dyDescent="0.3">
      <c r="A1338">
        <v>16</v>
      </c>
      <c r="B1338">
        <v>6</v>
      </c>
      <c r="C1338" s="11">
        <v>46268</v>
      </c>
      <c r="D1338" t="s">
        <v>20</v>
      </c>
      <c r="E1338">
        <v>4500</v>
      </c>
      <c r="F1338" s="11" t="s">
        <v>64</v>
      </c>
      <c r="G1338" t="s">
        <v>55</v>
      </c>
      <c r="H1338" t="s">
        <v>26</v>
      </c>
      <c r="I1338">
        <v>500</v>
      </c>
      <c r="J1338" t="s">
        <v>16</v>
      </c>
      <c r="K1338" t="s">
        <v>17</v>
      </c>
      <c r="L1338" t="s">
        <v>18</v>
      </c>
      <c r="M1338" t="s">
        <v>30</v>
      </c>
      <c r="Q1338" s="1"/>
    </row>
    <row r="1339" spans="1:17" x14ac:dyDescent="0.3">
      <c r="A1339">
        <v>30</v>
      </c>
      <c r="B1339">
        <v>12</v>
      </c>
      <c r="C1339" s="11">
        <v>46177</v>
      </c>
      <c r="D1339" t="s">
        <v>13</v>
      </c>
      <c r="E1339">
        <v>9000</v>
      </c>
      <c r="F1339" s="11">
        <v>46207</v>
      </c>
      <c r="G1339" t="s">
        <v>97</v>
      </c>
      <c r="H1339" t="s">
        <v>15</v>
      </c>
      <c r="I1339">
        <v>900</v>
      </c>
      <c r="J1339" t="s">
        <v>16</v>
      </c>
      <c r="K1339" t="s">
        <v>33</v>
      </c>
      <c r="L1339" t="s">
        <v>18</v>
      </c>
      <c r="M1339" t="s">
        <v>19</v>
      </c>
      <c r="Q1339" s="1"/>
    </row>
    <row r="1340" spans="1:17" x14ac:dyDescent="0.3">
      <c r="A1340">
        <v>43</v>
      </c>
      <c r="B1340">
        <v>19</v>
      </c>
      <c r="C1340" s="11" t="s">
        <v>81</v>
      </c>
      <c r="D1340" t="s">
        <v>20</v>
      </c>
      <c r="E1340">
        <v>6000</v>
      </c>
      <c r="F1340" s="11">
        <v>46269</v>
      </c>
      <c r="G1340" t="s">
        <v>21</v>
      </c>
      <c r="H1340" t="s">
        <v>19</v>
      </c>
      <c r="I1340">
        <v>800</v>
      </c>
      <c r="J1340" t="s">
        <v>23</v>
      </c>
      <c r="K1340" t="s">
        <v>33</v>
      </c>
      <c r="L1340" t="s">
        <v>18</v>
      </c>
      <c r="M1340" t="s">
        <v>40</v>
      </c>
      <c r="Q1340" s="1"/>
    </row>
    <row r="1341" spans="1:17" x14ac:dyDescent="0.3">
      <c r="A1341">
        <v>11</v>
      </c>
      <c r="B1341">
        <v>3</v>
      </c>
      <c r="C1341" s="11">
        <v>46115</v>
      </c>
      <c r="D1341" t="s">
        <v>13</v>
      </c>
      <c r="E1341">
        <v>450</v>
      </c>
      <c r="F1341" s="11">
        <v>46084</v>
      </c>
      <c r="G1341" t="s">
        <v>66</v>
      </c>
      <c r="H1341" t="s">
        <v>67</v>
      </c>
      <c r="I1341">
        <v>400</v>
      </c>
      <c r="J1341" t="s">
        <v>16</v>
      </c>
      <c r="K1341" t="s">
        <v>29</v>
      </c>
      <c r="L1341" t="s">
        <v>18</v>
      </c>
      <c r="M1341" t="s">
        <v>61</v>
      </c>
      <c r="Q1341" s="1"/>
    </row>
    <row r="1342" spans="1:17" x14ac:dyDescent="0.3">
      <c r="A1342">
        <v>20</v>
      </c>
      <c r="B1342">
        <v>8</v>
      </c>
      <c r="C1342" s="11">
        <v>46057</v>
      </c>
      <c r="D1342" t="s">
        <v>20</v>
      </c>
      <c r="E1342">
        <v>5500</v>
      </c>
      <c r="F1342" s="11">
        <v>46085</v>
      </c>
      <c r="G1342" t="s">
        <v>55</v>
      </c>
      <c r="H1342" t="s">
        <v>28</v>
      </c>
      <c r="I1342">
        <v>600</v>
      </c>
      <c r="J1342" t="s">
        <v>16</v>
      </c>
      <c r="K1342" t="s">
        <v>24</v>
      </c>
      <c r="L1342" t="s">
        <v>18</v>
      </c>
      <c r="M1342" t="s">
        <v>15</v>
      </c>
      <c r="Q1342" s="1"/>
    </row>
    <row r="1343" spans="1:17" x14ac:dyDescent="0.3">
      <c r="A1343">
        <v>34</v>
      </c>
      <c r="B1343">
        <v>15</v>
      </c>
      <c r="C1343" s="11">
        <v>46238</v>
      </c>
      <c r="D1343" t="s">
        <v>13</v>
      </c>
      <c r="E1343">
        <v>8500</v>
      </c>
      <c r="F1343" s="11">
        <v>46207</v>
      </c>
      <c r="G1343" t="s">
        <v>95</v>
      </c>
      <c r="H1343" t="s">
        <v>15</v>
      </c>
      <c r="I1343">
        <v>800</v>
      </c>
      <c r="J1343" t="s">
        <v>16</v>
      </c>
      <c r="K1343" t="s">
        <v>33</v>
      </c>
      <c r="L1343" t="s">
        <v>25</v>
      </c>
      <c r="M1343" t="s">
        <v>19</v>
      </c>
      <c r="Q1343" s="1"/>
    </row>
    <row r="1344" spans="1:17" x14ac:dyDescent="0.3">
      <c r="A1344">
        <v>9</v>
      </c>
      <c r="B1344">
        <v>1</v>
      </c>
      <c r="C1344" s="11" t="s">
        <v>52</v>
      </c>
      <c r="D1344" t="s">
        <v>20</v>
      </c>
      <c r="E1344">
        <v>300</v>
      </c>
      <c r="F1344" s="11">
        <v>46267</v>
      </c>
      <c r="G1344" t="s">
        <v>120</v>
      </c>
      <c r="H1344" t="s">
        <v>45</v>
      </c>
      <c r="I1344">
        <v>200</v>
      </c>
      <c r="J1344" t="s">
        <v>16</v>
      </c>
      <c r="K1344" t="s">
        <v>29</v>
      </c>
      <c r="L1344" t="s">
        <v>34</v>
      </c>
      <c r="M1344" t="s">
        <v>46</v>
      </c>
      <c r="Q1344" s="1"/>
    </row>
    <row r="1345" spans="1:17" x14ac:dyDescent="0.3">
      <c r="A1345">
        <v>17</v>
      </c>
      <c r="B1345">
        <v>7</v>
      </c>
      <c r="C1345" s="11" t="s">
        <v>64</v>
      </c>
      <c r="D1345" t="s">
        <v>20</v>
      </c>
      <c r="E1345">
        <v>5000</v>
      </c>
      <c r="F1345" s="11">
        <v>46026</v>
      </c>
      <c r="G1345" t="s">
        <v>55</v>
      </c>
      <c r="H1345" t="s">
        <v>61</v>
      </c>
      <c r="I1345">
        <v>500</v>
      </c>
      <c r="J1345" t="s">
        <v>16</v>
      </c>
      <c r="K1345" t="s">
        <v>17</v>
      </c>
      <c r="L1345" t="s">
        <v>18</v>
      </c>
      <c r="M1345" t="s">
        <v>30</v>
      </c>
      <c r="Q1345" s="1"/>
    </row>
    <row r="1346" spans="1:17" x14ac:dyDescent="0.3">
      <c r="A1346">
        <v>31</v>
      </c>
      <c r="B1346">
        <v>13</v>
      </c>
      <c r="C1346" s="11">
        <v>46207</v>
      </c>
      <c r="D1346" t="s">
        <v>13</v>
      </c>
      <c r="E1346">
        <v>8000</v>
      </c>
      <c r="F1346" s="11">
        <v>46238</v>
      </c>
      <c r="G1346" t="s">
        <v>97</v>
      </c>
      <c r="H1346" t="s">
        <v>15</v>
      </c>
      <c r="I1346">
        <v>900</v>
      </c>
      <c r="J1346" t="s">
        <v>16</v>
      </c>
      <c r="K1346" t="s">
        <v>33</v>
      </c>
      <c r="L1346" t="s">
        <v>18</v>
      </c>
      <c r="M1346" t="s">
        <v>19</v>
      </c>
      <c r="Q1346" s="1"/>
    </row>
    <row r="1347" spans="1:17" x14ac:dyDescent="0.3">
      <c r="A1347">
        <v>44</v>
      </c>
      <c r="B1347">
        <v>20</v>
      </c>
      <c r="C1347" s="11" t="s">
        <v>81</v>
      </c>
      <c r="D1347" t="s">
        <v>20</v>
      </c>
      <c r="E1347">
        <v>5500</v>
      </c>
      <c r="F1347" s="11">
        <v>46269</v>
      </c>
      <c r="G1347" t="s">
        <v>14</v>
      </c>
      <c r="H1347" t="s">
        <v>19</v>
      </c>
      <c r="I1347">
        <v>700</v>
      </c>
      <c r="J1347" t="s">
        <v>23</v>
      </c>
      <c r="K1347" t="s">
        <v>33</v>
      </c>
      <c r="L1347" t="s">
        <v>18</v>
      </c>
      <c r="M1347" t="s">
        <v>40</v>
      </c>
      <c r="Q1347" s="1"/>
    </row>
    <row r="1348" spans="1:17" x14ac:dyDescent="0.3">
      <c r="A1348">
        <v>12</v>
      </c>
      <c r="B1348">
        <v>2</v>
      </c>
      <c r="C1348" s="11">
        <v>46025</v>
      </c>
      <c r="D1348" t="s">
        <v>13</v>
      </c>
      <c r="E1348">
        <v>450</v>
      </c>
      <c r="F1348" s="11" t="s">
        <v>52</v>
      </c>
      <c r="G1348" t="s">
        <v>66</v>
      </c>
      <c r="H1348" t="s">
        <v>58</v>
      </c>
      <c r="I1348">
        <v>300</v>
      </c>
      <c r="J1348" t="s">
        <v>16</v>
      </c>
      <c r="K1348" t="s">
        <v>29</v>
      </c>
      <c r="L1348" t="s">
        <v>18</v>
      </c>
      <c r="M1348" t="s">
        <v>43</v>
      </c>
      <c r="Q1348" s="1"/>
    </row>
    <row r="1349" spans="1:17" x14ac:dyDescent="0.3">
      <c r="A1349">
        <v>21</v>
      </c>
      <c r="B1349">
        <v>8</v>
      </c>
      <c r="C1349" s="11">
        <v>46085</v>
      </c>
      <c r="D1349" t="s">
        <v>20</v>
      </c>
      <c r="E1349">
        <v>5500</v>
      </c>
      <c r="F1349" s="11">
        <v>46116</v>
      </c>
      <c r="G1349" t="s">
        <v>55</v>
      </c>
      <c r="H1349" t="s">
        <v>30</v>
      </c>
      <c r="I1349">
        <v>600</v>
      </c>
      <c r="J1349" t="s">
        <v>16</v>
      </c>
      <c r="K1349" t="s">
        <v>24</v>
      </c>
      <c r="L1349" t="s">
        <v>18</v>
      </c>
      <c r="M1349" t="s">
        <v>15</v>
      </c>
      <c r="Q1349" s="1"/>
    </row>
    <row r="1350" spans="1:17" x14ac:dyDescent="0.3">
      <c r="A1350">
        <v>35</v>
      </c>
      <c r="B1350">
        <v>14</v>
      </c>
      <c r="C1350" s="11">
        <v>46207</v>
      </c>
      <c r="D1350" t="s">
        <v>13</v>
      </c>
      <c r="E1350">
        <v>8500</v>
      </c>
      <c r="F1350" s="11">
        <v>46177</v>
      </c>
      <c r="G1350" t="s">
        <v>95</v>
      </c>
      <c r="H1350" t="s">
        <v>15</v>
      </c>
      <c r="I1350">
        <v>800</v>
      </c>
      <c r="J1350" t="s">
        <v>16</v>
      </c>
      <c r="K1350" t="s">
        <v>33</v>
      </c>
      <c r="L1350" t="s">
        <v>25</v>
      </c>
      <c r="M1350" t="s">
        <v>19</v>
      </c>
      <c r="Q1350" s="1"/>
    </row>
    <row r="1351" spans="1:17" x14ac:dyDescent="0.3">
      <c r="A1351">
        <v>10</v>
      </c>
      <c r="B1351">
        <v>3</v>
      </c>
      <c r="C1351" s="11">
        <v>46056</v>
      </c>
      <c r="D1351" t="s">
        <v>20</v>
      </c>
      <c r="E1351">
        <v>400</v>
      </c>
      <c r="F1351" s="11">
        <v>46025</v>
      </c>
      <c r="G1351" t="s">
        <v>120</v>
      </c>
      <c r="H1351" t="s">
        <v>67</v>
      </c>
      <c r="I1351">
        <v>200</v>
      </c>
      <c r="J1351" t="s">
        <v>16</v>
      </c>
      <c r="K1351" t="s">
        <v>29</v>
      </c>
      <c r="L1351" t="s">
        <v>34</v>
      </c>
      <c r="M1351" t="s">
        <v>46</v>
      </c>
      <c r="Q1351" s="1"/>
    </row>
    <row r="1352" spans="1:17" x14ac:dyDescent="0.3">
      <c r="A1352">
        <v>18</v>
      </c>
      <c r="B1352">
        <v>7</v>
      </c>
      <c r="C1352" s="11">
        <v>46268</v>
      </c>
      <c r="D1352" t="s">
        <v>20</v>
      </c>
      <c r="E1352">
        <v>5000</v>
      </c>
      <c r="F1352" s="11" t="s">
        <v>64</v>
      </c>
      <c r="G1352" t="s">
        <v>55</v>
      </c>
      <c r="H1352" t="s">
        <v>43</v>
      </c>
      <c r="I1352">
        <v>500</v>
      </c>
      <c r="J1352" t="s">
        <v>16</v>
      </c>
      <c r="K1352" t="s">
        <v>17</v>
      </c>
      <c r="L1352" t="s">
        <v>18</v>
      </c>
      <c r="M1352" t="s">
        <v>30</v>
      </c>
      <c r="Q1352" s="1"/>
    </row>
    <row r="1353" spans="1:17" x14ac:dyDescent="0.3">
      <c r="A1353">
        <v>32</v>
      </c>
      <c r="B1353">
        <v>12</v>
      </c>
      <c r="C1353" s="11">
        <v>46177</v>
      </c>
      <c r="D1353" t="s">
        <v>13</v>
      </c>
      <c r="E1353">
        <v>8000</v>
      </c>
      <c r="F1353" s="11">
        <v>46207</v>
      </c>
      <c r="G1353" t="s">
        <v>97</v>
      </c>
      <c r="H1353" t="s">
        <v>15</v>
      </c>
      <c r="I1353">
        <v>900</v>
      </c>
      <c r="J1353" t="s">
        <v>16</v>
      </c>
      <c r="K1353" t="s">
        <v>33</v>
      </c>
      <c r="L1353" t="s">
        <v>18</v>
      </c>
      <c r="M1353" t="s">
        <v>19</v>
      </c>
      <c r="Q1353" s="1"/>
    </row>
    <row r="1354" spans="1:17" x14ac:dyDescent="0.3">
      <c r="A1354">
        <v>45</v>
      </c>
      <c r="B1354">
        <v>21</v>
      </c>
      <c r="C1354" s="11" t="s">
        <v>81</v>
      </c>
      <c r="D1354" t="s">
        <v>20</v>
      </c>
      <c r="E1354">
        <v>6000</v>
      </c>
      <c r="F1354" s="11">
        <v>46269</v>
      </c>
      <c r="G1354" t="s">
        <v>21</v>
      </c>
      <c r="H1354" t="s">
        <v>19</v>
      </c>
      <c r="I1354">
        <v>800</v>
      </c>
      <c r="J1354" t="s">
        <v>23</v>
      </c>
      <c r="K1354" t="s">
        <v>33</v>
      </c>
      <c r="L1354" t="s">
        <v>18</v>
      </c>
      <c r="M1354" t="s">
        <v>40</v>
      </c>
      <c r="Q1354" s="1"/>
    </row>
    <row r="1355" spans="1:17" x14ac:dyDescent="0.3">
      <c r="A1355">
        <v>11</v>
      </c>
      <c r="B1355">
        <v>4</v>
      </c>
      <c r="C1355" s="11">
        <v>46084</v>
      </c>
      <c r="D1355" t="s">
        <v>13</v>
      </c>
      <c r="E1355">
        <v>500</v>
      </c>
      <c r="F1355" s="11">
        <v>46056</v>
      </c>
      <c r="G1355" t="s">
        <v>66</v>
      </c>
      <c r="H1355">
        <v>0</v>
      </c>
      <c r="I1355">
        <v>400</v>
      </c>
      <c r="J1355" t="s">
        <v>16</v>
      </c>
      <c r="K1355" t="s">
        <v>29</v>
      </c>
      <c r="L1355" t="s">
        <v>18</v>
      </c>
      <c r="M1355" t="s">
        <v>61</v>
      </c>
      <c r="Q1355" s="1"/>
    </row>
    <row r="1356" spans="1:17" x14ac:dyDescent="0.3">
      <c r="A1356">
        <v>22</v>
      </c>
      <c r="B1356">
        <v>9</v>
      </c>
      <c r="C1356" s="11">
        <v>46116</v>
      </c>
      <c r="D1356" t="s">
        <v>20</v>
      </c>
      <c r="E1356">
        <v>5500</v>
      </c>
      <c r="F1356" s="11">
        <v>46146</v>
      </c>
      <c r="G1356" t="s">
        <v>55</v>
      </c>
      <c r="H1356" t="s">
        <v>28</v>
      </c>
      <c r="I1356">
        <v>600</v>
      </c>
      <c r="J1356" t="s">
        <v>16</v>
      </c>
      <c r="K1356" t="s">
        <v>24</v>
      </c>
      <c r="L1356" t="s">
        <v>18</v>
      </c>
      <c r="M1356" t="s">
        <v>15</v>
      </c>
      <c r="Q1356" s="1"/>
    </row>
    <row r="1357" spans="1:17" x14ac:dyDescent="0.3">
      <c r="A1357">
        <v>36</v>
      </c>
      <c r="B1357">
        <v>15</v>
      </c>
      <c r="C1357" s="11">
        <v>46238</v>
      </c>
      <c r="D1357" t="s">
        <v>13</v>
      </c>
      <c r="E1357">
        <v>8500</v>
      </c>
      <c r="F1357" s="11">
        <v>46207</v>
      </c>
      <c r="G1357" t="s">
        <v>95</v>
      </c>
      <c r="H1357" t="s">
        <v>15</v>
      </c>
      <c r="I1357">
        <v>800</v>
      </c>
      <c r="J1357" t="s">
        <v>16</v>
      </c>
      <c r="K1357" t="s">
        <v>33</v>
      </c>
      <c r="L1357" t="s">
        <v>25</v>
      </c>
      <c r="M1357" t="s">
        <v>19</v>
      </c>
      <c r="Q1357" s="1"/>
    </row>
    <row r="1358" spans="1:17" x14ac:dyDescent="0.3">
      <c r="A1358">
        <v>13</v>
      </c>
      <c r="B1358">
        <v>1</v>
      </c>
      <c r="C1358" s="11">
        <v>46025</v>
      </c>
      <c r="D1358" t="s">
        <v>20</v>
      </c>
      <c r="E1358">
        <v>450</v>
      </c>
      <c r="F1358" s="11" t="s">
        <v>52</v>
      </c>
      <c r="G1358" t="s">
        <v>120</v>
      </c>
      <c r="H1358" t="s">
        <v>58</v>
      </c>
      <c r="I1358">
        <v>300</v>
      </c>
      <c r="J1358" t="s">
        <v>16</v>
      </c>
      <c r="K1358" t="s">
        <v>29</v>
      </c>
      <c r="L1358" t="s">
        <v>34</v>
      </c>
      <c r="M1358" t="s">
        <v>46</v>
      </c>
      <c r="Q1358" s="1"/>
    </row>
    <row r="1359" spans="1:17" x14ac:dyDescent="0.3">
      <c r="A1359">
        <v>19</v>
      </c>
      <c r="B1359">
        <v>8</v>
      </c>
      <c r="C1359" s="11">
        <v>46057</v>
      </c>
      <c r="D1359" t="s">
        <v>20</v>
      </c>
      <c r="E1359">
        <v>5500</v>
      </c>
      <c r="F1359" s="11">
        <v>46085</v>
      </c>
      <c r="G1359" t="s">
        <v>55</v>
      </c>
      <c r="H1359" t="s">
        <v>63</v>
      </c>
      <c r="I1359">
        <v>600</v>
      </c>
      <c r="J1359" t="s">
        <v>16</v>
      </c>
      <c r="K1359" t="s">
        <v>24</v>
      </c>
      <c r="L1359" t="s">
        <v>18</v>
      </c>
      <c r="M1359" t="s">
        <v>30</v>
      </c>
      <c r="Q1359" s="1"/>
    </row>
    <row r="1360" spans="1:17" x14ac:dyDescent="0.3">
      <c r="A1360">
        <v>33</v>
      </c>
      <c r="B1360">
        <v>15</v>
      </c>
      <c r="C1360" s="11">
        <v>46207</v>
      </c>
      <c r="D1360" t="s">
        <v>13</v>
      </c>
      <c r="E1360">
        <v>8500</v>
      </c>
      <c r="F1360" s="11">
        <v>46177</v>
      </c>
      <c r="G1360" t="s">
        <v>95</v>
      </c>
      <c r="H1360" t="s">
        <v>15</v>
      </c>
      <c r="I1360">
        <v>800</v>
      </c>
      <c r="J1360" t="s">
        <v>16</v>
      </c>
      <c r="K1360" t="s">
        <v>33</v>
      </c>
      <c r="L1360" t="s">
        <v>25</v>
      </c>
      <c r="M1360" t="s">
        <v>19</v>
      </c>
      <c r="Q1360" s="1"/>
    </row>
    <row r="1361" spans="1:17" x14ac:dyDescent="0.3">
      <c r="A1361">
        <v>14</v>
      </c>
      <c r="B1361">
        <v>0</v>
      </c>
      <c r="C1361" s="11" t="s">
        <v>52</v>
      </c>
      <c r="D1361" t="s">
        <v>20</v>
      </c>
      <c r="E1361">
        <v>500</v>
      </c>
      <c r="F1361" s="11">
        <v>46236</v>
      </c>
      <c r="G1361" t="s">
        <v>120</v>
      </c>
      <c r="H1361" t="s">
        <v>45</v>
      </c>
      <c r="I1361">
        <v>200</v>
      </c>
      <c r="J1361" t="s">
        <v>16</v>
      </c>
      <c r="K1361" t="s">
        <v>24</v>
      </c>
      <c r="L1361" t="s">
        <v>34</v>
      </c>
      <c r="M1361" t="s">
        <v>46</v>
      </c>
      <c r="Q1361" s="1"/>
    </row>
    <row r="1362" spans="1:17" x14ac:dyDescent="0.3">
      <c r="A1362">
        <v>23</v>
      </c>
      <c r="B1362">
        <v>9</v>
      </c>
      <c r="C1362" s="11">
        <v>46146</v>
      </c>
      <c r="D1362" t="s">
        <v>13</v>
      </c>
      <c r="E1362">
        <v>7000</v>
      </c>
      <c r="F1362" s="11">
        <v>46177</v>
      </c>
      <c r="G1362" t="s">
        <v>72</v>
      </c>
      <c r="H1362" t="s">
        <v>30</v>
      </c>
      <c r="I1362">
        <v>800</v>
      </c>
      <c r="J1362" t="s">
        <v>16</v>
      </c>
      <c r="K1362" t="s">
        <v>33</v>
      </c>
      <c r="L1362" t="s">
        <v>25</v>
      </c>
      <c r="M1362" t="s">
        <v>19</v>
      </c>
      <c r="Q1362" s="1"/>
    </row>
    <row r="1363" spans="1:17" x14ac:dyDescent="0.3">
      <c r="A1363">
        <v>11</v>
      </c>
      <c r="B1363">
        <v>5</v>
      </c>
      <c r="C1363" s="11">
        <v>46115</v>
      </c>
      <c r="D1363" t="s">
        <v>13</v>
      </c>
      <c r="E1363">
        <v>550</v>
      </c>
      <c r="F1363" s="11">
        <v>46084</v>
      </c>
      <c r="G1363" t="s">
        <v>66</v>
      </c>
      <c r="H1363" t="s">
        <v>67</v>
      </c>
      <c r="I1363">
        <v>400</v>
      </c>
      <c r="J1363" t="s">
        <v>16</v>
      </c>
      <c r="K1363" t="s">
        <v>29</v>
      </c>
      <c r="L1363" t="s">
        <v>18</v>
      </c>
      <c r="M1363" t="s">
        <v>61</v>
      </c>
      <c r="Q1363" s="1"/>
    </row>
    <row r="1364" spans="1:17" x14ac:dyDescent="0.3">
      <c r="A1364">
        <v>34</v>
      </c>
      <c r="B1364">
        <v>16</v>
      </c>
      <c r="C1364" s="11">
        <v>46238</v>
      </c>
      <c r="D1364" t="s">
        <v>13</v>
      </c>
      <c r="E1364">
        <v>8500</v>
      </c>
      <c r="F1364" s="11">
        <v>46207</v>
      </c>
      <c r="G1364" t="s">
        <v>95</v>
      </c>
      <c r="H1364" t="s">
        <v>15</v>
      </c>
      <c r="I1364">
        <v>800</v>
      </c>
      <c r="J1364" t="s">
        <v>16</v>
      </c>
      <c r="K1364" t="s">
        <v>33</v>
      </c>
      <c r="L1364" t="s">
        <v>25</v>
      </c>
      <c r="M1364" t="s">
        <v>19</v>
      </c>
      <c r="Q1364" s="1"/>
    </row>
    <row r="1365" spans="1:17" x14ac:dyDescent="0.3">
      <c r="A1365">
        <v>12</v>
      </c>
      <c r="B1365">
        <v>3</v>
      </c>
      <c r="C1365" s="11">
        <v>46056</v>
      </c>
      <c r="D1365" t="s">
        <v>20</v>
      </c>
      <c r="E1365">
        <v>400</v>
      </c>
      <c r="F1365" s="11">
        <v>46025</v>
      </c>
      <c r="G1365" t="s">
        <v>120</v>
      </c>
      <c r="H1365" t="s">
        <v>58</v>
      </c>
      <c r="I1365">
        <v>300</v>
      </c>
      <c r="J1365" t="s">
        <v>16</v>
      </c>
      <c r="K1365" t="s">
        <v>29</v>
      </c>
      <c r="L1365" t="s">
        <v>34</v>
      </c>
      <c r="M1365" t="s">
        <v>46</v>
      </c>
      <c r="Q1365" s="1"/>
    </row>
    <row r="1366" spans="1:17" x14ac:dyDescent="0.3">
      <c r="A1366">
        <v>20</v>
      </c>
      <c r="B1366">
        <v>9</v>
      </c>
      <c r="C1366" s="11">
        <v>46085</v>
      </c>
      <c r="D1366" t="s">
        <v>20</v>
      </c>
      <c r="E1366">
        <v>5500</v>
      </c>
      <c r="F1366" s="11">
        <v>46116</v>
      </c>
      <c r="G1366" t="s">
        <v>55</v>
      </c>
      <c r="H1366" t="s">
        <v>28</v>
      </c>
      <c r="I1366">
        <v>600</v>
      </c>
      <c r="J1366" t="s">
        <v>16</v>
      </c>
      <c r="K1366" t="s">
        <v>24</v>
      </c>
      <c r="L1366" t="s">
        <v>18</v>
      </c>
      <c r="M1366" t="s">
        <v>15</v>
      </c>
      <c r="Q1366" s="1"/>
    </row>
    <row r="1367" spans="1:17" x14ac:dyDescent="0.3">
      <c r="A1367">
        <v>37</v>
      </c>
      <c r="B1367">
        <v>16</v>
      </c>
      <c r="C1367" s="11">
        <v>46269</v>
      </c>
      <c r="D1367" t="s">
        <v>13</v>
      </c>
      <c r="E1367">
        <v>6500</v>
      </c>
      <c r="F1367" s="11">
        <v>46238</v>
      </c>
      <c r="G1367" t="s">
        <v>21</v>
      </c>
      <c r="H1367" t="s">
        <v>19</v>
      </c>
      <c r="I1367">
        <v>800</v>
      </c>
      <c r="J1367" t="s">
        <v>16</v>
      </c>
      <c r="K1367" t="s">
        <v>17</v>
      </c>
      <c r="L1367" t="s">
        <v>18</v>
      </c>
      <c r="M1367" t="s">
        <v>40</v>
      </c>
      <c r="Q1367" s="1"/>
    </row>
    <row r="1368" spans="1:17" x14ac:dyDescent="0.3">
      <c r="A1368">
        <v>13</v>
      </c>
      <c r="B1368">
        <v>2</v>
      </c>
      <c r="C1368" s="11">
        <v>46025</v>
      </c>
      <c r="D1368" t="s">
        <v>20</v>
      </c>
      <c r="E1368">
        <v>450</v>
      </c>
      <c r="F1368" s="11" t="s">
        <v>52</v>
      </c>
      <c r="G1368" t="s">
        <v>120</v>
      </c>
      <c r="H1368" t="s">
        <v>58</v>
      </c>
      <c r="I1368">
        <v>300</v>
      </c>
      <c r="J1368" t="s">
        <v>16</v>
      </c>
      <c r="K1368" t="s">
        <v>29</v>
      </c>
      <c r="L1368" t="s">
        <v>34</v>
      </c>
      <c r="M1368" t="s">
        <v>46</v>
      </c>
      <c r="Q1368" s="1"/>
    </row>
    <row r="1369" spans="1:17" x14ac:dyDescent="0.3">
      <c r="A1369">
        <v>24</v>
      </c>
      <c r="B1369">
        <v>10</v>
      </c>
      <c r="C1369" s="11">
        <v>46116</v>
      </c>
      <c r="D1369" t="s">
        <v>20</v>
      </c>
      <c r="E1369">
        <v>6000</v>
      </c>
      <c r="F1369" s="11">
        <v>46146</v>
      </c>
      <c r="G1369" t="s">
        <v>55</v>
      </c>
      <c r="H1369" t="s">
        <v>28</v>
      </c>
      <c r="I1369">
        <v>600</v>
      </c>
      <c r="J1369" t="s">
        <v>16</v>
      </c>
      <c r="K1369" t="s">
        <v>24</v>
      </c>
      <c r="L1369" t="s">
        <v>18</v>
      </c>
      <c r="M1369" t="s">
        <v>15</v>
      </c>
      <c r="Q1369" s="1"/>
    </row>
    <row r="1370" spans="1:17" x14ac:dyDescent="0.3">
      <c r="A1370">
        <v>38</v>
      </c>
      <c r="B1370">
        <v>17</v>
      </c>
      <c r="C1370" s="11">
        <v>46269</v>
      </c>
      <c r="D1370" t="s">
        <v>13</v>
      </c>
      <c r="E1370">
        <v>5500</v>
      </c>
      <c r="F1370" s="11">
        <v>46238</v>
      </c>
      <c r="G1370" t="s">
        <v>14</v>
      </c>
      <c r="H1370" t="s">
        <v>19</v>
      </c>
      <c r="I1370">
        <v>700</v>
      </c>
      <c r="J1370" t="s">
        <v>23</v>
      </c>
      <c r="K1370" t="s">
        <v>33</v>
      </c>
      <c r="L1370" t="s">
        <v>18</v>
      </c>
      <c r="M1370" t="s">
        <v>40</v>
      </c>
      <c r="Q1370" s="1"/>
    </row>
    <row r="1371" spans="1:17" x14ac:dyDescent="0.3">
      <c r="A1371">
        <v>14</v>
      </c>
      <c r="B1371">
        <v>1</v>
      </c>
      <c r="C1371" s="11" t="s">
        <v>52</v>
      </c>
      <c r="D1371" t="s">
        <v>20</v>
      </c>
      <c r="E1371">
        <v>500</v>
      </c>
      <c r="F1371" s="11">
        <v>46267</v>
      </c>
      <c r="G1371" t="s">
        <v>120</v>
      </c>
      <c r="H1371" t="s">
        <v>45</v>
      </c>
      <c r="I1371">
        <v>200</v>
      </c>
      <c r="J1371" t="s">
        <v>16</v>
      </c>
      <c r="K1371" t="s">
        <v>24</v>
      </c>
      <c r="L1371" t="s">
        <v>34</v>
      </c>
      <c r="M1371" t="s">
        <v>46</v>
      </c>
      <c r="Q1371" s="1"/>
    </row>
    <row r="1372" spans="1:17" x14ac:dyDescent="0.3">
      <c r="A1372">
        <v>25</v>
      </c>
      <c r="B1372">
        <v>11</v>
      </c>
      <c r="C1372" s="11">
        <v>46146</v>
      </c>
      <c r="D1372" t="s">
        <v>20</v>
      </c>
      <c r="E1372">
        <v>8000</v>
      </c>
      <c r="F1372" s="11">
        <v>46177</v>
      </c>
      <c r="G1372" t="s">
        <v>97</v>
      </c>
      <c r="H1372" t="s">
        <v>15</v>
      </c>
      <c r="I1372">
        <v>900</v>
      </c>
      <c r="J1372" t="s">
        <v>16</v>
      </c>
      <c r="K1372" t="s">
        <v>33</v>
      </c>
      <c r="L1372" t="s">
        <v>18</v>
      </c>
      <c r="M1372" t="s">
        <v>19</v>
      </c>
      <c r="Q1372" s="1"/>
    </row>
    <row r="1373" spans="1:17" x14ac:dyDescent="0.3">
      <c r="A1373">
        <v>39</v>
      </c>
      <c r="B1373">
        <v>18</v>
      </c>
      <c r="C1373" s="11">
        <v>46269</v>
      </c>
      <c r="D1373" t="s">
        <v>13</v>
      </c>
      <c r="E1373">
        <v>5500</v>
      </c>
      <c r="F1373" s="11">
        <v>46238</v>
      </c>
      <c r="G1373" t="s">
        <v>21</v>
      </c>
      <c r="H1373" t="s">
        <v>19</v>
      </c>
      <c r="I1373">
        <v>800</v>
      </c>
      <c r="J1373" t="s">
        <v>16</v>
      </c>
      <c r="K1373" t="s">
        <v>17</v>
      </c>
      <c r="L1373" t="s">
        <v>18</v>
      </c>
      <c r="M1373" t="s">
        <v>40</v>
      </c>
      <c r="Q1373" s="1"/>
    </row>
    <row r="1374" spans="1:17" x14ac:dyDescent="0.3">
      <c r="A1374">
        <v>15</v>
      </c>
      <c r="B1374">
        <v>0</v>
      </c>
      <c r="C1374" s="11" t="s">
        <v>52</v>
      </c>
      <c r="D1374" t="s">
        <v>20</v>
      </c>
      <c r="E1374">
        <v>500</v>
      </c>
      <c r="F1374" s="11">
        <v>46236</v>
      </c>
      <c r="G1374" t="s">
        <v>120</v>
      </c>
      <c r="H1374" t="s">
        <v>22</v>
      </c>
      <c r="I1374">
        <v>200</v>
      </c>
      <c r="J1374" t="s">
        <v>16</v>
      </c>
      <c r="K1374" t="s">
        <v>24</v>
      </c>
      <c r="L1374" t="s">
        <v>34</v>
      </c>
      <c r="M1374" t="s">
        <v>46</v>
      </c>
      <c r="Q1374" s="1"/>
    </row>
    <row r="1375" spans="1:17" x14ac:dyDescent="0.3">
      <c r="A1375">
        <v>26</v>
      </c>
      <c r="B1375">
        <v>12</v>
      </c>
      <c r="C1375" s="11">
        <v>46177</v>
      </c>
      <c r="D1375" t="s">
        <v>20</v>
      </c>
      <c r="E1375">
        <v>8500</v>
      </c>
      <c r="F1375" s="11">
        <v>46207</v>
      </c>
      <c r="G1375" t="s">
        <v>95</v>
      </c>
      <c r="H1375" t="s">
        <v>15</v>
      </c>
      <c r="I1375">
        <v>800</v>
      </c>
      <c r="J1375" t="s">
        <v>16</v>
      </c>
      <c r="K1375" t="s">
        <v>33</v>
      </c>
      <c r="L1375" t="s">
        <v>25</v>
      </c>
      <c r="M1375" t="s">
        <v>19</v>
      </c>
      <c r="Q1375" s="1"/>
    </row>
    <row r="1376" spans="1:17" x14ac:dyDescent="0.3">
      <c r="A1376">
        <v>40</v>
      </c>
      <c r="B1376">
        <v>19</v>
      </c>
      <c r="C1376" s="11" t="s">
        <v>81</v>
      </c>
      <c r="D1376" t="s">
        <v>20</v>
      </c>
      <c r="E1376">
        <v>5500</v>
      </c>
      <c r="F1376" s="11">
        <v>46269</v>
      </c>
      <c r="G1376" t="s">
        <v>14</v>
      </c>
      <c r="H1376" t="s">
        <v>19</v>
      </c>
      <c r="I1376">
        <v>700</v>
      </c>
      <c r="J1376" t="s">
        <v>23</v>
      </c>
      <c r="K1376" t="s">
        <v>33</v>
      </c>
      <c r="L1376" t="s">
        <v>18</v>
      </c>
      <c r="M1376" t="s">
        <v>40</v>
      </c>
      <c r="Q1376" s="1"/>
    </row>
    <row r="1377" spans="1:17" x14ac:dyDescent="0.3">
      <c r="A1377">
        <v>16</v>
      </c>
      <c r="B1377">
        <v>1</v>
      </c>
      <c r="C1377" s="11">
        <v>46025</v>
      </c>
      <c r="D1377" t="s">
        <v>13</v>
      </c>
      <c r="E1377">
        <v>450</v>
      </c>
      <c r="F1377" s="11" t="s">
        <v>52</v>
      </c>
      <c r="G1377" t="s">
        <v>66</v>
      </c>
      <c r="H1377" t="s">
        <v>58</v>
      </c>
      <c r="I1377">
        <v>300</v>
      </c>
      <c r="J1377" t="s">
        <v>16</v>
      </c>
      <c r="K1377" t="s">
        <v>29</v>
      </c>
      <c r="L1377" t="s">
        <v>18</v>
      </c>
      <c r="M1377" t="s">
        <v>61</v>
      </c>
      <c r="Q1377" s="1"/>
    </row>
    <row r="1378" spans="1:17" x14ac:dyDescent="0.3">
      <c r="A1378">
        <v>27</v>
      </c>
      <c r="B1378">
        <v>13</v>
      </c>
      <c r="C1378" s="11">
        <v>46207</v>
      </c>
      <c r="D1378" t="s">
        <v>13</v>
      </c>
      <c r="E1378">
        <v>8000</v>
      </c>
      <c r="F1378" s="11">
        <v>46238</v>
      </c>
      <c r="G1378" t="s">
        <v>97</v>
      </c>
      <c r="H1378" t="s">
        <v>15</v>
      </c>
      <c r="I1378">
        <v>900</v>
      </c>
      <c r="J1378" t="s">
        <v>16</v>
      </c>
      <c r="K1378" t="s">
        <v>33</v>
      </c>
      <c r="L1378" t="s">
        <v>18</v>
      </c>
      <c r="M1378" t="s">
        <v>19</v>
      </c>
      <c r="Q1378" s="1"/>
    </row>
    <row r="1379" spans="1:17" x14ac:dyDescent="0.3">
      <c r="A1379">
        <v>41</v>
      </c>
      <c r="B1379">
        <v>20</v>
      </c>
      <c r="C1379" s="11" t="s">
        <v>81</v>
      </c>
      <c r="D1379" t="s">
        <v>20</v>
      </c>
      <c r="E1379">
        <v>6000</v>
      </c>
      <c r="F1379" s="11">
        <v>46269</v>
      </c>
      <c r="G1379" t="s">
        <v>21</v>
      </c>
      <c r="H1379" t="s">
        <v>19</v>
      </c>
      <c r="I1379">
        <v>800</v>
      </c>
      <c r="J1379" t="s">
        <v>23</v>
      </c>
      <c r="K1379" t="s">
        <v>33</v>
      </c>
      <c r="L1379" t="s">
        <v>18</v>
      </c>
      <c r="M1379" t="s">
        <v>40</v>
      </c>
      <c r="Q1379" s="1"/>
    </row>
    <row r="1380" spans="1:17" x14ac:dyDescent="0.3">
      <c r="A1380">
        <v>17</v>
      </c>
      <c r="B1380">
        <v>2</v>
      </c>
      <c r="C1380" s="11">
        <v>46056</v>
      </c>
      <c r="D1380" t="s">
        <v>13</v>
      </c>
      <c r="E1380">
        <v>500</v>
      </c>
      <c r="F1380" s="11">
        <v>46025</v>
      </c>
      <c r="G1380" t="s">
        <v>66</v>
      </c>
      <c r="H1380" t="s">
        <v>67</v>
      </c>
      <c r="I1380">
        <v>400</v>
      </c>
      <c r="J1380" t="s">
        <v>16</v>
      </c>
      <c r="K1380" t="s">
        <v>29</v>
      </c>
      <c r="L1380" t="s">
        <v>18</v>
      </c>
      <c r="M1380" t="s">
        <v>61</v>
      </c>
      <c r="Q1380" s="1"/>
    </row>
    <row r="1381" spans="1:17" x14ac:dyDescent="0.3">
      <c r="A1381">
        <v>28</v>
      </c>
      <c r="B1381">
        <v>14</v>
      </c>
      <c r="C1381" s="11">
        <v>46238</v>
      </c>
      <c r="D1381" t="s">
        <v>13</v>
      </c>
      <c r="E1381">
        <v>8500</v>
      </c>
      <c r="F1381" s="11">
        <v>46207</v>
      </c>
      <c r="G1381" t="s">
        <v>95</v>
      </c>
      <c r="H1381" t="s">
        <v>15</v>
      </c>
      <c r="I1381">
        <v>800</v>
      </c>
      <c r="J1381" t="s">
        <v>16</v>
      </c>
      <c r="K1381" t="s">
        <v>33</v>
      </c>
      <c r="L1381" t="s">
        <v>25</v>
      </c>
      <c r="M1381" t="s">
        <v>19</v>
      </c>
      <c r="Q1381" s="1"/>
    </row>
    <row r="1382" spans="1:17" x14ac:dyDescent="0.3">
      <c r="A1382">
        <v>42</v>
      </c>
      <c r="B1382">
        <v>21</v>
      </c>
      <c r="C1382" s="11" t="s">
        <v>81</v>
      </c>
      <c r="D1382" t="s">
        <v>20</v>
      </c>
      <c r="E1382">
        <v>5500</v>
      </c>
      <c r="F1382" s="11">
        <v>46269</v>
      </c>
      <c r="G1382" t="s">
        <v>14</v>
      </c>
      <c r="H1382" t="s">
        <v>19</v>
      </c>
      <c r="I1382">
        <v>700</v>
      </c>
      <c r="J1382" t="s">
        <v>23</v>
      </c>
      <c r="K1382" t="s">
        <v>33</v>
      </c>
      <c r="L1382" t="s">
        <v>18</v>
      </c>
      <c r="M1382" t="s">
        <v>40</v>
      </c>
      <c r="Q1382" s="1"/>
    </row>
    <row r="1383" spans="1:17" x14ac:dyDescent="0.3">
      <c r="A1383">
        <v>18</v>
      </c>
      <c r="B1383">
        <v>3</v>
      </c>
      <c r="C1383" s="11">
        <v>46084</v>
      </c>
      <c r="D1383" t="s">
        <v>13</v>
      </c>
      <c r="E1383">
        <v>550</v>
      </c>
      <c r="F1383" s="11">
        <v>46056</v>
      </c>
      <c r="G1383" t="s">
        <v>66</v>
      </c>
      <c r="H1383">
        <v>0</v>
      </c>
      <c r="I1383">
        <v>400</v>
      </c>
      <c r="J1383" t="s">
        <v>16</v>
      </c>
      <c r="K1383" t="s">
        <v>29</v>
      </c>
      <c r="L1383" t="s">
        <v>18</v>
      </c>
      <c r="M1383" t="s">
        <v>61</v>
      </c>
      <c r="Q1383" s="1"/>
    </row>
    <row r="1384" spans="1:17" x14ac:dyDescent="0.3">
      <c r="A1384">
        <v>29</v>
      </c>
      <c r="B1384">
        <v>15</v>
      </c>
      <c r="C1384" s="11">
        <v>46269</v>
      </c>
      <c r="D1384" t="s">
        <v>13</v>
      </c>
      <c r="E1384">
        <v>6500</v>
      </c>
      <c r="F1384" s="11">
        <v>46238</v>
      </c>
      <c r="G1384" t="s">
        <v>21</v>
      </c>
      <c r="H1384" t="s">
        <v>19</v>
      </c>
      <c r="I1384">
        <v>800</v>
      </c>
      <c r="J1384" t="s">
        <v>16</v>
      </c>
      <c r="K1384" t="s">
        <v>17</v>
      </c>
      <c r="L1384" t="s">
        <v>18</v>
      </c>
      <c r="M1384" t="s">
        <v>40</v>
      </c>
      <c r="Q1384" s="1"/>
    </row>
    <row r="1385" spans="1:17" x14ac:dyDescent="0.3">
      <c r="A1385">
        <v>43</v>
      </c>
      <c r="B1385">
        <v>22</v>
      </c>
      <c r="C1385" s="11" t="s">
        <v>81</v>
      </c>
      <c r="D1385" t="s">
        <v>20</v>
      </c>
      <c r="E1385">
        <v>6000</v>
      </c>
      <c r="F1385" s="11">
        <v>46269</v>
      </c>
      <c r="G1385" t="s">
        <v>21</v>
      </c>
      <c r="H1385" t="s">
        <v>19</v>
      </c>
      <c r="I1385">
        <v>800</v>
      </c>
      <c r="J1385" t="s">
        <v>23</v>
      </c>
      <c r="K1385" t="s">
        <v>33</v>
      </c>
      <c r="L1385" t="s">
        <v>18</v>
      </c>
      <c r="M1385" t="s">
        <v>40</v>
      </c>
      <c r="Q1385" s="1"/>
    </row>
    <row r="1386" spans="1:17" x14ac:dyDescent="0.3">
      <c r="A1386">
        <v>19</v>
      </c>
      <c r="B1386">
        <v>4</v>
      </c>
      <c r="C1386" s="11">
        <v>46115</v>
      </c>
      <c r="D1386" t="s">
        <v>13</v>
      </c>
      <c r="E1386">
        <v>600</v>
      </c>
      <c r="F1386" s="11">
        <v>46084</v>
      </c>
      <c r="G1386" t="s">
        <v>66</v>
      </c>
      <c r="H1386" t="s">
        <v>32</v>
      </c>
      <c r="I1386">
        <v>400</v>
      </c>
      <c r="J1386" t="s">
        <v>16</v>
      </c>
      <c r="K1386" t="s">
        <v>29</v>
      </c>
      <c r="L1386" t="s">
        <v>18</v>
      </c>
      <c r="M1386" t="s">
        <v>61</v>
      </c>
      <c r="Q1386" s="1"/>
    </row>
    <row r="1387" spans="1:17" x14ac:dyDescent="0.3">
      <c r="A1387">
        <v>30</v>
      </c>
      <c r="B1387">
        <v>16</v>
      </c>
      <c r="C1387" s="11">
        <v>46269</v>
      </c>
      <c r="D1387" t="s">
        <v>13</v>
      </c>
      <c r="E1387">
        <v>7000</v>
      </c>
      <c r="F1387" s="11">
        <v>46238</v>
      </c>
      <c r="G1387" t="s">
        <v>21</v>
      </c>
      <c r="H1387" t="s">
        <v>19</v>
      </c>
      <c r="I1387">
        <v>800</v>
      </c>
      <c r="J1387" t="s">
        <v>16</v>
      </c>
      <c r="K1387" t="s">
        <v>33</v>
      </c>
      <c r="L1387" t="s">
        <v>18</v>
      </c>
      <c r="M1387" t="s">
        <v>40</v>
      </c>
      <c r="Q1387" s="1"/>
    </row>
    <row r="1388" spans="1:17" x14ac:dyDescent="0.3">
      <c r="A1388">
        <v>44</v>
      </c>
      <c r="B1388">
        <v>23</v>
      </c>
      <c r="C1388" s="11" t="s">
        <v>81</v>
      </c>
      <c r="D1388" t="s">
        <v>20</v>
      </c>
      <c r="E1388">
        <v>5500</v>
      </c>
      <c r="F1388" s="11">
        <v>46269</v>
      </c>
      <c r="G1388" t="s">
        <v>14</v>
      </c>
      <c r="H1388" t="s">
        <v>19</v>
      </c>
      <c r="I1388">
        <v>700</v>
      </c>
      <c r="J1388" t="s">
        <v>23</v>
      </c>
      <c r="K1388" t="s">
        <v>33</v>
      </c>
      <c r="L1388" t="s">
        <v>18</v>
      </c>
      <c r="M1388" t="s">
        <v>40</v>
      </c>
      <c r="Q1388" s="1"/>
    </row>
    <row r="1389" spans="1:17" x14ac:dyDescent="0.3">
      <c r="A1389">
        <v>20</v>
      </c>
      <c r="B1389">
        <v>5</v>
      </c>
      <c r="C1389" s="11">
        <v>46145</v>
      </c>
      <c r="D1389" t="s">
        <v>13</v>
      </c>
      <c r="E1389">
        <v>650</v>
      </c>
      <c r="F1389" s="11">
        <v>46115</v>
      </c>
      <c r="G1389" t="s">
        <v>66</v>
      </c>
      <c r="H1389" t="s">
        <v>26</v>
      </c>
      <c r="I1389">
        <v>400</v>
      </c>
      <c r="J1389" t="s">
        <v>16</v>
      </c>
      <c r="K1389" t="s">
        <v>29</v>
      </c>
      <c r="L1389" t="s">
        <v>18</v>
      </c>
      <c r="M1389" t="s">
        <v>61</v>
      </c>
      <c r="Q1389" s="1"/>
    </row>
    <row r="1390" spans="1:17" x14ac:dyDescent="0.3">
      <c r="A1390">
        <v>31</v>
      </c>
      <c r="B1390">
        <v>17</v>
      </c>
      <c r="C1390" s="11" t="s">
        <v>81</v>
      </c>
      <c r="D1390" t="s">
        <v>13</v>
      </c>
      <c r="E1390">
        <v>7500</v>
      </c>
      <c r="F1390" s="11">
        <v>46269</v>
      </c>
      <c r="G1390" t="s">
        <v>21</v>
      </c>
      <c r="H1390" t="s">
        <v>19</v>
      </c>
      <c r="I1390">
        <v>800</v>
      </c>
      <c r="J1390" t="s">
        <v>16</v>
      </c>
      <c r="K1390" t="s">
        <v>33</v>
      </c>
      <c r="L1390" t="s">
        <v>18</v>
      </c>
      <c r="M1390" t="s">
        <v>40</v>
      </c>
      <c r="Q1390" s="1"/>
    </row>
    <row r="1391" spans="1:17" x14ac:dyDescent="0.3">
      <c r="A1391">
        <v>32</v>
      </c>
      <c r="B1391">
        <v>8</v>
      </c>
      <c r="C1391" s="11">
        <v>46085</v>
      </c>
      <c r="D1391" t="s">
        <v>13</v>
      </c>
      <c r="E1391">
        <v>300</v>
      </c>
      <c r="F1391" s="11">
        <v>46177</v>
      </c>
      <c r="G1391" t="s">
        <v>27</v>
      </c>
      <c r="H1391" t="s">
        <v>88</v>
      </c>
      <c r="I1391">
        <v>430</v>
      </c>
      <c r="J1391" t="s">
        <v>16</v>
      </c>
      <c r="K1391" t="s">
        <v>33</v>
      </c>
      <c r="L1391" t="s">
        <v>18</v>
      </c>
      <c r="M1391" t="s">
        <v>49</v>
      </c>
      <c r="Q1391" s="1"/>
    </row>
    <row r="1392" spans="1:17" x14ac:dyDescent="0.3">
      <c r="A1392">
        <v>17</v>
      </c>
      <c r="B1392">
        <v>5</v>
      </c>
      <c r="C1392" s="11">
        <v>46237</v>
      </c>
      <c r="D1392" t="s">
        <v>20</v>
      </c>
      <c r="E1392">
        <v>2000</v>
      </c>
      <c r="F1392" s="11">
        <v>46268</v>
      </c>
      <c r="G1392" t="s">
        <v>39</v>
      </c>
      <c r="H1392" t="s">
        <v>121</v>
      </c>
      <c r="I1392">
        <v>600</v>
      </c>
      <c r="J1392" t="s">
        <v>23</v>
      </c>
      <c r="K1392" t="s">
        <v>17</v>
      </c>
      <c r="L1392" t="s">
        <v>25</v>
      </c>
      <c r="M1392" t="s">
        <v>90</v>
      </c>
      <c r="Q1392" s="1"/>
    </row>
    <row r="1393" spans="1:17" x14ac:dyDescent="0.3">
      <c r="A1393">
        <v>6</v>
      </c>
      <c r="B1393">
        <v>2</v>
      </c>
      <c r="C1393" s="11">
        <v>46146</v>
      </c>
      <c r="D1393" t="s">
        <v>20</v>
      </c>
      <c r="E1393">
        <v>500</v>
      </c>
      <c r="F1393" s="11">
        <v>46057</v>
      </c>
      <c r="G1393" t="s">
        <v>66</v>
      </c>
      <c r="H1393" t="s">
        <v>67</v>
      </c>
      <c r="I1393">
        <v>700</v>
      </c>
      <c r="J1393" t="s">
        <v>16</v>
      </c>
      <c r="K1393" t="s">
        <v>24</v>
      </c>
      <c r="L1393" t="s">
        <v>34</v>
      </c>
      <c r="M1393" t="s">
        <v>84</v>
      </c>
      <c r="Q1393" s="1"/>
    </row>
    <row r="1394" spans="1:17" x14ac:dyDescent="0.3">
      <c r="A1394">
        <v>41</v>
      </c>
      <c r="B1394">
        <v>12</v>
      </c>
      <c r="C1394" s="11">
        <v>46269</v>
      </c>
      <c r="D1394" t="s">
        <v>13</v>
      </c>
      <c r="E1394">
        <v>800</v>
      </c>
      <c r="F1394" s="11">
        <v>46238</v>
      </c>
      <c r="G1394" t="s">
        <v>42</v>
      </c>
      <c r="H1394" t="s">
        <v>86</v>
      </c>
      <c r="I1394">
        <v>900</v>
      </c>
      <c r="J1394" t="s">
        <v>16</v>
      </c>
      <c r="K1394" t="s">
        <v>17</v>
      </c>
      <c r="L1394" t="s">
        <v>18</v>
      </c>
      <c r="M1394" t="s">
        <v>122</v>
      </c>
      <c r="Q1394" s="1"/>
    </row>
    <row r="1395" spans="1:17" x14ac:dyDescent="0.3">
      <c r="A1395">
        <v>23</v>
      </c>
      <c r="B1395">
        <v>6</v>
      </c>
      <c r="C1395" s="11">
        <v>46026</v>
      </c>
      <c r="D1395" t="s">
        <v>20</v>
      </c>
      <c r="E1395">
        <v>3000</v>
      </c>
      <c r="F1395" s="11">
        <v>46206</v>
      </c>
      <c r="G1395" t="s">
        <v>83</v>
      </c>
      <c r="H1395" t="s">
        <v>28</v>
      </c>
      <c r="I1395">
        <v>700</v>
      </c>
      <c r="J1395" t="s">
        <v>23</v>
      </c>
      <c r="K1395" t="s">
        <v>33</v>
      </c>
      <c r="L1395" t="s">
        <v>25</v>
      </c>
      <c r="M1395" t="s">
        <v>91</v>
      </c>
      <c r="Q1395" s="1"/>
    </row>
    <row r="1396" spans="1:17" x14ac:dyDescent="0.3">
      <c r="A1396">
        <v>8</v>
      </c>
      <c r="B1396">
        <v>3</v>
      </c>
      <c r="C1396" s="11" t="s">
        <v>64</v>
      </c>
      <c r="D1396" t="s">
        <v>20</v>
      </c>
      <c r="E1396">
        <v>200</v>
      </c>
      <c r="F1396" s="11" t="s">
        <v>64</v>
      </c>
      <c r="G1396" t="s">
        <v>47</v>
      </c>
      <c r="H1396" t="s">
        <v>123</v>
      </c>
      <c r="I1396">
        <v>800</v>
      </c>
      <c r="J1396" t="s">
        <v>16</v>
      </c>
      <c r="K1396" t="s">
        <v>24</v>
      </c>
      <c r="L1396" t="s">
        <v>18</v>
      </c>
      <c r="M1396" t="s">
        <v>124</v>
      </c>
      <c r="Q1396" s="1"/>
    </row>
    <row r="1397" spans="1:17" x14ac:dyDescent="0.3">
      <c r="A1397">
        <v>47</v>
      </c>
      <c r="B1397">
        <v>15</v>
      </c>
      <c r="C1397" s="11">
        <v>46207</v>
      </c>
      <c r="D1397" t="s">
        <v>13</v>
      </c>
      <c r="E1397">
        <v>1000</v>
      </c>
      <c r="F1397" s="11">
        <v>46269</v>
      </c>
      <c r="G1397" t="s">
        <v>95</v>
      </c>
      <c r="H1397" t="s">
        <v>49</v>
      </c>
      <c r="I1397">
        <v>500</v>
      </c>
      <c r="J1397" t="s">
        <v>23</v>
      </c>
      <c r="K1397" t="s">
        <v>17</v>
      </c>
      <c r="L1397" t="s">
        <v>34</v>
      </c>
      <c r="M1397" t="s">
        <v>92</v>
      </c>
      <c r="Q1397" s="1"/>
    </row>
    <row r="1398" spans="1:17" x14ac:dyDescent="0.3">
      <c r="A1398">
        <v>12</v>
      </c>
      <c r="B1398">
        <v>4</v>
      </c>
      <c r="C1398" s="11">
        <v>46145</v>
      </c>
      <c r="D1398" t="s">
        <v>20</v>
      </c>
      <c r="E1398">
        <v>1000</v>
      </c>
      <c r="F1398" s="11">
        <v>46056</v>
      </c>
      <c r="G1398" t="s">
        <v>31</v>
      </c>
      <c r="H1398" t="s">
        <v>104</v>
      </c>
      <c r="I1398">
        <v>400</v>
      </c>
      <c r="J1398" t="s">
        <v>16</v>
      </c>
      <c r="K1398" t="s">
        <v>29</v>
      </c>
      <c r="L1398" t="s">
        <v>18</v>
      </c>
      <c r="M1398" t="s">
        <v>105</v>
      </c>
      <c r="Q1398" s="1"/>
    </row>
    <row r="1399" spans="1:17" x14ac:dyDescent="0.3">
      <c r="A1399">
        <v>38</v>
      </c>
      <c r="B1399">
        <v>11</v>
      </c>
      <c r="C1399" s="11">
        <v>46177</v>
      </c>
      <c r="D1399" t="s">
        <v>13</v>
      </c>
      <c r="E1399">
        <v>4000</v>
      </c>
      <c r="F1399" s="11">
        <v>46207</v>
      </c>
      <c r="G1399" t="s">
        <v>80</v>
      </c>
      <c r="H1399" t="s">
        <v>51</v>
      </c>
      <c r="I1399">
        <v>1000</v>
      </c>
      <c r="J1399" t="s">
        <v>16</v>
      </c>
      <c r="K1399" t="s">
        <v>17</v>
      </c>
      <c r="L1399" t="s">
        <v>25</v>
      </c>
      <c r="M1399" t="s">
        <v>93</v>
      </c>
      <c r="Q1399" s="1"/>
    </row>
    <row r="1400" spans="1:17" x14ac:dyDescent="0.3">
      <c r="A1400">
        <v>5</v>
      </c>
      <c r="B1400">
        <v>1</v>
      </c>
      <c r="C1400" s="11">
        <v>46267</v>
      </c>
      <c r="D1400" t="s">
        <v>20</v>
      </c>
      <c r="E1400">
        <v>100</v>
      </c>
      <c r="F1400" s="11">
        <v>46145</v>
      </c>
      <c r="G1400" t="s">
        <v>74</v>
      </c>
      <c r="H1400" t="s">
        <v>112</v>
      </c>
      <c r="I1400">
        <v>300</v>
      </c>
      <c r="J1400" t="s">
        <v>16</v>
      </c>
      <c r="K1400" t="s">
        <v>33</v>
      </c>
      <c r="L1400" t="s">
        <v>34</v>
      </c>
      <c r="M1400" t="s">
        <v>125</v>
      </c>
      <c r="Q1400" s="1"/>
    </row>
    <row r="1401" spans="1:17" x14ac:dyDescent="0.3">
      <c r="A1401">
        <v>29</v>
      </c>
      <c r="B1401">
        <v>9</v>
      </c>
      <c r="C1401" s="11">
        <v>46116</v>
      </c>
      <c r="D1401" t="s">
        <v>13</v>
      </c>
      <c r="E1401">
        <v>700</v>
      </c>
      <c r="F1401" s="11">
        <v>46146</v>
      </c>
      <c r="G1401" t="s">
        <v>21</v>
      </c>
      <c r="H1401" t="s">
        <v>63</v>
      </c>
      <c r="I1401">
        <v>600</v>
      </c>
      <c r="J1401" t="s">
        <v>16</v>
      </c>
      <c r="K1401" t="s">
        <v>17</v>
      </c>
      <c r="L1401" t="s">
        <v>25</v>
      </c>
      <c r="M1401" t="s">
        <v>94</v>
      </c>
      <c r="Q1401" s="1"/>
    </row>
    <row r="1402" spans="1:17" x14ac:dyDescent="0.3">
      <c r="A1402">
        <v>11</v>
      </c>
      <c r="B1402">
        <v>3</v>
      </c>
      <c r="C1402" s="11">
        <v>46206</v>
      </c>
      <c r="D1402" t="s">
        <v>13</v>
      </c>
      <c r="E1402">
        <v>300</v>
      </c>
      <c r="F1402" s="11">
        <v>46237</v>
      </c>
      <c r="G1402" t="s">
        <v>55</v>
      </c>
      <c r="H1402" t="s">
        <v>32</v>
      </c>
      <c r="I1402">
        <v>200</v>
      </c>
      <c r="J1402" t="s">
        <v>23</v>
      </c>
      <c r="K1402" t="s">
        <v>29</v>
      </c>
      <c r="L1402" t="s">
        <v>18</v>
      </c>
      <c r="M1402" t="s">
        <v>126</v>
      </c>
      <c r="Q1402" s="1"/>
    </row>
    <row r="1403" spans="1:17" x14ac:dyDescent="0.3">
      <c r="A1403">
        <v>44</v>
      </c>
      <c r="B1403">
        <v>18</v>
      </c>
      <c r="C1403" s="11">
        <v>46238</v>
      </c>
      <c r="D1403" t="s">
        <v>13</v>
      </c>
      <c r="E1403">
        <v>6000</v>
      </c>
      <c r="F1403" s="11">
        <v>46269</v>
      </c>
      <c r="G1403" t="s">
        <v>44</v>
      </c>
      <c r="H1403" t="s">
        <v>87</v>
      </c>
      <c r="I1403">
        <v>700</v>
      </c>
      <c r="J1403" t="s">
        <v>23</v>
      </c>
      <c r="K1403" t="s">
        <v>17</v>
      </c>
      <c r="L1403" t="s">
        <v>34</v>
      </c>
      <c r="M1403" t="s">
        <v>127</v>
      </c>
      <c r="Q1403" s="1"/>
    </row>
    <row r="1404" spans="1:17" x14ac:dyDescent="0.3">
      <c r="A1404">
        <v>9</v>
      </c>
      <c r="B1404">
        <v>2</v>
      </c>
      <c r="C1404" s="11" t="s">
        <v>52</v>
      </c>
      <c r="D1404" t="s">
        <v>20</v>
      </c>
      <c r="E1404">
        <v>1000</v>
      </c>
      <c r="F1404" s="11">
        <v>46025</v>
      </c>
      <c r="G1404" t="s">
        <v>128</v>
      </c>
      <c r="H1404" t="s">
        <v>45</v>
      </c>
      <c r="I1404">
        <v>900</v>
      </c>
      <c r="J1404" t="s">
        <v>23</v>
      </c>
      <c r="K1404" t="s">
        <v>29</v>
      </c>
      <c r="L1404" t="s">
        <v>18</v>
      </c>
      <c r="M1404" t="s">
        <v>113</v>
      </c>
      <c r="Q1404" s="1"/>
    </row>
    <row r="1405" spans="1:17" x14ac:dyDescent="0.3">
      <c r="A1405">
        <v>36</v>
      </c>
      <c r="B1405">
        <v>10</v>
      </c>
      <c r="C1405" s="11">
        <v>46057</v>
      </c>
      <c r="D1405" t="s">
        <v>13</v>
      </c>
      <c r="E1405">
        <v>2000</v>
      </c>
      <c r="F1405" s="11">
        <v>46085</v>
      </c>
      <c r="G1405" t="s">
        <v>14</v>
      </c>
      <c r="H1405" t="s">
        <v>85</v>
      </c>
      <c r="I1405">
        <v>2000</v>
      </c>
      <c r="J1405" t="s">
        <v>23</v>
      </c>
      <c r="K1405" t="s">
        <v>33</v>
      </c>
      <c r="L1405" t="s">
        <v>18</v>
      </c>
      <c r="M1405" t="s">
        <v>88</v>
      </c>
      <c r="Q1405" s="1"/>
    </row>
    <row r="1406" spans="1:17" x14ac:dyDescent="0.3">
      <c r="A1406">
        <v>20</v>
      </c>
      <c r="B1406">
        <v>7</v>
      </c>
      <c r="C1406" s="11" t="s">
        <v>64</v>
      </c>
      <c r="D1406" t="s">
        <v>20</v>
      </c>
      <c r="E1406">
        <v>7000</v>
      </c>
      <c r="F1406" s="11">
        <v>46116</v>
      </c>
      <c r="G1406" t="s">
        <v>60</v>
      </c>
      <c r="H1406" t="s">
        <v>91</v>
      </c>
      <c r="I1406">
        <v>10000</v>
      </c>
      <c r="J1406" t="s">
        <v>16</v>
      </c>
      <c r="K1406" t="s">
        <v>17</v>
      </c>
      <c r="L1406" t="s">
        <v>18</v>
      </c>
      <c r="M1406" t="s">
        <v>40</v>
      </c>
      <c r="Q1406" s="1"/>
    </row>
    <row r="1407" spans="1:17" x14ac:dyDescent="0.3">
      <c r="A1407">
        <v>3</v>
      </c>
      <c r="B1407">
        <v>0</v>
      </c>
      <c r="C1407" s="11">
        <v>46144</v>
      </c>
      <c r="D1407" t="s">
        <v>13</v>
      </c>
      <c r="E1407">
        <v>100</v>
      </c>
      <c r="F1407" s="11" t="s">
        <v>56</v>
      </c>
      <c r="G1407" t="s">
        <v>70</v>
      </c>
      <c r="H1407" t="s">
        <v>106</v>
      </c>
      <c r="I1407">
        <v>100</v>
      </c>
      <c r="J1407" t="s">
        <v>23</v>
      </c>
      <c r="K1407" t="s">
        <v>33</v>
      </c>
      <c r="L1407" t="s">
        <v>25</v>
      </c>
      <c r="M1407" t="s">
        <v>129</v>
      </c>
      <c r="Q1407" s="1"/>
    </row>
    <row r="1408" spans="1:17" x14ac:dyDescent="0.3">
      <c r="A1408">
        <v>27</v>
      </c>
      <c r="B1408">
        <v>8</v>
      </c>
      <c r="C1408" s="11">
        <v>46207</v>
      </c>
      <c r="D1408" t="s">
        <v>20</v>
      </c>
      <c r="E1408">
        <v>900</v>
      </c>
      <c r="F1408" s="11">
        <v>46177</v>
      </c>
      <c r="G1408" t="s">
        <v>39</v>
      </c>
      <c r="H1408" t="s">
        <v>92</v>
      </c>
      <c r="I1408">
        <v>900</v>
      </c>
      <c r="J1408" t="s">
        <v>16</v>
      </c>
      <c r="K1408" t="s">
        <v>17</v>
      </c>
      <c r="L1408" t="s">
        <v>25</v>
      </c>
      <c r="M1408" t="s">
        <v>87</v>
      </c>
      <c r="Q1408" s="1"/>
    </row>
    <row r="1409" spans="1:17" x14ac:dyDescent="0.3">
      <c r="A1409">
        <v>14</v>
      </c>
      <c r="B1409">
        <v>5</v>
      </c>
      <c r="C1409" s="11">
        <v>46176</v>
      </c>
      <c r="D1409" t="s">
        <v>20</v>
      </c>
      <c r="E1409">
        <v>400</v>
      </c>
      <c r="F1409" s="11">
        <v>46176</v>
      </c>
      <c r="G1409" t="s">
        <v>48</v>
      </c>
      <c r="H1409" t="s">
        <v>26</v>
      </c>
      <c r="I1409">
        <v>700</v>
      </c>
      <c r="J1409" t="s">
        <v>16</v>
      </c>
      <c r="K1409" t="s">
        <v>33</v>
      </c>
      <c r="L1409" t="s">
        <v>18</v>
      </c>
      <c r="M1409" t="s">
        <v>130</v>
      </c>
      <c r="Q1409" s="1"/>
    </row>
    <row r="1410" spans="1:17" x14ac:dyDescent="0.3">
      <c r="A1410">
        <v>49</v>
      </c>
      <c r="B1410">
        <v>19</v>
      </c>
      <c r="C1410" s="11">
        <v>46269</v>
      </c>
      <c r="D1410" t="s">
        <v>13</v>
      </c>
      <c r="E1410">
        <v>5000</v>
      </c>
      <c r="F1410" s="11">
        <v>46238</v>
      </c>
      <c r="G1410" t="s">
        <v>69</v>
      </c>
      <c r="H1410" t="s">
        <v>93</v>
      </c>
      <c r="I1410">
        <v>1000</v>
      </c>
      <c r="J1410" t="s">
        <v>23</v>
      </c>
      <c r="K1410" t="s">
        <v>17</v>
      </c>
      <c r="L1410" t="s">
        <v>18</v>
      </c>
      <c r="M1410" t="s">
        <v>49</v>
      </c>
      <c r="Q1410" s="1"/>
    </row>
    <row r="1411" spans="1:17" x14ac:dyDescent="0.3">
      <c r="A1411">
        <v>21</v>
      </c>
      <c r="B1411">
        <v>6</v>
      </c>
      <c r="C1411" s="11">
        <v>46085</v>
      </c>
      <c r="D1411" t="s">
        <v>13</v>
      </c>
      <c r="E1411">
        <v>600</v>
      </c>
      <c r="F1411" s="11" t="s">
        <v>64</v>
      </c>
      <c r="G1411" t="s">
        <v>66</v>
      </c>
      <c r="H1411" t="s">
        <v>43</v>
      </c>
      <c r="I1411">
        <v>300</v>
      </c>
      <c r="J1411" t="s">
        <v>16</v>
      </c>
      <c r="K1411" t="s">
        <v>29</v>
      </c>
      <c r="L1411" t="s">
        <v>18</v>
      </c>
      <c r="M1411" t="s">
        <v>103</v>
      </c>
      <c r="Q1411" s="1"/>
    </row>
    <row r="1412" spans="1:17" x14ac:dyDescent="0.3">
      <c r="A1412">
        <v>33</v>
      </c>
      <c r="B1412">
        <v>10</v>
      </c>
      <c r="C1412" s="11">
        <v>46146</v>
      </c>
      <c r="D1412" t="s">
        <v>20</v>
      </c>
      <c r="E1412">
        <v>2500</v>
      </c>
      <c r="F1412" s="11">
        <v>46207</v>
      </c>
      <c r="G1412" t="s">
        <v>72</v>
      </c>
      <c r="H1412" t="s">
        <v>94</v>
      </c>
      <c r="I1412">
        <v>3000</v>
      </c>
      <c r="J1412" t="s">
        <v>23</v>
      </c>
      <c r="K1412" t="s">
        <v>33</v>
      </c>
      <c r="L1412" t="s">
        <v>18</v>
      </c>
      <c r="M1412" t="s">
        <v>131</v>
      </c>
      <c r="Q1412" s="1"/>
    </row>
    <row r="1413" spans="1:17" x14ac:dyDescent="0.3">
      <c r="A1413">
        <v>7</v>
      </c>
      <c r="B1413">
        <v>2</v>
      </c>
      <c r="C1413" s="11">
        <v>46056</v>
      </c>
      <c r="D1413" t="s">
        <v>13</v>
      </c>
      <c r="E1413">
        <v>100</v>
      </c>
      <c r="F1413" s="11" t="s">
        <v>52</v>
      </c>
      <c r="G1413" t="s">
        <v>53</v>
      </c>
      <c r="H1413" t="s">
        <v>54</v>
      </c>
      <c r="I1413">
        <v>100</v>
      </c>
      <c r="J1413" t="s">
        <v>23</v>
      </c>
      <c r="K1413" t="s">
        <v>33</v>
      </c>
      <c r="L1413" t="s">
        <v>34</v>
      </c>
      <c r="M1413" t="s">
        <v>132</v>
      </c>
      <c r="Q1413" s="1"/>
    </row>
    <row r="1414" spans="1:17" x14ac:dyDescent="0.3">
      <c r="A1414">
        <v>40</v>
      </c>
      <c r="B1414">
        <v>13</v>
      </c>
      <c r="C1414" s="11">
        <v>46238</v>
      </c>
      <c r="D1414" t="s">
        <v>20</v>
      </c>
      <c r="E1414">
        <v>1500</v>
      </c>
      <c r="F1414" s="11">
        <v>46207</v>
      </c>
      <c r="G1414" t="s">
        <v>50</v>
      </c>
      <c r="H1414" t="s">
        <v>15</v>
      </c>
      <c r="I1414">
        <v>800</v>
      </c>
      <c r="J1414" t="s">
        <v>23</v>
      </c>
      <c r="K1414" t="s">
        <v>17</v>
      </c>
      <c r="L1414" t="s">
        <v>34</v>
      </c>
      <c r="M1414" t="s">
        <v>133</v>
      </c>
      <c r="Q1414" s="1"/>
    </row>
    <row r="1415" spans="1:17" x14ac:dyDescent="0.3">
      <c r="A1415">
        <v>16</v>
      </c>
      <c r="B1415">
        <v>4</v>
      </c>
      <c r="C1415" s="11">
        <v>46268</v>
      </c>
      <c r="D1415" t="s">
        <v>13</v>
      </c>
      <c r="E1415">
        <v>800</v>
      </c>
      <c r="F1415" s="11">
        <v>46145</v>
      </c>
      <c r="G1415" t="s">
        <v>62</v>
      </c>
      <c r="H1415" t="s">
        <v>105</v>
      </c>
      <c r="I1415">
        <v>800</v>
      </c>
      <c r="J1415" t="s">
        <v>23</v>
      </c>
      <c r="K1415" t="s">
        <v>29</v>
      </c>
      <c r="L1415" t="s">
        <v>25</v>
      </c>
      <c r="M1415" t="s">
        <v>134</v>
      </c>
      <c r="Q1415" s="1"/>
    </row>
    <row r="1416" spans="1:17" x14ac:dyDescent="0.3">
      <c r="A1416">
        <v>25</v>
      </c>
      <c r="B1416">
        <v>7</v>
      </c>
      <c r="C1416" s="11">
        <v>46145</v>
      </c>
      <c r="D1416" t="s">
        <v>20</v>
      </c>
      <c r="E1416">
        <v>100</v>
      </c>
      <c r="F1416" s="11">
        <v>46176</v>
      </c>
      <c r="G1416" t="s">
        <v>44</v>
      </c>
      <c r="H1416" t="s">
        <v>22</v>
      </c>
      <c r="I1416">
        <v>600</v>
      </c>
      <c r="J1416" t="s">
        <v>16</v>
      </c>
      <c r="K1416" t="s">
        <v>33</v>
      </c>
      <c r="L1416" t="s">
        <v>34</v>
      </c>
      <c r="M1416" t="s">
        <v>135</v>
      </c>
      <c r="Q1416" s="1"/>
    </row>
    <row r="1417" spans="1:17" x14ac:dyDescent="0.3">
      <c r="A1417">
        <v>48</v>
      </c>
      <c r="B1417">
        <v>16</v>
      </c>
      <c r="C1417" s="11">
        <v>46177</v>
      </c>
      <c r="D1417" t="s">
        <v>13</v>
      </c>
      <c r="E1417">
        <v>3000</v>
      </c>
      <c r="F1417" s="11">
        <v>46207</v>
      </c>
      <c r="G1417" t="s">
        <v>14</v>
      </c>
      <c r="H1417" t="s">
        <v>88</v>
      </c>
      <c r="I1417">
        <v>500</v>
      </c>
      <c r="J1417" t="s">
        <v>23</v>
      </c>
      <c r="K1417" t="s">
        <v>33</v>
      </c>
      <c r="L1417" t="s">
        <v>18</v>
      </c>
      <c r="M1417" t="s">
        <v>136</v>
      </c>
      <c r="Q1417" s="1"/>
    </row>
    <row r="1418" spans="1:17" x14ac:dyDescent="0.3">
      <c r="A1418">
        <v>8</v>
      </c>
      <c r="B1418">
        <v>3</v>
      </c>
      <c r="C1418" s="11" t="s">
        <v>52</v>
      </c>
      <c r="D1418" t="s">
        <v>20</v>
      </c>
      <c r="E1418">
        <v>300</v>
      </c>
      <c r="F1418" s="11">
        <v>46056</v>
      </c>
      <c r="G1418" t="s">
        <v>39</v>
      </c>
      <c r="H1418" t="s">
        <v>58</v>
      </c>
      <c r="I1418">
        <v>500</v>
      </c>
      <c r="J1418" t="s">
        <v>16</v>
      </c>
      <c r="K1418" t="s">
        <v>29</v>
      </c>
      <c r="L1418" t="s">
        <v>18</v>
      </c>
      <c r="M1418" t="s">
        <v>137</v>
      </c>
      <c r="Q1418" s="1"/>
    </row>
    <row r="1419" spans="1:17" x14ac:dyDescent="0.3">
      <c r="A1419">
        <v>36</v>
      </c>
      <c r="B1419">
        <v>12</v>
      </c>
      <c r="C1419" s="11">
        <v>46269</v>
      </c>
      <c r="D1419" t="s">
        <v>13</v>
      </c>
      <c r="E1419">
        <v>7000</v>
      </c>
      <c r="F1419" s="11">
        <v>46238</v>
      </c>
      <c r="G1419" t="s">
        <v>48</v>
      </c>
      <c r="H1419" t="s">
        <v>138</v>
      </c>
      <c r="I1419">
        <v>800</v>
      </c>
      <c r="J1419" t="s">
        <v>23</v>
      </c>
      <c r="K1419" t="s">
        <v>17</v>
      </c>
      <c r="L1419" t="s">
        <v>18</v>
      </c>
      <c r="M1419" t="s">
        <v>139</v>
      </c>
      <c r="Q1419" s="1"/>
    </row>
    <row r="1420" spans="1:17" x14ac:dyDescent="0.3">
      <c r="A1420">
        <v>19</v>
      </c>
      <c r="B1420">
        <v>5</v>
      </c>
      <c r="C1420" s="11">
        <v>46084</v>
      </c>
      <c r="D1420" t="s">
        <v>20</v>
      </c>
      <c r="E1420">
        <v>200</v>
      </c>
      <c r="F1420" s="11">
        <v>46115</v>
      </c>
      <c r="G1420" t="s">
        <v>31</v>
      </c>
      <c r="H1420" t="s">
        <v>112</v>
      </c>
      <c r="I1420">
        <v>100</v>
      </c>
      <c r="J1420" t="s">
        <v>16</v>
      </c>
      <c r="K1420" t="s">
        <v>33</v>
      </c>
      <c r="L1420" t="s">
        <v>25</v>
      </c>
      <c r="M1420" t="s">
        <v>140</v>
      </c>
      <c r="Q1420" s="1"/>
    </row>
    <row r="1421" spans="1:17" x14ac:dyDescent="0.3">
      <c r="A1421">
        <v>29</v>
      </c>
      <c r="B1421">
        <v>9</v>
      </c>
      <c r="C1421" s="11">
        <v>46207</v>
      </c>
      <c r="D1421" t="s">
        <v>20</v>
      </c>
      <c r="E1421">
        <v>900</v>
      </c>
      <c r="F1421" s="11">
        <v>46146</v>
      </c>
      <c r="G1421" t="s">
        <v>60</v>
      </c>
      <c r="H1421" t="s">
        <v>84</v>
      </c>
      <c r="I1421">
        <v>700</v>
      </c>
      <c r="J1421" t="s">
        <v>23</v>
      </c>
      <c r="K1421" t="s">
        <v>17</v>
      </c>
      <c r="L1421" t="s">
        <v>18</v>
      </c>
      <c r="M1421" t="s">
        <v>51</v>
      </c>
      <c r="Q1421" s="1"/>
    </row>
    <row r="1422" spans="1:17" x14ac:dyDescent="0.3">
      <c r="A1422">
        <v>12</v>
      </c>
      <c r="B1422">
        <v>4</v>
      </c>
      <c r="C1422" s="11">
        <v>46236</v>
      </c>
      <c r="D1422" t="s">
        <v>20</v>
      </c>
      <c r="E1422">
        <v>1000</v>
      </c>
      <c r="F1422" s="11" t="s">
        <v>52</v>
      </c>
      <c r="G1422" t="s">
        <v>83</v>
      </c>
      <c r="H1422" t="s">
        <v>45</v>
      </c>
      <c r="I1422">
        <v>200</v>
      </c>
      <c r="J1422" t="s">
        <v>23</v>
      </c>
      <c r="K1422" t="s">
        <v>24</v>
      </c>
      <c r="L1422" t="s">
        <v>34</v>
      </c>
      <c r="M1422" t="s">
        <v>141</v>
      </c>
      <c r="Q1422" s="1"/>
    </row>
    <row r="1423" spans="1:17" x14ac:dyDescent="0.3">
      <c r="A1423">
        <v>45</v>
      </c>
      <c r="B1423">
        <v>14</v>
      </c>
      <c r="C1423" s="11">
        <v>46207</v>
      </c>
      <c r="D1423" t="s">
        <v>13</v>
      </c>
      <c r="E1423">
        <v>2500</v>
      </c>
      <c r="F1423" s="11">
        <v>46269</v>
      </c>
      <c r="G1423" t="s">
        <v>78</v>
      </c>
      <c r="H1423" t="s">
        <v>86</v>
      </c>
      <c r="I1423">
        <v>600</v>
      </c>
      <c r="J1423" t="s">
        <v>16</v>
      </c>
      <c r="K1423" t="s">
        <v>33</v>
      </c>
      <c r="L1423" t="s">
        <v>18</v>
      </c>
      <c r="M1423" t="s">
        <v>127</v>
      </c>
      <c r="Q1423" s="1"/>
    </row>
    <row r="1424" spans="1:17" x14ac:dyDescent="0.3">
      <c r="A1424">
        <v>6</v>
      </c>
      <c r="B1424">
        <v>2</v>
      </c>
      <c r="C1424" s="11">
        <v>46144</v>
      </c>
      <c r="D1424" t="s">
        <v>20</v>
      </c>
      <c r="E1424">
        <v>500</v>
      </c>
      <c r="F1424" s="11">
        <v>46175</v>
      </c>
      <c r="G1424" t="s">
        <v>59</v>
      </c>
      <c r="H1424" t="s">
        <v>38</v>
      </c>
      <c r="I1424">
        <v>400</v>
      </c>
      <c r="J1424" t="s">
        <v>23</v>
      </c>
      <c r="K1424" t="s">
        <v>24</v>
      </c>
      <c r="L1424" t="s">
        <v>25</v>
      </c>
      <c r="M1424" t="s">
        <v>46</v>
      </c>
      <c r="Q1424" s="1"/>
    </row>
    <row r="1425" spans="1:17" x14ac:dyDescent="0.3">
      <c r="A1425">
        <v>31</v>
      </c>
      <c r="B1425">
        <v>11</v>
      </c>
      <c r="C1425" s="11">
        <v>46116</v>
      </c>
      <c r="D1425" t="s">
        <v>13</v>
      </c>
      <c r="E1425">
        <v>600</v>
      </c>
      <c r="F1425" s="11">
        <v>46085</v>
      </c>
      <c r="G1425" t="s">
        <v>42</v>
      </c>
      <c r="H1425" t="s">
        <v>30</v>
      </c>
      <c r="I1425">
        <v>400</v>
      </c>
      <c r="J1425" t="s">
        <v>16</v>
      </c>
      <c r="K1425" t="s">
        <v>33</v>
      </c>
      <c r="L1425" t="s">
        <v>34</v>
      </c>
      <c r="M1425" t="s">
        <v>142</v>
      </c>
      <c r="Q1425" s="1"/>
    </row>
    <row r="1426" spans="1:17" x14ac:dyDescent="0.3">
      <c r="A1426">
        <v>14</v>
      </c>
      <c r="B1426">
        <v>3</v>
      </c>
      <c r="C1426" s="11">
        <v>46056</v>
      </c>
      <c r="D1426" t="s">
        <v>20</v>
      </c>
      <c r="E1426">
        <v>150</v>
      </c>
      <c r="F1426" s="11" t="s">
        <v>52</v>
      </c>
      <c r="G1426" t="s">
        <v>70</v>
      </c>
      <c r="H1426" t="s">
        <v>54</v>
      </c>
      <c r="I1426">
        <v>100</v>
      </c>
      <c r="J1426" t="s">
        <v>23</v>
      </c>
      <c r="K1426" t="s">
        <v>33</v>
      </c>
      <c r="L1426" t="s">
        <v>18</v>
      </c>
      <c r="M1426" t="s">
        <v>143</v>
      </c>
      <c r="Q1426" s="1"/>
    </row>
    <row r="1427" spans="1:17" x14ac:dyDescent="0.3">
      <c r="A1427">
        <v>39</v>
      </c>
      <c r="B1427">
        <v>10</v>
      </c>
      <c r="C1427" s="11">
        <v>46085</v>
      </c>
      <c r="D1427" t="s">
        <v>13</v>
      </c>
      <c r="E1427">
        <v>4000</v>
      </c>
      <c r="F1427" s="11">
        <v>46146</v>
      </c>
      <c r="G1427" t="s">
        <v>47</v>
      </c>
      <c r="H1427" t="s">
        <v>103</v>
      </c>
      <c r="I1427">
        <v>2000</v>
      </c>
      <c r="J1427" t="s">
        <v>16</v>
      </c>
      <c r="K1427" t="s">
        <v>33</v>
      </c>
      <c r="L1427" t="s">
        <v>25</v>
      </c>
      <c r="M1427" t="s">
        <v>85</v>
      </c>
      <c r="Q1427" s="1"/>
    </row>
    <row r="1428" spans="1:17" x14ac:dyDescent="0.3">
      <c r="A1428">
        <v>22</v>
      </c>
      <c r="B1428">
        <v>8</v>
      </c>
      <c r="C1428" s="11">
        <v>46026</v>
      </c>
      <c r="D1428" t="s">
        <v>13</v>
      </c>
      <c r="E1428">
        <v>800</v>
      </c>
      <c r="F1428" s="11">
        <v>46057</v>
      </c>
      <c r="G1428" t="s">
        <v>66</v>
      </c>
      <c r="H1428" t="s">
        <v>90</v>
      </c>
      <c r="I1428">
        <v>800</v>
      </c>
      <c r="J1428" t="s">
        <v>16</v>
      </c>
      <c r="K1428" t="s">
        <v>33</v>
      </c>
      <c r="L1428" t="s">
        <v>25</v>
      </c>
      <c r="M1428" t="s">
        <v>144</v>
      </c>
      <c r="Q1428" s="1"/>
    </row>
    <row r="1429" spans="1:17" x14ac:dyDescent="0.3">
      <c r="A1429">
        <v>4</v>
      </c>
      <c r="B1429">
        <v>1</v>
      </c>
      <c r="C1429" s="11" t="s">
        <v>56</v>
      </c>
      <c r="D1429" t="s">
        <v>20</v>
      </c>
      <c r="E1429">
        <v>1000</v>
      </c>
      <c r="F1429" s="11">
        <v>46024</v>
      </c>
      <c r="G1429" t="s">
        <v>53</v>
      </c>
      <c r="H1429" t="s">
        <v>104</v>
      </c>
      <c r="I1429">
        <v>200</v>
      </c>
      <c r="J1429" t="s">
        <v>23</v>
      </c>
      <c r="K1429" t="s">
        <v>17</v>
      </c>
      <c r="L1429" t="s">
        <v>25</v>
      </c>
      <c r="M1429" t="s">
        <v>119</v>
      </c>
      <c r="Q1429" s="1"/>
    </row>
    <row r="1430" spans="1:17" x14ac:dyDescent="0.3">
      <c r="A1430">
        <v>47</v>
      </c>
      <c r="B1430">
        <v>15</v>
      </c>
      <c r="C1430" s="11">
        <v>46238</v>
      </c>
      <c r="D1430" t="s">
        <v>20</v>
      </c>
      <c r="E1430">
        <v>2000</v>
      </c>
      <c r="F1430" s="11">
        <v>46207</v>
      </c>
      <c r="G1430" t="s">
        <v>27</v>
      </c>
      <c r="H1430" t="s">
        <v>15</v>
      </c>
      <c r="I1430">
        <v>1000</v>
      </c>
      <c r="J1430" t="s">
        <v>23</v>
      </c>
      <c r="K1430" t="s">
        <v>17</v>
      </c>
      <c r="L1430" t="s">
        <v>25</v>
      </c>
      <c r="M1430" t="s">
        <v>145</v>
      </c>
      <c r="Q1430" s="1"/>
    </row>
    <row r="1431" spans="1:17" x14ac:dyDescent="0.3">
      <c r="A1431">
        <v>11</v>
      </c>
      <c r="B1431">
        <v>3</v>
      </c>
      <c r="C1431" s="11" t="s">
        <v>52</v>
      </c>
      <c r="D1431" t="s">
        <v>13</v>
      </c>
      <c r="E1431">
        <v>100</v>
      </c>
      <c r="F1431" s="11">
        <v>46025</v>
      </c>
      <c r="G1431" t="s">
        <v>50</v>
      </c>
      <c r="H1431" t="s">
        <v>67</v>
      </c>
      <c r="I1431">
        <v>900</v>
      </c>
      <c r="J1431" t="s">
        <v>16</v>
      </c>
      <c r="K1431" t="s">
        <v>24</v>
      </c>
      <c r="L1431" t="s">
        <v>18</v>
      </c>
      <c r="M1431" t="s">
        <v>146</v>
      </c>
      <c r="Q1431" s="1"/>
    </row>
    <row r="1432" spans="1:17" x14ac:dyDescent="0.3">
      <c r="A1432">
        <v>37</v>
      </c>
      <c r="B1432">
        <v>13</v>
      </c>
      <c r="C1432" s="11">
        <v>46146</v>
      </c>
      <c r="D1432" t="s">
        <v>13</v>
      </c>
      <c r="E1432">
        <v>700</v>
      </c>
      <c r="F1432" s="11">
        <v>46116</v>
      </c>
      <c r="G1432" t="s">
        <v>72</v>
      </c>
      <c r="H1432" t="s">
        <v>51</v>
      </c>
      <c r="I1432">
        <v>500</v>
      </c>
      <c r="J1432" t="s">
        <v>16</v>
      </c>
      <c r="K1432" t="s">
        <v>33</v>
      </c>
      <c r="L1432" t="s">
        <v>18</v>
      </c>
      <c r="M1432" t="s">
        <v>93</v>
      </c>
      <c r="Q1432" s="1"/>
    </row>
    <row r="1433" spans="1:17" x14ac:dyDescent="0.3">
      <c r="A1433">
        <v>17</v>
      </c>
      <c r="B1433">
        <v>6</v>
      </c>
      <c r="C1433" s="11">
        <v>46237</v>
      </c>
      <c r="D1433" t="s">
        <v>20</v>
      </c>
      <c r="E1433">
        <v>3000</v>
      </c>
      <c r="F1433" s="11">
        <v>46206</v>
      </c>
      <c r="G1433" t="s">
        <v>44</v>
      </c>
      <c r="H1433" t="s">
        <v>101</v>
      </c>
      <c r="I1433">
        <v>10000</v>
      </c>
      <c r="J1433" t="s">
        <v>16</v>
      </c>
      <c r="K1433" t="s">
        <v>29</v>
      </c>
      <c r="L1433" t="s">
        <v>25</v>
      </c>
      <c r="M1433" t="s">
        <v>147</v>
      </c>
      <c r="Q1433" s="1"/>
    </row>
    <row r="1434" spans="1:17" x14ac:dyDescent="0.3">
      <c r="A1434">
        <v>42</v>
      </c>
      <c r="B1434">
        <v>17</v>
      </c>
      <c r="C1434" s="11">
        <v>46269</v>
      </c>
      <c r="D1434" t="s">
        <v>13</v>
      </c>
      <c r="E1434">
        <v>100</v>
      </c>
      <c r="F1434" s="11">
        <v>46238</v>
      </c>
      <c r="G1434" t="s">
        <v>39</v>
      </c>
      <c r="H1434" t="s">
        <v>19</v>
      </c>
      <c r="I1434">
        <v>300</v>
      </c>
      <c r="J1434" t="s">
        <v>16</v>
      </c>
      <c r="K1434" t="s">
        <v>33</v>
      </c>
      <c r="L1434" t="s">
        <v>18</v>
      </c>
      <c r="M1434" t="s">
        <v>86</v>
      </c>
      <c r="Q1434" s="1"/>
    </row>
    <row r="1435" spans="1:17" x14ac:dyDescent="0.3">
      <c r="A1435">
        <v>9</v>
      </c>
      <c r="B1435">
        <v>2</v>
      </c>
      <c r="C1435" s="11">
        <v>46236</v>
      </c>
      <c r="D1435" t="s">
        <v>13</v>
      </c>
      <c r="E1435">
        <v>400</v>
      </c>
      <c r="F1435" s="11" t="s">
        <v>52</v>
      </c>
      <c r="G1435" t="s">
        <v>69</v>
      </c>
      <c r="H1435" t="s">
        <v>22</v>
      </c>
      <c r="I1435">
        <v>600</v>
      </c>
      <c r="J1435" t="s">
        <v>23</v>
      </c>
      <c r="K1435" t="s">
        <v>29</v>
      </c>
      <c r="L1435" t="s">
        <v>18</v>
      </c>
      <c r="M1435" t="s">
        <v>148</v>
      </c>
      <c r="Q1435" s="1"/>
    </row>
    <row r="1436" spans="1:17" x14ac:dyDescent="0.3">
      <c r="A1436">
        <v>35</v>
      </c>
      <c r="B1436">
        <v>12</v>
      </c>
      <c r="C1436" s="11">
        <v>46177</v>
      </c>
      <c r="D1436" t="s">
        <v>20</v>
      </c>
      <c r="E1436">
        <v>6000</v>
      </c>
      <c r="F1436" s="11">
        <v>46238</v>
      </c>
      <c r="G1436" t="s">
        <v>60</v>
      </c>
      <c r="H1436" t="s">
        <v>93</v>
      </c>
      <c r="I1436">
        <v>900</v>
      </c>
      <c r="J1436" t="s">
        <v>23</v>
      </c>
      <c r="K1436" t="s">
        <v>33</v>
      </c>
      <c r="L1436" t="s">
        <v>34</v>
      </c>
      <c r="M1436" t="s">
        <v>138</v>
      </c>
      <c r="Q1436" s="1"/>
    </row>
    <row r="1437" spans="1:17" x14ac:dyDescent="0.3">
      <c r="A1437">
        <v>24</v>
      </c>
      <c r="B1437">
        <v>8</v>
      </c>
      <c r="C1437" s="11">
        <v>46268</v>
      </c>
      <c r="D1437" t="s">
        <v>20</v>
      </c>
      <c r="E1437">
        <v>1500</v>
      </c>
      <c r="F1437" s="11">
        <v>46145</v>
      </c>
      <c r="G1437" t="s">
        <v>66</v>
      </c>
      <c r="H1437" t="s">
        <v>113</v>
      </c>
      <c r="I1437">
        <v>300</v>
      </c>
      <c r="J1437" t="s">
        <v>16</v>
      </c>
      <c r="K1437" t="s">
        <v>17</v>
      </c>
      <c r="L1437" t="s">
        <v>34</v>
      </c>
      <c r="M1437" t="s">
        <v>149</v>
      </c>
      <c r="Q1437" s="1"/>
    </row>
    <row r="1438" spans="1:17" x14ac:dyDescent="0.3">
      <c r="A1438">
        <v>3</v>
      </c>
      <c r="B1438">
        <v>0</v>
      </c>
      <c r="C1438" s="11">
        <v>46143</v>
      </c>
      <c r="D1438" t="s">
        <v>13</v>
      </c>
      <c r="E1438">
        <v>1000</v>
      </c>
      <c r="F1438" s="11">
        <v>46235</v>
      </c>
      <c r="G1438" t="s">
        <v>78</v>
      </c>
      <c r="H1438" t="s">
        <v>106</v>
      </c>
      <c r="I1438">
        <v>200</v>
      </c>
      <c r="J1438" t="s">
        <v>23</v>
      </c>
      <c r="K1438" t="s">
        <v>24</v>
      </c>
      <c r="L1438" t="s">
        <v>34</v>
      </c>
      <c r="M1438" t="s">
        <v>111</v>
      </c>
      <c r="Q1438" s="1"/>
    </row>
    <row r="1439" spans="1:17" x14ac:dyDescent="0.3">
      <c r="A1439">
        <v>46</v>
      </c>
      <c r="B1439">
        <v>18</v>
      </c>
      <c r="C1439" s="11">
        <v>46207</v>
      </c>
      <c r="D1439" t="s">
        <v>20</v>
      </c>
      <c r="E1439">
        <v>700</v>
      </c>
      <c r="F1439" s="11">
        <v>46269</v>
      </c>
      <c r="G1439" t="s">
        <v>95</v>
      </c>
      <c r="H1439" t="s">
        <v>87</v>
      </c>
      <c r="I1439">
        <v>400</v>
      </c>
      <c r="J1439" t="s">
        <v>16</v>
      </c>
      <c r="K1439" t="s">
        <v>17</v>
      </c>
      <c r="L1439" t="s">
        <v>18</v>
      </c>
      <c r="M1439" t="s">
        <v>150</v>
      </c>
      <c r="Q1439" s="1"/>
    </row>
    <row r="1440" spans="1:17" x14ac:dyDescent="0.3">
      <c r="A1440">
        <v>16</v>
      </c>
      <c r="B1440">
        <v>5</v>
      </c>
      <c r="C1440" s="11">
        <v>46206</v>
      </c>
      <c r="D1440" t="s">
        <v>13</v>
      </c>
      <c r="E1440">
        <v>200</v>
      </c>
      <c r="F1440" s="11">
        <v>46176</v>
      </c>
      <c r="G1440" t="s">
        <v>48</v>
      </c>
      <c r="H1440" t="s">
        <v>105</v>
      </c>
      <c r="I1440">
        <v>800</v>
      </c>
      <c r="J1440" t="s">
        <v>16</v>
      </c>
      <c r="K1440" t="s">
        <v>33</v>
      </c>
      <c r="L1440" t="s">
        <v>25</v>
      </c>
      <c r="M1440" t="s">
        <v>151</v>
      </c>
      <c r="Q1440" s="1"/>
    </row>
    <row r="1441" spans="1:17" x14ac:dyDescent="0.3">
      <c r="A1441">
        <v>28</v>
      </c>
      <c r="B1441">
        <v>10</v>
      </c>
      <c r="C1441" s="11">
        <v>46085</v>
      </c>
      <c r="D1441" t="s">
        <v>13</v>
      </c>
      <c r="E1441">
        <v>900</v>
      </c>
      <c r="F1441" s="11">
        <v>46116</v>
      </c>
      <c r="G1441" t="s">
        <v>69</v>
      </c>
      <c r="H1441" t="s">
        <v>92</v>
      </c>
      <c r="I1441">
        <v>400</v>
      </c>
      <c r="J1441" t="s">
        <v>23</v>
      </c>
      <c r="K1441" t="s">
        <v>33</v>
      </c>
      <c r="L1441" t="s">
        <v>25</v>
      </c>
      <c r="M1441" t="s">
        <v>142</v>
      </c>
      <c r="Q1441" s="1"/>
    </row>
    <row r="1442" spans="1:17" x14ac:dyDescent="0.3">
      <c r="A1442">
        <v>13</v>
      </c>
      <c r="B1442">
        <v>4</v>
      </c>
      <c r="C1442" s="11">
        <v>46205</v>
      </c>
      <c r="D1442" t="s">
        <v>20</v>
      </c>
      <c r="E1442">
        <v>2000</v>
      </c>
      <c r="F1442" s="11" t="s">
        <v>52</v>
      </c>
      <c r="G1442" t="s">
        <v>39</v>
      </c>
      <c r="H1442" t="s">
        <v>45</v>
      </c>
      <c r="I1442">
        <v>600</v>
      </c>
      <c r="J1442" t="s">
        <v>16</v>
      </c>
      <c r="K1442" t="s">
        <v>29</v>
      </c>
      <c r="L1442" t="s">
        <v>18</v>
      </c>
      <c r="M1442" t="s">
        <v>152</v>
      </c>
      <c r="Q1442" s="1"/>
    </row>
    <row r="1443" spans="1:17" x14ac:dyDescent="0.3">
      <c r="A1443">
        <v>47</v>
      </c>
      <c r="B1443">
        <v>14</v>
      </c>
      <c r="C1443" s="11">
        <v>46238</v>
      </c>
      <c r="D1443" t="s">
        <v>13</v>
      </c>
      <c r="E1443">
        <v>700</v>
      </c>
      <c r="F1443" s="11">
        <v>46269</v>
      </c>
      <c r="G1443" t="s">
        <v>66</v>
      </c>
      <c r="H1443" t="s">
        <v>49</v>
      </c>
      <c r="I1443">
        <v>500</v>
      </c>
      <c r="J1443" t="s">
        <v>23</v>
      </c>
      <c r="K1443" t="s">
        <v>17</v>
      </c>
      <c r="L1443" t="s">
        <v>18</v>
      </c>
      <c r="M1443" t="s">
        <v>153</v>
      </c>
      <c r="Q1443" s="1"/>
    </row>
    <row r="1444" spans="1:17" x14ac:dyDescent="0.3">
      <c r="A1444">
        <v>6</v>
      </c>
      <c r="B1444">
        <v>2</v>
      </c>
      <c r="C1444" s="11">
        <v>46083</v>
      </c>
      <c r="D1444" t="s">
        <v>13</v>
      </c>
      <c r="E1444">
        <v>100</v>
      </c>
      <c r="F1444" s="11">
        <v>46114</v>
      </c>
      <c r="G1444" t="s">
        <v>27</v>
      </c>
      <c r="H1444" t="s">
        <v>38</v>
      </c>
      <c r="I1444">
        <v>300</v>
      </c>
      <c r="J1444" t="s">
        <v>23</v>
      </c>
      <c r="K1444" t="s">
        <v>33</v>
      </c>
      <c r="L1444" t="s">
        <v>34</v>
      </c>
      <c r="M1444" t="s">
        <v>154</v>
      </c>
      <c r="Q1444" s="1"/>
    </row>
    <row r="1445" spans="1:17" x14ac:dyDescent="0.3">
      <c r="A1445">
        <v>30</v>
      </c>
      <c r="B1445">
        <v>11</v>
      </c>
      <c r="C1445" s="11">
        <v>46146</v>
      </c>
      <c r="D1445" t="s">
        <v>20</v>
      </c>
      <c r="E1445">
        <v>600</v>
      </c>
      <c r="F1445" s="11">
        <v>46177</v>
      </c>
      <c r="G1445" t="s">
        <v>72</v>
      </c>
      <c r="H1445" t="s">
        <v>30</v>
      </c>
      <c r="I1445">
        <v>300</v>
      </c>
      <c r="J1445" t="s">
        <v>16</v>
      </c>
      <c r="K1445" t="s">
        <v>17</v>
      </c>
      <c r="L1445" t="s">
        <v>25</v>
      </c>
      <c r="M1445" t="s">
        <v>133</v>
      </c>
      <c r="Q1445" s="1"/>
    </row>
    <row r="1446" spans="1:17" x14ac:dyDescent="0.3">
      <c r="A1446">
        <v>14</v>
      </c>
      <c r="B1446">
        <v>5</v>
      </c>
      <c r="C1446" s="11" t="s">
        <v>52</v>
      </c>
      <c r="D1446" t="s">
        <v>13</v>
      </c>
      <c r="E1446">
        <v>5000</v>
      </c>
      <c r="F1446" s="11">
        <v>46145</v>
      </c>
      <c r="G1446" t="s">
        <v>82</v>
      </c>
      <c r="H1446" t="s">
        <v>32</v>
      </c>
      <c r="I1446">
        <v>10000</v>
      </c>
      <c r="J1446" t="s">
        <v>16</v>
      </c>
      <c r="K1446" t="s">
        <v>29</v>
      </c>
      <c r="L1446" t="s">
        <v>25</v>
      </c>
      <c r="M1446" t="s">
        <v>155</v>
      </c>
      <c r="Q1446" s="1"/>
    </row>
    <row r="1447" spans="1:17" x14ac:dyDescent="0.3">
      <c r="A1447">
        <v>41</v>
      </c>
      <c r="B1447">
        <v>13</v>
      </c>
      <c r="C1447" s="11">
        <v>46207</v>
      </c>
      <c r="D1447" t="s">
        <v>20</v>
      </c>
      <c r="E1447">
        <v>300</v>
      </c>
      <c r="F1447" s="11">
        <v>46177</v>
      </c>
      <c r="G1447" t="s">
        <v>48</v>
      </c>
      <c r="H1447" t="s">
        <v>15</v>
      </c>
      <c r="I1447">
        <v>500</v>
      </c>
      <c r="J1447" t="s">
        <v>23</v>
      </c>
      <c r="K1447" t="s">
        <v>17</v>
      </c>
      <c r="L1447" t="s">
        <v>34</v>
      </c>
      <c r="M1447" t="s">
        <v>131</v>
      </c>
      <c r="Q1447" s="1"/>
    </row>
    <row r="1448" spans="1:17" x14ac:dyDescent="0.3">
      <c r="A1448">
        <v>9</v>
      </c>
      <c r="B1448">
        <v>3</v>
      </c>
      <c r="C1448" s="11">
        <v>46144</v>
      </c>
      <c r="D1448" t="s">
        <v>13</v>
      </c>
      <c r="E1448">
        <v>700</v>
      </c>
      <c r="F1448" s="11">
        <v>46175</v>
      </c>
      <c r="G1448" t="s">
        <v>48</v>
      </c>
      <c r="H1448" t="s">
        <v>54</v>
      </c>
      <c r="I1448">
        <v>400</v>
      </c>
      <c r="J1448" t="s">
        <v>23</v>
      </c>
      <c r="K1448" t="s">
        <v>24</v>
      </c>
      <c r="L1448" t="s">
        <v>18</v>
      </c>
      <c r="M1448" t="s">
        <v>156</v>
      </c>
      <c r="Q1448" s="1"/>
    </row>
    <row r="1449" spans="1:17" x14ac:dyDescent="0.3">
      <c r="A1449">
        <v>34</v>
      </c>
      <c r="B1449">
        <v>12</v>
      </c>
      <c r="C1449" s="11">
        <v>46177</v>
      </c>
      <c r="D1449" t="s">
        <v>13</v>
      </c>
      <c r="E1449">
        <v>2000</v>
      </c>
      <c r="F1449" s="11">
        <v>46207</v>
      </c>
      <c r="G1449" t="s">
        <v>60</v>
      </c>
      <c r="H1449" t="s">
        <v>94</v>
      </c>
      <c r="I1449">
        <v>800</v>
      </c>
      <c r="J1449" t="s">
        <v>23</v>
      </c>
      <c r="K1449" t="s">
        <v>33</v>
      </c>
      <c r="L1449" t="s">
        <v>18</v>
      </c>
      <c r="M1449" t="s">
        <v>157</v>
      </c>
      <c r="Q1449" s="1"/>
    </row>
    <row r="1450" spans="1:17" x14ac:dyDescent="0.3">
      <c r="A1450">
        <v>18</v>
      </c>
      <c r="B1450">
        <v>7</v>
      </c>
      <c r="C1450" s="11">
        <v>46176</v>
      </c>
      <c r="D1450" t="s">
        <v>20</v>
      </c>
      <c r="E1450">
        <v>800</v>
      </c>
      <c r="F1450" s="11">
        <v>46237</v>
      </c>
      <c r="G1450" t="s">
        <v>39</v>
      </c>
      <c r="H1450" t="s">
        <v>43</v>
      </c>
      <c r="I1450">
        <v>1000</v>
      </c>
      <c r="J1450" t="s">
        <v>23</v>
      </c>
      <c r="K1450" t="s">
        <v>17</v>
      </c>
      <c r="L1450" t="s">
        <v>18</v>
      </c>
      <c r="M1450" t="s">
        <v>158</v>
      </c>
      <c r="Q1450" s="1"/>
    </row>
    <row r="1451" spans="1:17" x14ac:dyDescent="0.3">
      <c r="A1451">
        <v>50</v>
      </c>
      <c r="B1451">
        <v>20</v>
      </c>
      <c r="C1451" s="11" t="s">
        <v>81</v>
      </c>
      <c r="D1451" t="s">
        <v>13</v>
      </c>
      <c r="E1451">
        <v>100</v>
      </c>
      <c r="F1451" s="11" t="s">
        <v>81</v>
      </c>
      <c r="G1451" t="s">
        <v>80</v>
      </c>
      <c r="H1451" t="s">
        <v>40</v>
      </c>
      <c r="I1451">
        <v>900</v>
      </c>
      <c r="J1451" t="s">
        <v>16</v>
      </c>
      <c r="K1451" t="s">
        <v>33</v>
      </c>
      <c r="L1451" t="s">
        <v>18</v>
      </c>
      <c r="M1451" t="s">
        <v>159</v>
      </c>
      <c r="Q1451" s="1"/>
    </row>
    <row r="1452" spans="1:17" x14ac:dyDescent="0.3">
      <c r="A1452">
        <v>11</v>
      </c>
      <c r="B1452">
        <v>4</v>
      </c>
      <c r="C1452" s="11">
        <v>46025</v>
      </c>
      <c r="D1452" t="s">
        <v>20</v>
      </c>
      <c r="E1452">
        <v>400</v>
      </c>
      <c r="F1452" s="11">
        <v>46056</v>
      </c>
      <c r="G1452" t="s">
        <v>95</v>
      </c>
      <c r="H1452" t="s">
        <v>67</v>
      </c>
      <c r="I1452">
        <v>600</v>
      </c>
      <c r="J1452" t="s">
        <v>23</v>
      </c>
      <c r="K1452" t="s">
        <v>24</v>
      </c>
      <c r="L1452" t="s">
        <v>25</v>
      </c>
      <c r="M1452" t="s">
        <v>101</v>
      </c>
      <c r="Q1452" s="1"/>
    </row>
    <row r="1453" spans="1:17" x14ac:dyDescent="0.3">
      <c r="A1453">
        <v>38</v>
      </c>
      <c r="B1453">
        <v>14</v>
      </c>
      <c r="C1453" s="11">
        <v>46269</v>
      </c>
      <c r="D1453" t="s">
        <v>20</v>
      </c>
      <c r="E1453">
        <v>7000</v>
      </c>
      <c r="F1453" s="11">
        <v>46238</v>
      </c>
      <c r="G1453" t="s">
        <v>42</v>
      </c>
      <c r="H1453" t="s">
        <v>19</v>
      </c>
      <c r="I1453">
        <v>900</v>
      </c>
      <c r="J1453" t="s">
        <v>23</v>
      </c>
      <c r="K1453" t="s">
        <v>33</v>
      </c>
      <c r="L1453" t="s">
        <v>34</v>
      </c>
      <c r="M1453" t="s">
        <v>87</v>
      </c>
      <c r="Q1453" s="1"/>
    </row>
    <row r="1454" spans="1:17" x14ac:dyDescent="0.3">
      <c r="A1454">
        <v>23</v>
      </c>
      <c r="B1454">
        <v>9</v>
      </c>
      <c r="C1454" s="11">
        <v>46116</v>
      </c>
      <c r="D1454" t="s">
        <v>13</v>
      </c>
      <c r="E1454">
        <v>3000</v>
      </c>
      <c r="F1454" s="11">
        <v>46146</v>
      </c>
      <c r="G1454" t="s">
        <v>48</v>
      </c>
      <c r="H1454" t="s">
        <v>91</v>
      </c>
      <c r="I1454">
        <v>800</v>
      </c>
      <c r="J1454" t="s">
        <v>16</v>
      </c>
      <c r="K1454" t="s">
        <v>17</v>
      </c>
      <c r="L1454" t="s">
        <v>25</v>
      </c>
      <c r="M1454" t="s">
        <v>160</v>
      </c>
      <c r="Q1454" s="1"/>
    </row>
    <row r="1455" spans="1:17" x14ac:dyDescent="0.3">
      <c r="A1455">
        <v>8</v>
      </c>
      <c r="B1455">
        <v>2</v>
      </c>
      <c r="C1455" s="11">
        <v>46055</v>
      </c>
      <c r="D1455" t="s">
        <v>20</v>
      </c>
      <c r="E1455">
        <v>1000</v>
      </c>
      <c r="F1455" s="11">
        <v>46083</v>
      </c>
      <c r="G1455" t="s">
        <v>39</v>
      </c>
      <c r="H1455" t="s">
        <v>112</v>
      </c>
      <c r="I1455">
        <v>400</v>
      </c>
      <c r="J1455" t="s">
        <v>16</v>
      </c>
      <c r="K1455" t="s">
        <v>33</v>
      </c>
      <c r="L1455" t="s">
        <v>34</v>
      </c>
      <c r="M1455" t="s">
        <v>161</v>
      </c>
      <c r="Q1455" s="1"/>
    </row>
    <row r="1456" spans="1:17" x14ac:dyDescent="0.3">
      <c r="A1456">
        <v>35</v>
      </c>
      <c r="B1456">
        <v>11</v>
      </c>
      <c r="C1456" s="11">
        <v>46207</v>
      </c>
      <c r="D1456" t="s">
        <v>13</v>
      </c>
      <c r="E1456">
        <v>600</v>
      </c>
      <c r="F1456" s="11">
        <v>46238</v>
      </c>
      <c r="G1456" t="s">
        <v>31</v>
      </c>
      <c r="H1456" t="s">
        <v>88</v>
      </c>
      <c r="I1456">
        <v>600</v>
      </c>
      <c r="J1456" t="s">
        <v>23</v>
      </c>
      <c r="K1456" t="s">
        <v>33</v>
      </c>
      <c r="L1456" t="s">
        <v>18</v>
      </c>
      <c r="M1456" t="s">
        <v>162</v>
      </c>
      <c r="Q1456" s="1"/>
    </row>
    <row r="1457" spans="1:17" x14ac:dyDescent="0.3">
      <c r="A1457">
        <v>15</v>
      </c>
      <c r="B1457">
        <v>6</v>
      </c>
      <c r="C1457" s="11">
        <v>46145</v>
      </c>
      <c r="D1457" t="s">
        <v>20</v>
      </c>
      <c r="E1457">
        <v>200</v>
      </c>
      <c r="F1457" s="11">
        <v>46206</v>
      </c>
      <c r="G1457" t="s">
        <v>60</v>
      </c>
      <c r="H1457" t="s">
        <v>26</v>
      </c>
      <c r="I1457">
        <v>700</v>
      </c>
      <c r="J1457" t="s">
        <v>16</v>
      </c>
      <c r="K1457" t="s">
        <v>17</v>
      </c>
      <c r="L1457" t="s">
        <v>25</v>
      </c>
      <c r="M1457" t="s">
        <v>126</v>
      </c>
      <c r="Q1457" s="1"/>
    </row>
    <row r="1458" spans="1:17" x14ac:dyDescent="0.3">
      <c r="A1458">
        <v>42</v>
      </c>
      <c r="B1458">
        <v>15</v>
      </c>
      <c r="C1458" s="11">
        <v>46238</v>
      </c>
      <c r="D1458" t="s">
        <v>20</v>
      </c>
      <c r="E1458">
        <v>500</v>
      </c>
      <c r="F1458" s="11">
        <v>46269</v>
      </c>
      <c r="G1458" t="s">
        <v>66</v>
      </c>
      <c r="H1458" t="s">
        <v>87</v>
      </c>
      <c r="I1458">
        <v>700</v>
      </c>
      <c r="J1458" t="s">
        <v>16</v>
      </c>
      <c r="K1458" t="s">
        <v>33</v>
      </c>
      <c r="L1458" t="s">
        <v>25</v>
      </c>
      <c r="M1458" t="s">
        <v>138</v>
      </c>
      <c r="Q1458" s="1"/>
    </row>
    <row r="1459" spans="1:17" x14ac:dyDescent="0.3">
      <c r="A1459">
        <v>7</v>
      </c>
      <c r="B1459">
        <v>1</v>
      </c>
      <c r="C1459" s="11" t="s">
        <v>56</v>
      </c>
      <c r="D1459" t="s">
        <v>13</v>
      </c>
      <c r="E1459">
        <v>200</v>
      </c>
      <c r="F1459" s="11">
        <v>46024</v>
      </c>
      <c r="G1459" t="s">
        <v>72</v>
      </c>
      <c r="H1459" t="s">
        <v>104</v>
      </c>
      <c r="I1459">
        <v>200</v>
      </c>
      <c r="J1459" t="s">
        <v>23</v>
      </c>
      <c r="K1459" t="s">
        <v>33</v>
      </c>
      <c r="L1459" t="s">
        <v>18</v>
      </c>
      <c r="M1459" t="s">
        <v>46</v>
      </c>
      <c r="Q1459" s="1"/>
    </row>
    <row r="1460" spans="1:17" x14ac:dyDescent="0.3">
      <c r="A1460">
        <v>31</v>
      </c>
      <c r="B1460">
        <v>13</v>
      </c>
      <c r="C1460" s="11">
        <v>46146</v>
      </c>
      <c r="D1460" t="s">
        <v>20</v>
      </c>
      <c r="E1460">
        <v>4000</v>
      </c>
      <c r="F1460" s="11">
        <v>46177</v>
      </c>
      <c r="G1460" t="s">
        <v>47</v>
      </c>
      <c r="H1460" t="s">
        <v>51</v>
      </c>
      <c r="I1460">
        <v>800</v>
      </c>
      <c r="J1460" t="s">
        <v>23</v>
      </c>
      <c r="K1460" t="s">
        <v>33</v>
      </c>
      <c r="L1460" t="s">
        <v>34</v>
      </c>
      <c r="M1460" t="s">
        <v>88</v>
      </c>
      <c r="Q1460" s="1"/>
    </row>
    <row r="1461" spans="1:17" x14ac:dyDescent="0.3">
      <c r="A1461">
        <v>20</v>
      </c>
      <c r="B1461">
        <v>8</v>
      </c>
      <c r="C1461" s="11">
        <v>46206</v>
      </c>
      <c r="D1461" t="s">
        <v>13</v>
      </c>
      <c r="E1461">
        <v>1500</v>
      </c>
      <c r="F1461" s="11">
        <v>46237</v>
      </c>
      <c r="G1461" t="s">
        <v>50</v>
      </c>
      <c r="H1461" t="s">
        <v>61</v>
      </c>
      <c r="I1461">
        <v>1000</v>
      </c>
      <c r="J1461" t="s">
        <v>23</v>
      </c>
      <c r="K1461" t="s">
        <v>29</v>
      </c>
      <c r="L1461" t="s">
        <v>18</v>
      </c>
      <c r="M1461" t="s">
        <v>163</v>
      </c>
      <c r="Q1461" s="1"/>
    </row>
    <row r="1462" spans="1:17" x14ac:dyDescent="0.3">
      <c r="A1462">
        <v>49</v>
      </c>
      <c r="B1462">
        <v>19</v>
      </c>
      <c r="C1462" s="11">
        <v>46269</v>
      </c>
      <c r="D1462" t="s">
        <v>13</v>
      </c>
      <c r="E1462">
        <v>800</v>
      </c>
      <c r="F1462" s="11">
        <v>46207</v>
      </c>
      <c r="G1462" t="s">
        <v>69</v>
      </c>
      <c r="H1462" t="s">
        <v>19</v>
      </c>
      <c r="I1462">
        <v>500</v>
      </c>
      <c r="J1462" t="s">
        <v>16</v>
      </c>
      <c r="K1462" t="s">
        <v>17</v>
      </c>
      <c r="L1462" t="s">
        <v>18</v>
      </c>
      <c r="M1462" t="s">
        <v>15</v>
      </c>
      <c r="Q1462" s="1"/>
    </row>
    <row r="1463" spans="1:17" x14ac:dyDescent="0.3">
      <c r="A1463">
        <v>10</v>
      </c>
      <c r="B1463">
        <v>3</v>
      </c>
      <c r="C1463" s="11">
        <v>46267</v>
      </c>
      <c r="D1463" t="s">
        <v>20</v>
      </c>
      <c r="E1463">
        <v>100</v>
      </c>
      <c r="F1463" s="11" t="s">
        <v>52</v>
      </c>
      <c r="G1463" t="s">
        <v>39</v>
      </c>
      <c r="H1463" t="s">
        <v>58</v>
      </c>
      <c r="I1463">
        <v>400</v>
      </c>
      <c r="J1463" t="s">
        <v>16</v>
      </c>
      <c r="K1463" t="s">
        <v>24</v>
      </c>
      <c r="L1463" t="s">
        <v>25</v>
      </c>
      <c r="M1463" t="s">
        <v>164</v>
      </c>
      <c r="Q1463" s="1"/>
    </row>
    <row r="1464" spans="1:17" x14ac:dyDescent="0.3">
      <c r="A1464">
        <v>36</v>
      </c>
      <c r="B1464">
        <v>12</v>
      </c>
      <c r="C1464" s="11">
        <v>46177</v>
      </c>
      <c r="D1464" t="s">
        <v>20</v>
      </c>
      <c r="E1464">
        <v>1500</v>
      </c>
      <c r="F1464" s="11">
        <v>46146</v>
      </c>
      <c r="G1464" t="s">
        <v>78</v>
      </c>
      <c r="H1464" t="s">
        <v>15</v>
      </c>
      <c r="I1464">
        <v>600</v>
      </c>
      <c r="J1464" t="s">
        <v>16</v>
      </c>
      <c r="K1464" t="s">
        <v>17</v>
      </c>
      <c r="L1464" t="s">
        <v>25</v>
      </c>
      <c r="M1464" t="s">
        <v>150</v>
      </c>
      <c r="Q1464" s="1"/>
    </row>
    <row r="1465" spans="1:17" x14ac:dyDescent="0.3">
      <c r="A1465">
        <v>24</v>
      </c>
      <c r="B1465">
        <v>7</v>
      </c>
      <c r="C1465" s="11">
        <v>46237</v>
      </c>
      <c r="D1465" t="s">
        <v>13</v>
      </c>
      <c r="E1465">
        <v>5000</v>
      </c>
      <c r="F1465" s="11" t="s">
        <v>64</v>
      </c>
      <c r="G1465" t="s">
        <v>44</v>
      </c>
      <c r="H1465" t="s">
        <v>63</v>
      </c>
      <c r="I1465">
        <v>700</v>
      </c>
      <c r="J1465" t="s">
        <v>23</v>
      </c>
      <c r="K1465" t="s">
        <v>33</v>
      </c>
      <c r="L1465" t="s">
        <v>34</v>
      </c>
      <c r="M1465" t="s">
        <v>94</v>
      </c>
      <c r="Q1465" s="1"/>
    </row>
    <row r="1466" spans="1:17" x14ac:dyDescent="0.3">
      <c r="A1466">
        <v>45</v>
      </c>
      <c r="B1466">
        <v>16</v>
      </c>
      <c r="C1466" s="11">
        <v>46207</v>
      </c>
      <c r="D1466" t="s">
        <v>13</v>
      </c>
      <c r="E1466">
        <v>700</v>
      </c>
      <c r="F1466" s="11">
        <v>46269</v>
      </c>
      <c r="G1466" t="s">
        <v>48</v>
      </c>
      <c r="H1466" t="s">
        <v>138</v>
      </c>
      <c r="I1466">
        <v>300</v>
      </c>
      <c r="J1466" t="s">
        <v>23</v>
      </c>
      <c r="K1466" t="s">
        <v>33</v>
      </c>
      <c r="L1466" t="s">
        <v>25</v>
      </c>
      <c r="M1466" t="s">
        <v>19</v>
      </c>
      <c r="Q1466" s="1"/>
    </row>
    <row r="1467" spans="1:17" x14ac:dyDescent="0.3">
      <c r="A1467">
        <v>16</v>
      </c>
      <c r="B1467">
        <v>5</v>
      </c>
      <c r="C1467" s="11">
        <v>46056</v>
      </c>
      <c r="D1467" t="s">
        <v>20</v>
      </c>
      <c r="E1467">
        <v>200</v>
      </c>
      <c r="F1467" s="11">
        <v>46145</v>
      </c>
      <c r="G1467" t="s">
        <v>70</v>
      </c>
      <c r="H1467" t="s">
        <v>105</v>
      </c>
      <c r="I1467">
        <v>100</v>
      </c>
      <c r="J1467" t="s">
        <v>23</v>
      </c>
      <c r="K1467" t="s">
        <v>29</v>
      </c>
      <c r="L1467" t="s">
        <v>18</v>
      </c>
      <c r="M1467" t="s">
        <v>121</v>
      </c>
      <c r="Q1467" s="1"/>
    </row>
    <row r="1468" spans="1:17" x14ac:dyDescent="0.3">
      <c r="A1468">
        <v>29</v>
      </c>
      <c r="B1468">
        <v>10</v>
      </c>
      <c r="C1468" s="11">
        <v>46116</v>
      </c>
      <c r="D1468" t="s">
        <v>13</v>
      </c>
      <c r="E1468">
        <v>300</v>
      </c>
      <c r="F1468" s="11">
        <v>46085</v>
      </c>
      <c r="G1468" t="s">
        <v>39</v>
      </c>
      <c r="H1468" t="s">
        <v>92</v>
      </c>
      <c r="I1468">
        <v>500</v>
      </c>
      <c r="J1468" t="s">
        <v>23</v>
      </c>
      <c r="K1468" t="s">
        <v>33</v>
      </c>
      <c r="L1468" t="s">
        <v>18</v>
      </c>
      <c r="M1468" t="s">
        <v>92</v>
      </c>
      <c r="Q1468" s="1"/>
    </row>
    <row r="1469" spans="1:17" x14ac:dyDescent="0.3">
      <c r="A1469">
        <v>43</v>
      </c>
      <c r="B1469">
        <v>14</v>
      </c>
      <c r="C1469" s="11">
        <v>46238</v>
      </c>
      <c r="D1469" t="s">
        <v>20</v>
      </c>
      <c r="E1469">
        <v>6000</v>
      </c>
      <c r="F1469" s="11">
        <v>46269</v>
      </c>
      <c r="G1469" t="s">
        <v>42</v>
      </c>
      <c r="H1469" t="s">
        <v>86</v>
      </c>
      <c r="I1469">
        <v>800</v>
      </c>
      <c r="J1469" t="s">
        <v>16</v>
      </c>
      <c r="K1469" t="s">
        <v>17</v>
      </c>
      <c r="L1469" t="s">
        <v>34</v>
      </c>
      <c r="M1469" t="s">
        <v>49</v>
      </c>
      <c r="Q1469" s="1"/>
    </row>
    <row r="1470" spans="1:17" x14ac:dyDescent="0.3">
      <c r="A1470">
        <v>21</v>
      </c>
      <c r="B1470">
        <v>9</v>
      </c>
      <c r="C1470" s="11">
        <v>46026</v>
      </c>
      <c r="D1470" t="s">
        <v>20</v>
      </c>
      <c r="E1470">
        <v>800</v>
      </c>
      <c r="F1470" s="11">
        <v>46085</v>
      </c>
      <c r="G1470" t="s">
        <v>69</v>
      </c>
      <c r="H1470" t="s">
        <v>90</v>
      </c>
      <c r="I1470">
        <v>1000</v>
      </c>
      <c r="J1470" t="s">
        <v>23</v>
      </c>
      <c r="K1470" t="s">
        <v>33</v>
      </c>
      <c r="L1470" t="s">
        <v>25</v>
      </c>
      <c r="M1470" t="s">
        <v>92</v>
      </c>
      <c r="Q1470" s="1"/>
    </row>
    <row r="1471" spans="1:17" x14ac:dyDescent="0.3">
      <c r="A1471">
        <v>5</v>
      </c>
      <c r="B1471">
        <v>1</v>
      </c>
      <c r="C1471" s="11">
        <v>46235</v>
      </c>
      <c r="D1471" t="s">
        <v>13</v>
      </c>
      <c r="E1471">
        <v>200</v>
      </c>
      <c r="F1471" s="11" t="s">
        <v>56</v>
      </c>
      <c r="G1471" t="s">
        <v>72</v>
      </c>
      <c r="H1471" t="s">
        <v>106</v>
      </c>
      <c r="I1471">
        <v>300</v>
      </c>
      <c r="J1471" t="s">
        <v>23</v>
      </c>
      <c r="K1471" t="s">
        <v>29</v>
      </c>
      <c r="L1471" t="s">
        <v>34</v>
      </c>
      <c r="M1471" t="s">
        <v>129</v>
      </c>
      <c r="Q1471" s="1"/>
    </row>
    <row r="1472" spans="1:17" x14ac:dyDescent="0.3">
      <c r="A1472">
        <v>37</v>
      </c>
      <c r="B1472">
        <v>13</v>
      </c>
      <c r="C1472" s="11">
        <v>46207</v>
      </c>
      <c r="D1472" t="s">
        <v>20</v>
      </c>
      <c r="E1472">
        <v>900</v>
      </c>
      <c r="F1472" s="11">
        <v>46177</v>
      </c>
      <c r="G1472" t="s">
        <v>31</v>
      </c>
      <c r="H1472" t="s">
        <v>51</v>
      </c>
      <c r="I1472">
        <v>600</v>
      </c>
      <c r="J1472" t="s">
        <v>16</v>
      </c>
      <c r="K1472" t="s">
        <v>33</v>
      </c>
      <c r="L1472" t="s">
        <v>18</v>
      </c>
      <c r="M1472" t="s">
        <v>142</v>
      </c>
      <c r="Q1472" s="1"/>
    </row>
    <row r="1473" spans="1:17" x14ac:dyDescent="0.3">
      <c r="A1473">
        <v>22</v>
      </c>
      <c r="B1473">
        <v>8</v>
      </c>
      <c r="C1473" s="11">
        <v>46268</v>
      </c>
      <c r="D1473" t="s">
        <v>13</v>
      </c>
      <c r="E1473">
        <v>4000</v>
      </c>
      <c r="F1473" s="11">
        <v>46026</v>
      </c>
      <c r="G1473" t="s">
        <v>50</v>
      </c>
      <c r="H1473" t="s">
        <v>28</v>
      </c>
      <c r="I1473">
        <v>900</v>
      </c>
      <c r="J1473" t="s">
        <v>23</v>
      </c>
      <c r="K1473" t="s">
        <v>17</v>
      </c>
      <c r="L1473" t="s">
        <v>25</v>
      </c>
      <c r="M1473" t="s">
        <v>162</v>
      </c>
      <c r="Q1473" s="1"/>
    </row>
    <row r="1474" spans="1:17" x14ac:dyDescent="0.3">
      <c r="A1474">
        <v>40</v>
      </c>
      <c r="B1474">
        <v>15</v>
      </c>
      <c r="C1474" s="11">
        <v>46238</v>
      </c>
      <c r="D1474" t="s">
        <v>20</v>
      </c>
      <c r="E1474">
        <v>700</v>
      </c>
      <c r="F1474" s="11">
        <v>46269</v>
      </c>
      <c r="G1474" t="s">
        <v>48</v>
      </c>
      <c r="H1474" t="s">
        <v>19</v>
      </c>
      <c r="I1474">
        <v>500</v>
      </c>
      <c r="J1474" t="s">
        <v>16</v>
      </c>
      <c r="K1474" t="s">
        <v>33</v>
      </c>
      <c r="L1474" t="s">
        <v>25</v>
      </c>
      <c r="M1474" t="s">
        <v>93</v>
      </c>
      <c r="Q1474" s="1"/>
    </row>
    <row r="1475" spans="1:17" x14ac:dyDescent="0.3">
      <c r="A1475">
        <v>12</v>
      </c>
      <c r="B1475">
        <v>4</v>
      </c>
      <c r="C1475" s="11" t="s">
        <v>52</v>
      </c>
      <c r="D1475" t="s">
        <v>13</v>
      </c>
      <c r="E1475">
        <v>5000</v>
      </c>
      <c r="F1475" s="11">
        <v>46056</v>
      </c>
      <c r="G1475" t="s">
        <v>27</v>
      </c>
      <c r="H1475" t="s">
        <v>32</v>
      </c>
      <c r="I1475">
        <v>600</v>
      </c>
      <c r="J1475" t="s">
        <v>16</v>
      </c>
      <c r="K1475" t="s">
        <v>33</v>
      </c>
      <c r="L1475" t="s">
        <v>18</v>
      </c>
      <c r="M1475" t="s">
        <v>165</v>
      </c>
      <c r="Q147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D90A0-7CDE-4198-933E-3D05FF18C513}">
  <dimension ref="A1:Q1018"/>
  <sheetViews>
    <sheetView zoomScale="70" zoomScaleNormal="70" workbookViewId="0">
      <selection activeCell="J1018" sqref="J1018"/>
    </sheetView>
  </sheetViews>
  <sheetFormatPr defaultRowHeight="14.4" x14ac:dyDescent="0.3"/>
  <cols>
    <col min="1" max="1" width="21.88671875" customWidth="1"/>
    <col min="2" max="2" width="23.33203125" customWidth="1"/>
    <col min="3" max="3" width="11.109375" customWidth="1"/>
    <col min="5" max="5" width="20.44140625" customWidth="1"/>
    <col min="6" max="6" width="13.77734375" style="6" customWidth="1"/>
    <col min="7" max="7" width="26.21875" customWidth="1"/>
    <col min="8" max="8" width="14.88671875" customWidth="1"/>
    <col min="9" max="9" width="12.109375" customWidth="1"/>
    <col min="10" max="10" width="26.88671875" customWidth="1"/>
    <col min="11" max="11" width="15.21875" customWidth="1"/>
    <col min="13" max="13" width="12" customWidth="1"/>
    <col min="14" max="14" width="13.6640625" customWidth="1"/>
    <col min="15" max="15" width="17.88671875" customWidth="1"/>
    <col min="16" max="16" width="10" customWidth="1"/>
    <col min="17" max="17" width="14.5546875" customWidth="1"/>
  </cols>
  <sheetData>
    <row r="1" spans="1:17" x14ac:dyDescent="0.3">
      <c r="A1" t="s">
        <v>167</v>
      </c>
      <c r="B1" t="s">
        <v>166</v>
      </c>
      <c r="C1" t="s">
        <v>173</v>
      </c>
      <c r="D1" t="s">
        <v>3</v>
      </c>
      <c r="E1" t="s">
        <v>168</v>
      </c>
      <c r="F1" s="6" t="s">
        <v>171</v>
      </c>
      <c r="G1" t="s">
        <v>169</v>
      </c>
      <c r="H1" t="s">
        <v>172</v>
      </c>
      <c r="I1" t="s">
        <v>170</v>
      </c>
      <c r="J1" t="s">
        <v>180</v>
      </c>
      <c r="K1" t="s">
        <v>9</v>
      </c>
      <c r="L1" t="s">
        <v>10</v>
      </c>
      <c r="M1" t="s">
        <v>174</v>
      </c>
      <c r="N1" t="s">
        <v>12</v>
      </c>
      <c r="O1" t="s">
        <v>190</v>
      </c>
      <c r="P1" t="s">
        <v>185</v>
      </c>
      <c r="Q1" t="s">
        <v>187</v>
      </c>
    </row>
    <row r="2" spans="1:17" x14ac:dyDescent="0.3">
      <c r="A2" s="3">
        <v>12</v>
      </c>
      <c r="B2" s="3">
        <v>4</v>
      </c>
      <c r="C2" s="6">
        <v>4.2</v>
      </c>
      <c r="D2" t="s">
        <v>13</v>
      </c>
      <c r="E2" s="3">
        <v>500</v>
      </c>
      <c r="F2" s="6">
        <v>4.5</v>
      </c>
      <c r="G2" t="s">
        <v>14</v>
      </c>
      <c r="H2" s="2">
        <v>0.8</v>
      </c>
      <c r="I2" s="3">
        <v>200</v>
      </c>
      <c r="J2" s="3" t="str">
        <f>IF(I2&gt;5000, "High Price", IF(I2&gt;=1000, "Medium Price", IF(I2&lt;1000, "Low Price")))</f>
        <v>Low Price</v>
      </c>
      <c r="K2" t="s">
        <v>179</v>
      </c>
      <c r="L2" t="s">
        <v>17</v>
      </c>
      <c r="M2" t="s">
        <v>18</v>
      </c>
      <c r="N2" s="2">
        <v>0.9</v>
      </c>
      <c r="O2" t="str">
        <f t="shared" ref="O2:O65" si="0">IF(N2&gt;=0.8,"High",IF(N2&gt;=0.4,"Medium",IF(N2&lt;0.4,"Low")))</f>
        <v>High</v>
      </c>
      <c r="P2">
        <f>I2*B2</f>
        <v>800</v>
      </c>
      <c r="Q2" s="2">
        <f t="shared" ref="Q2:Q33" si="1">B2/A2</f>
        <v>0.33333333333333331</v>
      </c>
    </row>
    <row r="3" spans="1:17" x14ac:dyDescent="0.3">
      <c r="A3" s="3">
        <v>8</v>
      </c>
      <c r="B3" s="3">
        <v>2</v>
      </c>
      <c r="C3" s="6">
        <v>3.8</v>
      </c>
      <c r="D3" t="s">
        <v>20</v>
      </c>
      <c r="E3" s="3">
        <v>3000</v>
      </c>
      <c r="F3" s="6">
        <v>3.2</v>
      </c>
      <c r="G3" t="s">
        <v>21</v>
      </c>
      <c r="H3" s="2">
        <v>-0.4</v>
      </c>
      <c r="I3" s="3">
        <v>300</v>
      </c>
      <c r="J3" s="3" t="str">
        <f t="shared" ref="J3:J65" si="2">IF(I3&gt;5000, "High Price", IF(I3&gt;=1000, "Medium Price", IF(I3&lt;1000, "Low Price")))</f>
        <v>Low Price</v>
      </c>
      <c r="K3" t="s">
        <v>9</v>
      </c>
      <c r="L3" t="s">
        <v>24</v>
      </c>
      <c r="M3" t="s">
        <v>25</v>
      </c>
      <c r="N3">
        <v>0.2</v>
      </c>
      <c r="O3" t="str">
        <f t="shared" si="0"/>
        <v>Low</v>
      </c>
      <c r="P3">
        <f t="shared" ref="P3:P66" si="3">I3*B3</f>
        <v>600</v>
      </c>
      <c r="Q3" s="2">
        <f t="shared" si="1"/>
        <v>0.25</v>
      </c>
    </row>
    <row r="4" spans="1:17" x14ac:dyDescent="0.3">
      <c r="A4" s="3">
        <v>25</v>
      </c>
      <c r="B4" s="3">
        <v>10</v>
      </c>
      <c r="C4" s="6">
        <v>4.5</v>
      </c>
      <c r="D4" t="s">
        <v>20</v>
      </c>
      <c r="E4" s="3">
        <v>600</v>
      </c>
      <c r="F4" s="6">
        <v>4.8</v>
      </c>
      <c r="G4" t="s">
        <v>27</v>
      </c>
      <c r="H4" s="2">
        <v>0.6</v>
      </c>
      <c r="I4" s="3">
        <v>1000</v>
      </c>
      <c r="J4" s="3" t="str">
        <f t="shared" si="2"/>
        <v>Medium Price</v>
      </c>
      <c r="K4" t="s">
        <v>179</v>
      </c>
      <c r="L4" t="s">
        <v>29</v>
      </c>
      <c r="M4" t="s">
        <v>18</v>
      </c>
      <c r="N4">
        <v>0.7</v>
      </c>
      <c r="O4" t="str">
        <f t="shared" si="0"/>
        <v>Medium</v>
      </c>
      <c r="P4">
        <f t="shared" si="3"/>
        <v>10000</v>
      </c>
      <c r="Q4" s="2">
        <f t="shared" si="1"/>
        <v>0.4</v>
      </c>
    </row>
    <row r="5" spans="1:17" x14ac:dyDescent="0.3">
      <c r="A5" s="3">
        <v>6</v>
      </c>
      <c r="B5" s="3">
        <v>1</v>
      </c>
      <c r="C5" s="6">
        <v>2.1</v>
      </c>
      <c r="D5" t="s">
        <v>20</v>
      </c>
      <c r="E5" s="3">
        <v>100</v>
      </c>
      <c r="F5" s="6">
        <v>2.5</v>
      </c>
      <c r="G5" t="s">
        <v>31</v>
      </c>
      <c r="H5" s="2">
        <v>0.1</v>
      </c>
      <c r="I5" s="3">
        <v>300</v>
      </c>
      <c r="J5" s="3" t="str">
        <f t="shared" si="2"/>
        <v>Low Price</v>
      </c>
      <c r="K5" t="s">
        <v>179</v>
      </c>
      <c r="L5" t="s">
        <v>33</v>
      </c>
      <c r="M5" t="s">
        <v>34</v>
      </c>
      <c r="N5">
        <v>0.1</v>
      </c>
      <c r="O5" t="str">
        <f t="shared" si="0"/>
        <v>Low</v>
      </c>
      <c r="P5">
        <f t="shared" si="3"/>
        <v>300</v>
      </c>
      <c r="Q5" s="2">
        <f t="shared" si="1"/>
        <v>0.16666666666666666</v>
      </c>
    </row>
    <row r="6" spans="1:17" x14ac:dyDescent="0.3">
      <c r="A6" s="3">
        <v>18</v>
      </c>
      <c r="B6" s="3">
        <v>5</v>
      </c>
      <c r="C6" s="6">
        <v>4.7</v>
      </c>
      <c r="D6" t="s">
        <v>13</v>
      </c>
      <c r="E6" s="3">
        <v>2000</v>
      </c>
      <c r="F6" s="6">
        <v>4.3</v>
      </c>
      <c r="G6" t="s">
        <v>35</v>
      </c>
      <c r="H6" s="2">
        <v>0.9</v>
      </c>
      <c r="I6" s="3">
        <v>700</v>
      </c>
      <c r="J6" s="3" t="str">
        <f t="shared" si="2"/>
        <v>Low Price</v>
      </c>
      <c r="K6" t="s">
        <v>9</v>
      </c>
      <c r="L6" t="s">
        <v>17</v>
      </c>
      <c r="M6" t="s">
        <v>18</v>
      </c>
      <c r="N6">
        <v>0.8</v>
      </c>
      <c r="O6" t="str">
        <f t="shared" si="0"/>
        <v>High</v>
      </c>
      <c r="P6">
        <f t="shared" si="3"/>
        <v>3500</v>
      </c>
      <c r="Q6" s="2">
        <f t="shared" si="1"/>
        <v>0.27777777777777779</v>
      </c>
    </row>
    <row r="7" spans="1:17" x14ac:dyDescent="0.3">
      <c r="A7" s="3">
        <v>38</v>
      </c>
      <c r="B7" s="3">
        <v>15</v>
      </c>
      <c r="C7" s="6">
        <v>4.9000000000000004</v>
      </c>
      <c r="D7" t="s">
        <v>20</v>
      </c>
      <c r="E7" s="3">
        <v>700</v>
      </c>
      <c r="F7" s="6">
        <v>4.9000000000000004</v>
      </c>
      <c r="G7" t="s">
        <v>39</v>
      </c>
      <c r="H7" s="2">
        <v>0.95</v>
      </c>
      <c r="I7" s="3">
        <v>700</v>
      </c>
      <c r="J7" s="3" t="str">
        <f t="shared" si="2"/>
        <v>Low Price</v>
      </c>
      <c r="K7" t="s">
        <v>179</v>
      </c>
      <c r="L7" t="s">
        <v>33</v>
      </c>
      <c r="M7" t="s">
        <v>18</v>
      </c>
      <c r="N7">
        <v>1</v>
      </c>
      <c r="O7" t="str">
        <f t="shared" si="0"/>
        <v>High</v>
      </c>
      <c r="P7">
        <f t="shared" si="3"/>
        <v>10500</v>
      </c>
      <c r="Q7" s="2">
        <f t="shared" si="1"/>
        <v>0.39473684210526316</v>
      </c>
    </row>
    <row r="8" spans="1:17" x14ac:dyDescent="0.3">
      <c r="A8" s="3">
        <v>7</v>
      </c>
      <c r="B8" s="3">
        <v>3</v>
      </c>
      <c r="C8" s="6">
        <v>3.4</v>
      </c>
      <c r="D8" t="s">
        <v>13</v>
      </c>
      <c r="E8" s="3">
        <v>5000</v>
      </c>
      <c r="F8" s="6">
        <v>3.7</v>
      </c>
      <c r="G8" t="s">
        <v>42</v>
      </c>
      <c r="H8" s="2">
        <v>0.2</v>
      </c>
      <c r="I8" s="3">
        <v>900</v>
      </c>
      <c r="J8" s="3" t="str">
        <f t="shared" si="2"/>
        <v>Low Price</v>
      </c>
      <c r="K8" t="s">
        <v>179</v>
      </c>
      <c r="L8" t="s">
        <v>17</v>
      </c>
      <c r="M8" t="s">
        <v>34</v>
      </c>
      <c r="N8">
        <v>0.3</v>
      </c>
      <c r="O8" t="str">
        <f t="shared" si="0"/>
        <v>Low</v>
      </c>
      <c r="P8">
        <f t="shared" si="3"/>
        <v>2700</v>
      </c>
      <c r="Q8" s="2">
        <f t="shared" si="1"/>
        <v>0.42857142857142855</v>
      </c>
    </row>
    <row r="9" spans="1:17" x14ac:dyDescent="0.3">
      <c r="A9" s="3">
        <v>4</v>
      </c>
      <c r="B9" s="3">
        <v>0</v>
      </c>
      <c r="C9" s="6">
        <v>1.5</v>
      </c>
      <c r="D9" t="s">
        <v>13</v>
      </c>
      <c r="E9" s="3">
        <v>900</v>
      </c>
      <c r="F9" s="6">
        <v>1.8</v>
      </c>
      <c r="G9" t="s">
        <v>44</v>
      </c>
      <c r="H9" s="2">
        <v>-0.3</v>
      </c>
      <c r="I9" s="3">
        <v>400</v>
      </c>
      <c r="J9" s="3" t="str">
        <f t="shared" si="2"/>
        <v>Low Price</v>
      </c>
      <c r="K9" t="s">
        <v>179</v>
      </c>
      <c r="L9" t="s">
        <v>24</v>
      </c>
      <c r="M9" t="s">
        <v>25</v>
      </c>
      <c r="N9">
        <v>0.05</v>
      </c>
      <c r="O9" t="str">
        <f t="shared" si="0"/>
        <v>Low</v>
      </c>
      <c r="P9">
        <f t="shared" si="3"/>
        <v>0</v>
      </c>
      <c r="Q9" s="2">
        <f t="shared" si="1"/>
        <v>0</v>
      </c>
    </row>
    <row r="10" spans="1:17" x14ac:dyDescent="0.3">
      <c r="A10" s="3">
        <v>10</v>
      </c>
      <c r="B10" s="3">
        <v>4</v>
      </c>
      <c r="C10" s="6">
        <v>3.9</v>
      </c>
      <c r="D10" t="s">
        <v>20</v>
      </c>
      <c r="E10" s="3">
        <v>300</v>
      </c>
      <c r="F10" s="6">
        <v>4.0999999999999996</v>
      </c>
      <c r="G10" t="s">
        <v>47</v>
      </c>
      <c r="H10" s="2">
        <v>0.7</v>
      </c>
      <c r="I10" s="3">
        <v>200</v>
      </c>
      <c r="J10" s="3" t="str">
        <f t="shared" si="2"/>
        <v>Low Price</v>
      </c>
      <c r="K10" t="s">
        <v>9</v>
      </c>
      <c r="L10" t="s">
        <v>29</v>
      </c>
      <c r="M10" t="s">
        <v>18</v>
      </c>
      <c r="N10">
        <v>0.6</v>
      </c>
      <c r="O10" t="str">
        <f t="shared" si="0"/>
        <v>Medium</v>
      </c>
      <c r="P10">
        <f t="shared" si="3"/>
        <v>800</v>
      </c>
      <c r="Q10" s="2">
        <f t="shared" si="1"/>
        <v>0.4</v>
      </c>
    </row>
    <row r="11" spans="1:17" x14ac:dyDescent="0.3">
      <c r="A11" s="3">
        <v>42</v>
      </c>
      <c r="B11" s="3">
        <v>18</v>
      </c>
      <c r="C11" s="6">
        <v>4.5999999999999996</v>
      </c>
      <c r="D11" t="s">
        <v>13</v>
      </c>
      <c r="E11" s="3">
        <v>300</v>
      </c>
      <c r="F11" s="6">
        <v>4.7</v>
      </c>
      <c r="G11" t="s">
        <v>48</v>
      </c>
      <c r="H11" s="2">
        <v>0.85</v>
      </c>
      <c r="I11" s="3">
        <v>600</v>
      </c>
      <c r="J11" s="3" t="str">
        <f t="shared" si="2"/>
        <v>Low Price</v>
      </c>
      <c r="K11" t="s">
        <v>179</v>
      </c>
      <c r="L11" t="s">
        <v>33</v>
      </c>
      <c r="M11" t="s">
        <v>18</v>
      </c>
      <c r="N11">
        <v>0.95</v>
      </c>
      <c r="O11" t="str">
        <f t="shared" si="0"/>
        <v>High</v>
      </c>
      <c r="P11">
        <f t="shared" si="3"/>
        <v>10800</v>
      </c>
      <c r="Q11" s="2">
        <f t="shared" si="1"/>
        <v>0.42857142857142855</v>
      </c>
    </row>
    <row r="12" spans="1:17" x14ac:dyDescent="0.3">
      <c r="A12" s="3">
        <v>20</v>
      </c>
      <c r="B12" s="3">
        <v>8</v>
      </c>
      <c r="C12" s="6">
        <v>4.3</v>
      </c>
      <c r="D12" t="s">
        <v>20</v>
      </c>
      <c r="E12" s="3">
        <v>1000</v>
      </c>
      <c r="F12" s="6">
        <v>4.4000000000000004</v>
      </c>
      <c r="G12" t="s">
        <v>50</v>
      </c>
      <c r="H12" s="2">
        <v>0.75</v>
      </c>
      <c r="I12" s="3">
        <v>1000</v>
      </c>
      <c r="J12" s="3" t="str">
        <f t="shared" si="2"/>
        <v>Medium Price</v>
      </c>
      <c r="K12" t="s">
        <v>9</v>
      </c>
      <c r="L12" t="s">
        <v>33</v>
      </c>
      <c r="M12" t="s">
        <v>34</v>
      </c>
      <c r="N12">
        <v>0.85</v>
      </c>
      <c r="O12" t="str">
        <f t="shared" si="0"/>
        <v>High</v>
      </c>
      <c r="P12">
        <f t="shared" si="3"/>
        <v>8000</v>
      </c>
      <c r="Q12" s="2">
        <f t="shared" si="1"/>
        <v>0.4</v>
      </c>
    </row>
    <row r="13" spans="1:17" x14ac:dyDescent="0.3">
      <c r="A13" s="3">
        <v>5</v>
      </c>
      <c r="B13" s="3">
        <v>2</v>
      </c>
      <c r="C13" s="6">
        <v>2.8</v>
      </c>
      <c r="D13" t="s">
        <v>13</v>
      </c>
      <c r="E13" s="3">
        <v>8000</v>
      </c>
      <c r="F13" s="6">
        <v>3</v>
      </c>
      <c r="G13" t="s">
        <v>53</v>
      </c>
      <c r="H13" s="2">
        <v>-0.5</v>
      </c>
      <c r="I13" s="3">
        <v>500</v>
      </c>
      <c r="J13" s="3" t="str">
        <f t="shared" si="2"/>
        <v>Low Price</v>
      </c>
      <c r="K13" t="s">
        <v>9</v>
      </c>
      <c r="L13" t="s">
        <v>33</v>
      </c>
      <c r="M13" t="s">
        <v>18</v>
      </c>
      <c r="N13">
        <v>0.1</v>
      </c>
      <c r="O13" t="str">
        <f t="shared" si="0"/>
        <v>Low</v>
      </c>
      <c r="P13">
        <f t="shared" si="3"/>
        <v>1000</v>
      </c>
      <c r="Q13" s="2">
        <f t="shared" si="1"/>
        <v>0.4</v>
      </c>
    </row>
    <row r="14" spans="1:17" x14ac:dyDescent="0.3">
      <c r="A14" s="3">
        <v>31</v>
      </c>
      <c r="B14" s="3">
        <v>12</v>
      </c>
      <c r="C14" s="6">
        <v>4.8</v>
      </c>
      <c r="D14" t="s">
        <v>20</v>
      </c>
      <c r="E14" s="3">
        <v>400</v>
      </c>
      <c r="F14" s="6">
        <v>4.5999999999999996</v>
      </c>
      <c r="G14" t="s">
        <v>55</v>
      </c>
      <c r="H14" s="2">
        <v>0.85</v>
      </c>
      <c r="I14" s="3">
        <v>600</v>
      </c>
      <c r="J14" s="3" t="str">
        <f t="shared" si="2"/>
        <v>Low Price</v>
      </c>
      <c r="K14" t="s">
        <v>179</v>
      </c>
      <c r="L14" t="s">
        <v>17</v>
      </c>
      <c r="M14" t="s">
        <v>18</v>
      </c>
      <c r="N14">
        <v>0.9</v>
      </c>
      <c r="O14" t="str">
        <f t="shared" si="0"/>
        <v>High</v>
      </c>
      <c r="P14">
        <f t="shared" si="3"/>
        <v>7200</v>
      </c>
      <c r="Q14" s="2">
        <f t="shared" si="1"/>
        <v>0.38709677419354838</v>
      </c>
    </row>
    <row r="15" spans="1:17" x14ac:dyDescent="0.3">
      <c r="A15" s="3">
        <v>2</v>
      </c>
      <c r="B15" s="3">
        <v>1</v>
      </c>
      <c r="C15" s="6">
        <v>2</v>
      </c>
      <c r="D15" t="s">
        <v>13</v>
      </c>
      <c r="E15" s="3">
        <v>4000</v>
      </c>
      <c r="F15" s="6">
        <v>2.2000000000000002</v>
      </c>
      <c r="G15" t="s">
        <v>57</v>
      </c>
      <c r="H15" s="2">
        <v>-0.2</v>
      </c>
      <c r="I15" s="3">
        <v>200</v>
      </c>
      <c r="J15" s="3" t="str">
        <f t="shared" si="2"/>
        <v>Low Price</v>
      </c>
      <c r="K15" t="s">
        <v>9</v>
      </c>
      <c r="L15" t="s">
        <v>33</v>
      </c>
      <c r="M15" t="s">
        <v>25</v>
      </c>
      <c r="N15">
        <v>0.05</v>
      </c>
      <c r="O15" t="str">
        <f t="shared" si="0"/>
        <v>Low</v>
      </c>
      <c r="P15">
        <f t="shared" si="3"/>
        <v>200</v>
      </c>
      <c r="Q15" s="2">
        <f t="shared" si="1"/>
        <v>0.5</v>
      </c>
    </row>
    <row r="16" spans="1:17" x14ac:dyDescent="0.3">
      <c r="A16" s="3">
        <v>17</v>
      </c>
      <c r="B16" s="3">
        <v>7</v>
      </c>
      <c r="C16" s="6">
        <v>4.0999999999999996</v>
      </c>
      <c r="D16" t="s">
        <v>20</v>
      </c>
      <c r="E16" s="3">
        <v>900</v>
      </c>
      <c r="F16" s="6">
        <v>4.2</v>
      </c>
      <c r="G16" t="s">
        <v>59</v>
      </c>
      <c r="H16" s="2">
        <v>0.8</v>
      </c>
      <c r="I16" s="3">
        <v>100</v>
      </c>
      <c r="J16" s="3" t="str">
        <f t="shared" si="2"/>
        <v>Low Price</v>
      </c>
      <c r="K16" t="s">
        <v>9</v>
      </c>
      <c r="L16" t="s">
        <v>17</v>
      </c>
      <c r="M16" t="s">
        <v>18</v>
      </c>
      <c r="N16">
        <v>0.7</v>
      </c>
      <c r="O16" t="str">
        <f t="shared" si="0"/>
        <v>Medium</v>
      </c>
      <c r="P16">
        <f t="shared" si="3"/>
        <v>700</v>
      </c>
      <c r="Q16" s="2">
        <f t="shared" si="1"/>
        <v>0.41176470588235292</v>
      </c>
    </row>
    <row r="17" spans="1:17" x14ac:dyDescent="0.3">
      <c r="A17" s="3">
        <v>14</v>
      </c>
      <c r="B17" s="3">
        <v>6</v>
      </c>
      <c r="C17" s="6">
        <v>3.6</v>
      </c>
      <c r="D17" t="s">
        <v>13</v>
      </c>
      <c r="E17" s="3">
        <v>200</v>
      </c>
      <c r="F17" s="6">
        <v>3.4</v>
      </c>
      <c r="G17" t="s">
        <v>60</v>
      </c>
      <c r="H17" s="2">
        <v>0.3</v>
      </c>
      <c r="I17" s="3">
        <v>900</v>
      </c>
      <c r="J17" s="3" t="str">
        <f t="shared" si="2"/>
        <v>Low Price</v>
      </c>
      <c r="K17" t="s">
        <v>179</v>
      </c>
      <c r="L17" t="s">
        <v>33</v>
      </c>
      <c r="M17" t="s">
        <v>18</v>
      </c>
      <c r="N17">
        <v>0.4</v>
      </c>
      <c r="O17" t="str">
        <f t="shared" si="0"/>
        <v>Medium</v>
      </c>
      <c r="P17">
        <f t="shared" si="3"/>
        <v>5400</v>
      </c>
      <c r="Q17" s="2">
        <f t="shared" si="1"/>
        <v>0.42857142857142855</v>
      </c>
    </row>
    <row r="18" spans="1:17" x14ac:dyDescent="0.3">
      <c r="A18" s="3">
        <v>9</v>
      </c>
      <c r="B18" s="3">
        <v>3</v>
      </c>
      <c r="C18" s="6">
        <v>3.3</v>
      </c>
      <c r="D18" t="s">
        <v>20</v>
      </c>
      <c r="E18" s="3">
        <v>2000</v>
      </c>
      <c r="F18" s="6">
        <v>3.5</v>
      </c>
      <c r="G18" t="s">
        <v>62</v>
      </c>
      <c r="H18" s="2">
        <v>0.4</v>
      </c>
      <c r="I18" s="3">
        <v>800</v>
      </c>
      <c r="J18" s="3" t="str">
        <f t="shared" si="2"/>
        <v>Low Price</v>
      </c>
      <c r="K18" t="s">
        <v>179</v>
      </c>
      <c r="L18" t="s">
        <v>17</v>
      </c>
      <c r="M18" t="s">
        <v>18</v>
      </c>
      <c r="N18">
        <v>0.5</v>
      </c>
      <c r="O18" t="str">
        <f t="shared" si="0"/>
        <v>Medium</v>
      </c>
      <c r="P18">
        <f t="shared" si="3"/>
        <v>2400</v>
      </c>
      <c r="Q18" s="2">
        <f t="shared" si="1"/>
        <v>0.33333333333333331</v>
      </c>
    </row>
    <row r="19" spans="1:17" x14ac:dyDescent="0.3">
      <c r="A19" s="3">
        <v>23</v>
      </c>
      <c r="B19" s="3">
        <v>9</v>
      </c>
      <c r="C19" s="6">
        <v>4</v>
      </c>
      <c r="D19" t="s">
        <v>13</v>
      </c>
      <c r="E19" s="3">
        <v>6000</v>
      </c>
      <c r="F19" s="6">
        <v>4.2</v>
      </c>
      <c r="G19" t="s">
        <v>65</v>
      </c>
      <c r="H19" s="2">
        <v>0.9</v>
      </c>
      <c r="I19" s="3">
        <v>600</v>
      </c>
      <c r="J19" s="3" t="str">
        <f t="shared" si="2"/>
        <v>Low Price</v>
      </c>
      <c r="K19" t="s">
        <v>9</v>
      </c>
      <c r="L19" t="s">
        <v>17</v>
      </c>
      <c r="M19" t="s">
        <v>25</v>
      </c>
      <c r="N19">
        <v>0.9</v>
      </c>
      <c r="O19" t="str">
        <f t="shared" si="0"/>
        <v>High</v>
      </c>
      <c r="P19">
        <f t="shared" si="3"/>
        <v>5400</v>
      </c>
      <c r="Q19" s="2">
        <f t="shared" si="1"/>
        <v>0.39130434782608697</v>
      </c>
    </row>
    <row r="20" spans="1:17" x14ac:dyDescent="0.3">
      <c r="A20" s="3">
        <v>3</v>
      </c>
      <c r="B20" s="3">
        <v>1</v>
      </c>
      <c r="C20" s="6">
        <v>1.7</v>
      </c>
      <c r="D20" t="s">
        <v>13</v>
      </c>
      <c r="E20" s="3">
        <v>500</v>
      </c>
      <c r="F20" s="6">
        <v>2</v>
      </c>
      <c r="G20" t="s">
        <v>66</v>
      </c>
      <c r="H20" s="2">
        <v>-0.1</v>
      </c>
      <c r="I20" s="3">
        <v>700</v>
      </c>
      <c r="J20" s="3" t="str">
        <f t="shared" si="2"/>
        <v>Low Price</v>
      </c>
      <c r="K20" t="s">
        <v>179</v>
      </c>
      <c r="L20" t="s">
        <v>24</v>
      </c>
      <c r="M20" t="s">
        <v>25</v>
      </c>
      <c r="N20">
        <v>0.05</v>
      </c>
      <c r="O20" t="str">
        <f t="shared" si="0"/>
        <v>Low</v>
      </c>
      <c r="P20">
        <f t="shared" si="3"/>
        <v>700</v>
      </c>
      <c r="Q20" s="2">
        <f t="shared" si="1"/>
        <v>0.33333333333333331</v>
      </c>
    </row>
    <row r="21" spans="1:17" x14ac:dyDescent="0.3">
      <c r="A21" s="3">
        <v>28</v>
      </c>
      <c r="B21" s="3">
        <v>11</v>
      </c>
      <c r="C21" s="6">
        <v>4.5</v>
      </c>
      <c r="D21" t="s">
        <v>20</v>
      </c>
      <c r="E21" s="3">
        <v>7000</v>
      </c>
      <c r="F21" s="6">
        <v>4.5</v>
      </c>
      <c r="G21" t="s">
        <v>68</v>
      </c>
      <c r="H21" s="2">
        <v>0.9</v>
      </c>
      <c r="I21" s="3">
        <v>10000</v>
      </c>
      <c r="J21" s="3" t="str">
        <f t="shared" si="2"/>
        <v>High Price</v>
      </c>
      <c r="K21" t="s">
        <v>9</v>
      </c>
      <c r="L21" t="s">
        <v>17</v>
      </c>
      <c r="M21" t="s">
        <v>25</v>
      </c>
      <c r="N21">
        <v>1</v>
      </c>
      <c r="O21" t="str">
        <f t="shared" si="0"/>
        <v>High</v>
      </c>
      <c r="P21">
        <f t="shared" si="3"/>
        <v>110000</v>
      </c>
      <c r="Q21" s="2">
        <f t="shared" si="1"/>
        <v>0.39285714285714285</v>
      </c>
    </row>
    <row r="22" spans="1:17" x14ac:dyDescent="0.3">
      <c r="A22" s="3">
        <v>16</v>
      </c>
      <c r="B22" s="3">
        <v>6</v>
      </c>
      <c r="C22" s="6">
        <v>3.7</v>
      </c>
      <c r="D22" t="s">
        <v>13</v>
      </c>
      <c r="E22" s="3">
        <v>700</v>
      </c>
      <c r="F22" s="6">
        <v>3.8</v>
      </c>
      <c r="G22" t="s">
        <v>69</v>
      </c>
      <c r="H22" s="2">
        <v>0.6</v>
      </c>
      <c r="I22" s="3">
        <v>300</v>
      </c>
      <c r="J22" s="3" t="str">
        <f t="shared" si="2"/>
        <v>Low Price</v>
      </c>
      <c r="K22" t="s">
        <v>179</v>
      </c>
      <c r="L22" t="s">
        <v>24</v>
      </c>
      <c r="M22" t="s">
        <v>25</v>
      </c>
      <c r="N22">
        <v>0.6</v>
      </c>
      <c r="O22" t="str">
        <f t="shared" si="0"/>
        <v>Medium</v>
      </c>
      <c r="P22">
        <f t="shared" si="3"/>
        <v>1800</v>
      </c>
      <c r="Q22" s="2">
        <f t="shared" si="1"/>
        <v>0.375</v>
      </c>
    </row>
    <row r="23" spans="1:17" x14ac:dyDescent="0.3">
      <c r="A23" s="3">
        <v>11</v>
      </c>
      <c r="B23" s="3">
        <v>5</v>
      </c>
      <c r="C23" s="6">
        <v>4.2</v>
      </c>
      <c r="D23" t="s">
        <v>20</v>
      </c>
      <c r="E23" s="3">
        <v>100</v>
      </c>
      <c r="F23" s="6">
        <v>4.3</v>
      </c>
      <c r="G23" t="s">
        <v>70</v>
      </c>
      <c r="H23" s="2">
        <v>0.85</v>
      </c>
      <c r="I23" s="3">
        <v>200</v>
      </c>
      <c r="J23" s="3" t="str">
        <f t="shared" si="2"/>
        <v>Low Price</v>
      </c>
      <c r="K23" t="s">
        <v>9</v>
      </c>
      <c r="L23" t="s">
        <v>29</v>
      </c>
      <c r="M23" t="s">
        <v>18</v>
      </c>
      <c r="N23">
        <v>0.8</v>
      </c>
      <c r="O23" t="str">
        <f t="shared" si="0"/>
        <v>High</v>
      </c>
      <c r="P23">
        <f t="shared" si="3"/>
        <v>1000</v>
      </c>
      <c r="Q23" s="2">
        <f t="shared" si="1"/>
        <v>0.45454545454545453</v>
      </c>
    </row>
    <row r="24" spans="1:17" x14ac:dyDescent="0.3">
      <c r="A24" s="3">
        <v>36</v>
      </c>
      <c r="B24" s="3">
        <v>14</v>
      </c>
      <c r="C24" s="6">
        <v>4.7</v>
      </c>
      <c r="D24" t="s">
        <v>13</v>
      </c>
      <c r="E24" s="3">
        <v>100</v>
      </c>
      <c r="F24" s="6">
        <v>4.5999999999999996</v>
      </c>
      <c r="G24" t="s">
        <v>71</v>
      </c>
      <c r="H24" s="2">
        <v>0.7</v>
      </c>
      <c r="I24" s="3">
        <v>900</v>
      </c>
      <c r="J24" s="3" t="str">
        <f t="shared" si="2"/>
        <v>Low Price</v>
      </c>
      <c r="K24" t="s">
        <v>179</v>
      </c>
      <c r="L24" t="s">
        <v>33</v>
      </c>
      <c r="M24" t="s">
        <v>18</v>
      </c>
      <c r="N24">
        <v>0.85</v>
      </c>
      <c r="O24" t="str">
        <f t="shared" si="0"/>
        <v>High</v>
      </c>
      <c r="P24">
        <f t="shared" si="3"/>
        <v>12600</v>
      </c>
      <c r="Q24" s="2">
        <f t="shared" si="1"/>
        <v>0.3888888888888889</v>
      </c>
    </row>
    <row r="25" spans="1:17" x14ac:dyDescent="0.3">
      <c r="A25" s="3">
        <v>19</v>
      </c>
      <c r="B25" s="3">
        <v>8</v>
      </c>
      <c r="C25" s="6">
        <v>4.4000000000000004</v>
      </c>
      <c r="D25" t="s">
        <v>20</v>
      </c>
      <c r="E25" s="3">
        <v>4000</v>
      </c>
      <c r="F25" s="6">
        <v>4.5</v>
      </c>
      <c r="G25" t="s">
        <v>72</v>
      </c>
      <c r="H25" s="2">
        <v>0.8</v>
      </c>
      <c r="I25" s="3">
        <v>800</v>
      </c>
      <c r="J25" s="3" t="str">
        <f t="shared" si="2"/>
        <v>Low Price</v>
      </c>
      <c r="K25" t="s">
        <v>179</v>
      </c>
      <c r="L25" t="s">
        <v>33</v>
      </c>
      <c r="M25" t="s">
        <v>34</v>
      </c>
      <c r="N25">
        <v>0.9</v>
      </c>
      <c r="O25" t="str">
        <f t="shared" si="0"/>
        <v>High</v>
      </c>
      <c r="P25">
        <f t="shared" si="3"/>
        <v>6400</v>
      </c>
      <c r="Q25" s="2">
        <f t="shared" si="1"/>
        <v>0.42105263157894735</v>
      </c>
    </row>
    <row r="26" spans="1:17" x14ac:dyDescent="0.3">
      <c r="A26" s="3">
        <v>22</v>
      </c>
      <c r="B26" s="3">
        <v>9</v>
      </c>
      <c r="C26" s="6">
        <v>4.5999999999999996</v>
      </c>
      <c r="D26" t="s">
        <v>20</v>
      </c>
      <c r="E26" s="3">
        <v>3000</v>
      </c>
      <c r="F26" s="6">
        <v>4.7</v>
      </c>
      <c r="G26" t="s">
        <v>73</v>
      </c>
      <c r="H26" s="2">
        <v>0.85</v>
      </c>
      <c r="I26" s="3">
        <v>800</v>
      </c>
      <c r="J26" s="3" t="str">
        <f t="shared" si="2"/>
        <v>Low Price</v>
      </c>
      <c r="K26" t="s">
        <v>179</v>
      </c>
      <c r="L26" t="s">
        <v>17</v>
      </c>
      <c r="M26" t="s">
        <v>18</v>
      </c>
      <c r="N26">
        <v>0.9</v>
      </c>
      <c r="O26" t="str">
        <f t="shared" si="0"/>
        <v>High</v>
      </c>
      <c r="P26">
        <f t="shared" si="3"/>
        <v>7200</v>
      </c>
      <c r="Q26" s="2">
        <f t="shared" si="1"/>
        <v>0.40909090909090912</v>
      </c>
    </row>
    <row r="27" spans="1:17" x14ac:dyDescent="0.3">
      <c r="A27" s="3">
        <v>13</v>
      </c>
      <c r="B27" s="3">
        <v>5</v>
      </c>
      <c r="C27" s="6">
        <v>3.5</v>
      </c>
      <c r="D27" t="s">
        <v>13</v>
      </c>
      <c r="E27" s="3">
        <v>800</v>
      </c>
      <c r="F27" s="6">
        <v>3.6</v>
      </c>
      <c r="G27" t="s">
        <v>74</v>
      </c>
      <c r="H27" s="2">
        <v>0.6</v>
      </c>
      <c r="I27" s="3">
        <v>400</v>
      </c>
      <c r="J27" s="3" t="str">
        <f t="shared" si="2"/>
        <v>Low Price</v>
      </c>
      <c r="K27" t="s">
        <v>9</v>
      </c>
      <c r="L27" t="s">
        <v>17</v>
      </c>
      <c r="M27" t="s">
        <v>18</v>
      </c>
      <c r="N27">
        <v>0.7</v>
      </c>
      <c r="O27" t="str">
        <f t="shared" si="0"/>
        <v>Medium</v>
      </c>
      <c r="P27">
        <f t="shared" si="3"/>
        <v>2000</v>
      </c>
      <c r="Q27" s="2">
        <f t="shared" si="1"/>
        <v>0.38461538461538464</v>
      </c>
    </row>
    <row r="28" spans="1:17" x14ac:dyDescent="0.3">
      <c r="A28" s="3">
        <v>8</v>
      </c>
      <c r="B28" s="3">
        <v>3</v>
      </c>
      <c r="C28" s="6">
        <v>2.9</v>
      </c>
      <c r="D28" t="s">
        <v>20</v>
      </c>
      <c r="E28" s="3">
        <v>200</v>
      </c>
      <c r="F28" s="6">
        <v>3</v>
      </c>
      <c r="G28" t="s">
        <v>44</v>
      </c>
      <c r="H28" s="2">
        <v>0.1</v>
      </c>
      <c r="I28" s="3">
        <v>300</v>
      </c>
      <c r="J28" s="3" t="str">
        <f t="shared" si="2"/>
        <v>Low Price</v>
      </c>
      <c r="K28" t="s">
        <v>179</v>
      </c>
      <c r="L28" t="s">
        <v>33</v>
      </c>
      <c r="M28" t="s">
        <v>25</v>
      </c>
      <c r="N28">
        <v>0.05</v>
      </c>
      <c r="O28" t="str">
        <f t="shared" si="0"/>
        <v>Low</v>
      </c>
      <c r="P28">
        <f t="shared" si="3"/>
        <v>900</v>
      </c>
      <c r="Q28" s="2">
        <f t="shared" si="1"/>
        <v>0.375</v>
      </c>
    </row>
    <row r="29" spans="1:17" x14ac:dyDescent="0.3">
      <c r="A29" s="3">
        <v>27</v>
      </c>
      <c r="B29" s="3">
        <v>11</v>
      </c>
      <c r="C29" s="6">
        <v>4.4000000000000004</v>
      </c>
      <c r="D29" t="s">
        <v>13</v>
      </c>
      <c r="E29" s="3">
        <v>1000</v>
      </c>
      <c r="F29" s="6">
        <v>4.5</v>
      </c>
      <c r="G29" t="s">
        <v>50</v>
      </c>
      <c r="H29" s="2">
        <v>0.8</v>
      </c>
      <c r="I29" s="3">
        <v>1000</v>
      </c>
      <c r="J29" s="3" t="str">
        <f t="shared" si="2"/>
        <v>Medium Price</v>
      </c>
      <c r="K29" t="s">
        <v>9</v>
      </c>
      <c r="L29" t="s">
        <v>17</v>
      </c>
      <c r="M29" t="s">
        <v>34</v>
      </c>
      <c r="N29">
        <v>0.85</v>
      </c>
      <c r="O29" t="str">
        <f t="shared" si="0"/>
        <v>High</v>
      </c>
      <c r="P29">
        <f t="shared" si="3"/>
        <v>11000</v>
      </c>
      <c r="Q29" s="2">
        <f t="shared" si="1"/>
        <v>0.40740740740740738</v>
      </c>
    </row>
    <row r="30" spans="1:17" x14ac:dyDescent="0.3">
      <c r="A30" s="3">
        <v>6</v>
      </c>
      <c r="B30" s="3">
        <v>2</v>
      </c>
      <c r="C30" s="6">
        <v>2.5</v>
      </c>
      <c r="D30" t="s">
        <v>13</v>
      </c>
      <c r="E30" s="3">
        <v>5000</v>
      </c>
      <c r="F30" s="6">
        <v>2.7</v>
      </c>
      <c r="G30" t="s">
        <v>71</v>
      </c>
      <c r="H30" s="2">
        <v>-0.3</v>
      </c>
      <c r="I30" s="3">
        <v>500</v>
      </c>
      <c r="J30" s="3" t="str">
        <f t="shared" si="2"/>
        <v>Low Price</v>
      </c>
      <c r="K30" t="s">
        <v>179</v>
      </c>
      <c r="L30" t="s">
        <v>33</v>
      </c>
      <c r="M30" t="s">
        <v>25</v>
      </c>
      <c r="N30">
        <v>0.1</v>
      </c>
      <c r="O30" t="str">
        <f t="shared" si="0"/>
        <v>Low</v>
      </c>
      <c r="P30">
        <f t="shared" si="3"/>
        <v>1000</v>
      </c>
      <c r="Q30" s="2">
        <f t="shared" si="1"/>
        <v>0.33333333333333331</v>
      </c>
    </row>
    <row r="31" spans="1:17" x14ac:dyDescent="0.3">
      <c r="A31" s="3">
        <v>39</v>
      </c>
      <c r="B31" s="3">
        <v>16</v>
      </c>
      <c r="C31" s="6">
        <v>4.8</v>
      </c>
      <c r="D31" t="s">
        <v>20</v>
      </c>
      <c r="E31" s="3">
        <v>2000</v>
      </c>
      <c r="F31" s="6">
        <v>4.8</v>
      </c>
      <c r="G31" t="s">
        <v>66</v>
      </c>
      <c r="H31" s="2">
        <v>0.9</v>
      </c>
      <c r="I31" s="3">
        <v>800</v>
      </c>
      <c r="J31" s="3" t="str">
        <f t="shared" si="2"/>
        <v>Low Price</v>
      </c>
      <c r="K31" t="s">
        <v>179</v>
      </c>
      <c r="L31" t="s">
        <v>33</v>
      </c>
      <c r="M31" t="s">
        <v>18</v>
      </c>
      <c r="N31">
        <v>0.95</v>
      </c>
      <c r="O31" t="str">
        <f t="shared" si="0"/>
        <v>High</v>
      </c>
      <c r="P31">
        <f t="shared" si="3"/>
        <v>12800</v>
      </c>
      <c r="Q31" s="2">
        <f t="shared" si="1"/>
        <v>0.41025641025641024</v>
      </c>
    </row>
    <row r="32" spans="1:17" x14ac:dyDescent="0.3">
      <c r="A32" s="3">
        <v>4</v>
      </c>
      <c r="B32" s="3">
        <v>1</v>
      </c>
      <c r="C32" s="6">
        <v>1.8</v>
      </c>
      <c r="D32" t="s">
        <v>20</v>
      </c>
      <c r="E32" s="3">
        <v>900</v>
      </c>
      <c r="F32" s="6">
        <v>2</v>
      </c>
      <c r="G32" t="s">
        <v>31</v>
      </c>
      <c r="H32" s="2">
        <v>-0.2</v>
      </c>
      <c r="I32" s="3">
        <v>400</v>
      </c>
      <c r="J32" s="3" t="str">
        <f t="shared" si="2"/>
        <v>Low Price</v>
      </c>
      <c r="K32" t="s">
        <v>179</v>
      </c>
      <c r="L32" t="s">
        <v>24</v>
      </c>
      <c r="M32" t="s">
        <v>34</v>
      </c>
      <c r="N32">
        <v>0.05</v>
      </c>
      <c r="O32" t="str">
        <f t="shared" si="0"/>
        <v>Low</v>
      </c>
      <c r="P32">
        <f t="shared" si="3"/>
        <v>400</v>
      </c>
      <c r="Q32" s="2">
        <f t="shared" si="1"/>
        <v>0.25</v>
      </c>
    </row>
    <row r="33" spans="1:17" x14ac:dyDescent="0.3">
      <c r="A33" s="3">
        <v>19</v>
      </c>
      <c r="B33" s="3">
        <v>7</v>
      </c>
      <c r="C33" s="6">
        <v>4.2</v>
      </c>
      <c r="D33" t="s">
        <v>13</v>
      </c>
      <c r="E33" s="3">
        <v>700</v>
      </c>
      <c r="F33" s="6">
        <v>4.3</v>
      </c>
      <c r="G33" t="s">
        <v>14</v>
      </c>
      <c r="H33" s="2">
        <v>0.7</v>
      </c>
      <c r="I33" s="3">
        <v>200</v>
      </c>
      <c r="J33" s="3" t="str">
        <f t="shared" si="2"/>
        <v>Low Price</v>
      </c>
      <c r="K33" t="s">
        <v>179</v>
      </c>
      <c r="L33" t="s">
        <v>17</v>
      </c>
      <c r="M33" t="s">
        <v>18</v>
      </c>
      <c r="N33">
        <v>0.8</v>
      </c>
      <c r="O33" t="str">
        <f t="shared" si="0"/>
        <v>High</v>
      </c>
      <c r="P33">
        <f t="shared" si="3"/>
        <v>1400</v>
      </c>
      <c r="Q33" s="2">
        <f t="shared" si="1"/>
        <v>0.36842105263157893</v>
      </c>
    </row>
    <row r="34" spans="1:17" x14ac:dyDescent="0.3">
      <c r="A34" s="3">
        <v>9</v>
      </c>
      <c r="B34" s="3">
        <v>4</v>
      </c>
      <c r="C34" s="6">
        <v>3.1</v>
      </c>
      <c r="D34" t="s">
        <v>20</v>
      </c>
      <c r="E34" s="3">
        <v>6000</v>
      </c>
      <c r="F34" s="6">
        <v>3.3</v>
      </c>
      <c r="G34" t="s">
        <v>42</v>
      </c>
      <c r="H34" s="2">
        <v>0.3</v>
      </c>
      <c r="I34" s="3">
        <v>900</v>
      </c>
      <c r="J34" s="3" t="str">
        <f t="shared" si="2"/>
        <v>Low Price</v>
      </c>
      <c r="K34" t="s">
        <v>9</v>
      </c>
      <c r="L34" t="s">
        <v>17</v>
      </c>
      <c r="M34" t="s">
        <v>34</v>
      </c>
      <c r="N34">
        <v>0.4</v>
      </c>
      <c r="O34" t="str">
        <f t="shared" si="0"/>
        <v>Medium</v>
      </c>
      <c r="P34">
        <f t="shared" si="3"/>
        <v>3600</v>
      </c>
      <c r="Q34" s="2">
        <f t="shared" ref="Q34:Q66" si="4">B34/A34</f>
        <v>0.44444444444444442</v>
      </c>
    </row>
    <row r="35" spans="1:17" x14ac:dyDescent="0.3">
      <c r="A35" s="3">
        <v>32</v>
      </c>
      <c r="B35" s="3">
        <v>13</v>
      </c>
      <c r="C35" s="6">
        <v>4.7</v>
      </c>
      <c r="D35" t="s">
        <v>13</v>
      </c>
      <c r="E35" s="3">
        <v>100</v>
      </c>
      <c r="F35" s="6">
        <v>4.8</v>
      </c>
      <c r="G35" t="s">
        <v>39</v>
      </c>
      <c r="H35" s="2">
        <v>0.9</v>
      </c>
      <c r="I35" s="3">
        <v>700</v>
      </c>
      <c r="J35" s="3" t="str">
        <f t="shared" si="2"/>
        <v>Low Price</v>
      </c>
      <c r="K35" t="s">
        <v>179</v>
      </c>
      <c r="L35" t="s">
        <v>33</v>
      </c>
      <c r="M35" t="s">
        <v>18</v>
      </c>
      <c r="N35">
        <v>0.9</v>
      </c>
      <c r="O35" t="str">
        <f t="shared" si="0"/>
        <v>High</v>
      </c>
      <c r="P35">
        <f t="shared" si="3"/>
        <v>9100</v>
      </c>
      <c r="Q35" s="2">
        <f t="shared" si="4"/>
        <v>0.40625</v>
      </c>
    </row>
    <row r="36" spans="1:17" x14ac:dyDescent="0.3">
      <c r="A36" s="3">
        <v>14</v>
      </c>
      <c r="B36" s="3">
        <v>6</v>
      </c>
      <c r="C36" s="6">
        <v>3.6</v>
      </c>
      <c r="D36" t="s">
        <v>20</v>
      </c>
      <c r="E36" s="3">
        <v>500</v>
      </c>
      <c r="F36" s="6">
        <v>3.8</v>
      </c>
      <c r="G36" t="s">
        <v>75</v>
      </c>
      <c r="H36" s="2">
        <v>0.5</v>
      </c>
      <c r="I36" s="3">
        <v>300</v>
      </c>
      <c r="J36" s="3" t="str">
        <f t="shared" si="2"/>
        <v>Low Price</v>
      </c>
      <c r="K36" t="s">
        <v>179</v>
      </c>
      <c r="L36" t="s">
        <v>17</v>
      </c>
      <c r="M36" t="s">
        <v>18</v>
      </c>
      <c r="N36">
        <v>0.6</v>
      </c>
      <c r="O36" t="str">
        <f t="shared" si="0"/>
        <v>Medium</v>
      </c>
      <c r="P36">
        <f t="shared" si="3"/>
        <v>1800</v>
      </c>
      <c r="Q36" s="2">
        <f t="shared" si="4"/>
        <v>0.42857142857142855</v>
      </c>
    </row>
    <row r="37" spans="1:17" x14ac:dyDescent="0.3">
      <c r="A37" s="3">
        <v>7</v>
      </c>
      <c r="B37" s="3">
        <v>2</v>
      </c>
      <c r="C37" s="6">
        <v>2.2999999999999998</v>
      </c>
      <c r="D37" t="s">
        <v>13</v>
      </c>
      <c r="E37" s="3">
        <v>2000</v>
      </c>
      <c r="F37" s="6">
        <v>2.5</v>
      </c>
      <c r="G37" t="s">
        <v>35</v>
      </c>
      <c r="H37" s="2">
        <v>-0.1</v>
      </c>
      <c r="I37" s="3">
        <v>700</v>
      </c>
      <c r="J37" s="3" t="str">
        <f t="shared" si="2"/>
        <v>Low Price</v>
      </c>
      <c r="K37" t="s">
        <v>9</v>
      </c>
      <c r="L37" t="s">
        <v>33</v>
      </c>
      <c r="M37" t="s">
        <v>25</v>
      </c>
      <c r="N37">
        <v>0.05</v>
      </c>
      <c r="O37" t="str">
        <f t="shared" si="0"/>
        <v>Low</v>
      </c>
      <c r="P37">
        <f t="shared" si="3"/>
        <v>1400</v>
      </c>
      <c r="Q37" s="2">
        <f t="shared" si="4"/>
        <v>0.2857142857142857</v>
      </c>
    </row>
    <row r="38" spans="1:17" x14ac:dyDescent="0.3">
      <c r="A38" s="3">
        <v>18</v>
      </c>
      <c r="B38" s="3">
        <v>8</v>
      </c>
      <c r="C38" s="6">
        <v>4</v>
      </c>
      <c r="D38" t="s">
        <v>13</v>
      </c>
      <c r="E38" s="3">
        <v>300</v>
      </c>
      <c r="F38" s="6">
        <v>4.2</v>
      </c>
      <c r="G38" t="s">
        <v>55</v>
      </c>
      <c r="H38" s="2">
        <v>0.8</v>
      </c>
      <c r="I38" s="3">
        <v>100</v>
      </c>
      <c r="J38" s="3" t="str">
        <f t="shared" si="2"/>
        <v>Low Price</v>
      </c>
      <c r="K38" t="s">
        <v>179</v>
      </c>
      <c r="L38" t="s">
        <v>17</v>
      </c>
      <c r="M38" t="s">
        <v>18</v>
      </c>
      <c r="N38">
        <v>0.9</v>
      </c>
      <c r="O38" t="str">
        <f t="shared" si="0"/>
        <v>High</v>
      </c>
      <c r="P38">
        <f t="shared" si="3"/>
        <v>800</v>
      </c>
      <c r="Q38" s="2">
        <f t="shared" si="4"/>
        <v>0.44444444444444442</v>
      </c>
    </row>
    <row r="39" spans="1:17" x14ac:dyDescent="0.3">
      <c r="A39" s="3">
        <v>23</v>
      </c>
      <c r="B39" s="3">
        <v>10</v>
      </c>
      <c r="C39" s="6">
        <v>4.5</v>
      </c>
      <c r="D39" t="s">
        <v>20</v>
      </c>
      <c r="E39" s="3">
        <v>4000</v>
      </c>
      <c r="F39" s="6">
        <v>4.5999999999999996</v>
      </c>
      <c r="G39" t="s">
        <v>53</v>
      </c>
      <c r="H39" s="2">
        <v>0.9</v>
      </c>
      <c r="I39" s="3">
        <v>100</v>
      </c>
      <c r="J39" s="3" t="str">
        <f t="shared" si="2"/>
        <v>Low Price</v>
      </c>
      <c r="K39" t="s">
        <v>9</v>
      </c>
      <c r="L39" t="s">
        <v>33</v>
      </c>
      <c r="M39" t="s">
        <v>34</v>
      </c>
      <c r="N39">
        <v>1</v>
      </c>
      <c r="O39" t="str">
        <f t="shared" si="0"/>
        <v>High</v>
      </c>
      <c r="P39">
        <f t="shared" si="3"/>
        <v>1000</v>
      </c>
      <c r="Q39" s="2">
        <f t="shared" si="4"/>
        <v>0.43478260869565216</v>
      </c>
    </row>
    <row r="40" spans="1:17" x14ac:dyDescent="0.3">
      <c r="A40" s="3">
        <v>11</v>
      </c>
      <c r="B40" s="3">
        <v>3</v>
      </c>
      <c r="C40" s="6">
        <v>2.8</v>
      </c>
      <c r="D40" t="s">
        <v>13</v>
      </c>
      <c r="E40" s="3">
        <v>600</v>
      </c>
      <c r="F40" s="6">
        <v>3</v>
      </c>
      <c r="G40" t="s">
        <v>48</v>
      </c>
      <c r="H40" s="2">
        <v>0.2</v>
      </c>
      <c r="I40" s="3">
        <v>400</v>
      </c>
      <c r="J40" s="3" t="str">
        <f t="shared" si="2"/>
        <v>Low Price</v>
      </c>
      <c r="K40" t="s">
        <v>179</v>
      </c>
      <c r="L40" t="s">
        <v>24</v>
      </c>
      <c r="M40" t="s">
        <v>25</v>
      </c>
      <c r="N40">
        <v>0.1</v>
      </c>
      <c r="O40" t="str">
        <f t="shared" si="0"/>
        <v>Low</v>
      </c>
      <c r="P40">
        <f t="shared" si="3"/>
        <v>1200</v>
      </c>
      <c r="Q40" s="2">
        <f t="shared" si="4"/>
        <v>0.27272727272727271</v>
      </c>
    </row>
    <row r="41" spans="1:17" x14ac:dyDescent="0.3">
      <c r="A41" s="3">
        <v>26</v>
      </c>
      <c r="B41" s="3">
        <v>11</v>
      </c>
      <c r="C41" s="6">
        <v>4.2</v>
      </c>
      <c r="D41" t="s">
        <v>20</v>
      </c>
      <c r="E41" s="3">
        <v>100</v>
      </c>
      <c r="F41" s="6">
        <v>4.4000000000000004</v>
      </c>
      <c r="G41" t="s">
        <v>21</v>
      </c>
      <c r="H41" s="2">
        <v>0.8</v>
      </c>
      <c r="I41" s="3">
        <v>300</v>
      </c>
      <c r="J41" s="3" t="str">
        <f t="shared" si="2"/>
        <v>Low Price</v>
      </c>
      <c r="K41" t="s">
        <v>179</v>
      </c>
      <c r="L41" t="s">
        <v>17</v>
      </c>
      <c r="M41" t="s">
        <v>18</v>
      </c>
      <c r="N41">
        <v>0.9</v>
      </c>
      <c r="O41" t="str">
        <f t="shared" si="0"/>
        <v>High</v>
      </c>
      <c r="P41">
        <f t="shared" si="3"/>
        <v>3300</v>
      </c>
      <c r="Q41" s="2">
        <f t="shared" si="4"/>
        <v>0.42307692307692307</v>
      </c>
    </row>
    <row r="42" spans="1:17" x14ac:dyDescent="0.3">
      <c r="A42" s="3">
        <v>17</v>
      </c>
      <c r="B42" s="3">
        <v>7</v>
      </c>
      <c r="C42" s="6">
        <v>3.9</v>
      </c>
      <c r="D42" t="s">
        <v>13</v>
      </c>
      <c r="E42" s="3">
        <v>5000</v>
      </c>
      <c r="F42" s="6">
        <v>4</v>
      </c>
      <c r="G42" t="s">
        <v>76</v>
      </c>
      <c r="H42" s="2">
        <v>0.7</v>
      </c>
      <c r="I42" s="3">
        <v>900</v>
      </c>
      <c r="J42" s="3" t="str">
        <f t="shared" si="2"/>
        <v>Low Price</v>
      </c>
      <c r="K42" t="s">
        <v>9</v>
      </c>
      <c r="L42" t="s">
        <v>17</v>
      </c>
      <c r="M42" t="s">
        <v>18</v>
      </c>
      <c r="N42">
        <v>0.8</v>
      </c>
      <c r="O42" t="str">
        <f t="shared" si="0"/>
        <v>High</v>
      </c>
      <c r="P42">
        <f t="shared" si="3"/>
        <v>6300</v>
      </c>
      <c r="Q42" s="2">
        <f t="shared" si="4"/>
        <v>0.41176470588235292</v>
      </c>
    </row>
    <row r="43" spans="1:17" x14ac:dyDescent="0.3">
      <c r="A43" s="3">
        <v>12</v>
      </c>
      <c r="B43" s="3">
        <v>5</v>
      </c>
      <c r="C43" s="6">
        <v>3.2</v>
      </c>
      <c r="D43" t="s">
        <v>20</v>
      </c>
      <c r="E43" s="3">
        <v>2000</v>
      </c>
      <c r="F43" s="6">
        <v>3.3</v>
      </c>
      <c r="G43" t="s">
        <v>77</v>
      </c>
      <c r="H43" s="2">
        <v>0.4</v>
      </c>
      <c r="I43" s="3">
        <v>600</v>
      </c>
      <c r="J43" s="3" t="str">
        <f t="shared" si="2"/>
        <v>Low Price</v>
      </c>
      <c r="K43" t="s">
        <v>9</v>
      </c>
      <c r="L43" t="s">
        <v>17</v>
      </c>
      <c r="M43" t="s">
        <v>18</v>
      </c>
      <c r="N43">
        <v>0.5</v>
      </c>
      <c r="O43" t="str">
        <f t="shared" si="0"/>
        <v>Medium</v>
      </c>
      <c r="P43">
        <f t="shared" si="3"/>
        <v>3000</v>
      </c>
      <c r="Q43" s="2">
        <f t="shared" si="4"/>
        <v>0.41666666666666669</v>
      </c>
    </row>
    <row r="44" spans="1:17" x14ac:dyDescent="0.3">
      <c r="A44" s="3">
        <v>5</v>
      </c>
      <c r="B44" s="3">
        <v>1</v>
      </c>
      <c r="C44" s="6">
        <v>1.9</v>
      </c>
      <c r="D44" t="s">
        <v>13</v>
      </c>
      <c r="E44" s="3">
        <v>900</v>
      </c>
      <c r="F44" s="6">
        <v>2</v>
      </c>
      <c r="G44" t="s">
        <v>78</v>
      </c>
      <c r="H44" s="2">
        <v>-0.3</v>
      </c>
      <c r="I44" s="3">
        <v>400</v>
      </c>
      <c r="J44" s="3" t="str">
        <f t="shared" si="2"/>
        <v>Low Price</v>
      </c>
      <c r="K44" t="s">
        <v>179</v>
      </c>
      <c r="L44" t="s">
        <v>24</v>
      </c>
      <c r="M44" t="s">
        <v>25</v>
      </c>
      <c r="N44">
        <v>0.05</v>
      </c>
      <c r="O44" t="str">
        <f t="shared" si="0"/>
        <v>Low</v>
      </c>
      <c r="P44">
        <f t="shared" si="3"/>
        <v>400</v>
      </c>
      <c r="Q44" s="2">
        <f t="shared" si="4"/>
        <v>0.2</v>
      </c>
    </row>
    <row r="45" spans="1:17" x14ac:dyDescent="0.3">
      <c r="A45" s="3">
        <v>31</v>
      </c>
      <c r="B45" s="3">
        <v>12</v>
      </c>
      <c r="C45" s="6">
        <v>4.3</v>
      </c>
      <c r="D45" t="s">
        <v>20</v>
      </c>
      <c r="E45" s="3">
        <v>7000</v>
      </c>
      <c r="F45" s="6">
        <v>4.5</v>
      </c>
      <c r="G45" t="s">
        <v>39</v>
      </c>
      <c r="H45" s="2">
        <v>0.9</v>
      </c>
      <c r="I45" s="3">
        <v>10000</v>
      </c>
      <c r="J45" s="3" t="str">
        <f t="shared" si="2"/>
        <v>High Price</v>
      </c>
      <c r="K45" t="s">
        <v>9</v>
      </c>
      <c r="L45" t="s">
        <v>17</v>
      </c>
      <c r="M45" t="s">
        <v>25</v>
      </c>
      <c r="N45">
        <v>1</v>
      </c>
      <c r="O45" t="str">
        <f t="shared" si="0"/>
        <v>High</v>
      </c>
      <c r="P45">
        <f t="shared" si="3"/>
        <v>120000</v>
      </c>
      <c r="Q45" s="2">
        <f t="shared" si="4"/>
        <v>0.38709677419354838</v>
      </c>
    </row>
    <row r="46" spans="1:17" x14ac:dyDescent="0.3">
      <c r="A46" s="3">
        <v>10</v>
      </c>
      <c r="B46" s="3">
        <v>4</v>
      </c>
      <c r="C46" s="6">
        <v>3</v>
      </c>
      <c r="D46" t="s">
        <v>13</v>
      </c>
      <c r="E46" s="3">
        <v>300</v>
      </c>
      <c r="F46" s="6">
        <v>3.2</v>
      </c>
      <c r="G46" t="s">
        <v>72</v>
      </c>
      <c r="H46" s="2">
        <v>0.1</v>
      </c>
      <c r="I46" s="3">
        <v>100</v>
      </c>
      <c r="J46" s="3" t="str">
        <f t="shared" si="2"/>
        <v>Low Price</v>
      </c>
      <c r="K46" t="s">
        <v>179</v>
      </c>
      <c r="L46" t="s">
        <v>33</v>
      </c>
      <c r="M46" t="s">
        <v>34</v>
      </c>
      <c r="N46">
        <v>0.1</v>
      </c>
      <c r="O46" t="str">
        <f t="shared" si="0"/>
        <v>Low</v>
      </c>
      <c r="P46">
        <f t="shared" si="3"/>
        <v>400</v>
      </c>
      <c r="Q46" s="2">
        <f t="shared" si="4"/>
        <v>0.4</v>
      </c>
    </row>
    <row r="47" spans="1:17" x14ac:dyDescent="0.3">
      <c r="A47" s="3">
        <v>20</v>
      </c>
      <c r="B47" s="3">
        <v>9</v>
      </c>
      <c r="C47" s="6">
        <v>4.3</v>
      </c>
      <c r="D47" t="s">
        <v>20</v>
      </c>
      <c r="E47" s="3">
        <v>600</v>
      </c>
      <c r="F47" s="6">
        <v>4.5</v>
      </c>
      <c r="G47" t="s">
        <v>31</v>
      </c>
      <c r="H47" s="2">
        <v>0.7</v>
      </c>
      <c r="I47" s="3">
        <v>200</v>
      </c>
      <c r="J47" s="3" t="str">
        <f t="shared" si="2"/>
        <v>Low Price</v>
      </c>
      <c r="K47" t="s">
        <v>179</v>
      </c>
      <c r="L47" t="s">
        <v>17</v>
      </c>
      <c r="M47" t="s">
        <v>18</v>
      </c>
      <c r="N47">
        <v>0.8</v>
      </c>
      <c r="O47" t="str">
        <f t="shared" si="0"/>
        <v>High</v>
      </c>
      <c r="P47">
        <f t="shared" si="3"/>
        <v>1800</v>
      </c>
      <c r="Q47" s="2">
        <f t="shared" si="4"/>
        <v>0.45</v>
      </c>
    </row>
    <row r="48" spans="1:17" x14ac:dyDescent="0.3">
      <c r="A48" s="3">
        <v>16</v>
      </c>
      <c r="B48" s="3">
        <v>6</v>
      </c>
      <c r="C48" s="6">
        <v>3.7</v>
      </c>
      <c r="D48" t="s">
        <v>13</v>
      </c>
      <c r="E48" s="3">
        <v>4000</v>
      </c>
      <c r="F48" s="6">
        <v>3.8</v>
      </c>
      <c r="G48" t="s">
        <v>42</v>
      </c>
      <c r="H48" s="2">
        <v>0.6</v>
      </c>
      <c r="I48" s="3">
        <v>800</v>
      </c>
      <c r="J48" s="3" t="str">
        <f t="shared" si="2"/>
        <v>Low Price</v>
      </c>
      <c r="K48" t="s">
        <v>9</v>
      </c>
      <c r="L48" t="s">
        <v>33</v>
      </c>
      <c r="M48" t="s">
        <v>25</v>
      </c>
      <c r="N48">
        <v>0.8</v>
      </c>
      <c r="O48" t="str">
        <f t="shared" si="0"/>
        <v>High</v>
      </c>
      <c r="P48">
        <f t="shared" si="3"/>
        <v>4800</v>
      </c>
      <c r="Q48" s="2">
        <f t="shared" si="4"/>
        <v>0.375</v>
      </c>
    </row>
    <row r="49" spans="1:17" x14ac:dyDescent="0.3">
      <c r="A49" s="3">
        <v>29</v>
      </c>
      <c r="B49" s="3">
        <v>12</v>
      </c>
      <c r="C49" s="6">
        <v>4.5999999999999996</v>
      </c>
      <c r="D49" t="s">
        <v>20</v>
      </c>
      <c r="E49" s="3">
        <v>500</v>
      </c>
      <c r="F49" s="6">
        <v>4.7</v>
      </c>
      <c r="G49" t="s">
        <v>79</v>
      </c>
      <c r="H49" s="2">
        <v>0.9</v>
      </c>
      <c r="I49" s="3">
        <v>700</v>
      </c>
      <c r="J49" s="3" t="str">
        <f t="shared" si="2"/>
        <v>Low Price</v>
      </c>
      <c r="K49" t="s">
        <v>179</v>
      </c>
      <c r="L49" t="s">
        <v>17</v>
      </c>
      <c r="M49" t="s">
        <v>18</v>
      </c>
      <c r="N49">
        <v>0.95</v>
      </c>
      <c r="O49" t="str">
        <f t="shared" si="0"/>
        <v>High</v>
      </c>
      <c r="P49">
        <f t="shared" si="3"/>
        <v>8400</v>
      </c>
      <c r="Q49" s="2">
        <f t="shared" si="4"/>
        <v>0.41379310344827586</v>
      </c>
    </row>
    <row r="50" spans="1:17" x14ac:dyDescent="0.3">
      <c r="A50" s="3">
        <v>24</v>
      </c>
      <c r="B50" s="3">
        <v>10</v>
      </c>
      <c r="C50" s="6">
        <v>4.4000000000000004</v>
      </c>
      <c r="D50" t="s">
        <v>13</v>
      </c>
      <c r="E50" s="3">
        <v>200</v>
      </c>
      <c r="F50" s="6">
        <v>4.5</v>
      </c>
      <c r="G50" t="s">
        <v>44</v>
      </c>
      <c r="H50" s="2">
        <v>0.8</v>
      </c>
      <c r="I50" s="3">
        <v>300</v>
      </c>
      <c r="J50" s="3" t="str">
        <f t="shared" si="2"/>
        <v>Low Price</v>
      </c>
      <c r="K50" t="s">
        <v>179</v>
      </c>
      <c r="L50" t="s">
        <v>33</v>
      </c>
      <c r="M50" t="s">
        <v>25</v>
      </c>
      <c r="N50">
        <v>0.9</v>
      </c>
      <c r="O50" t="str">
        <f t="shared" si="0"/>
        <v>High</v>
      </c>
      <c r="P50">
        <f t="shared" si="3"/>
        <v>3000</v>
      </c>
      <c r="Q50" s="2">
        <f t="shared" si="4"/>
        <v>0.41666666666666669</v>
      </c>
    </row>
    <row r="51" spans="1:17" x14ac:dyDescent="0.3">
      <c r="A51" s="3">
        <v>8</v>
      </c>
      <c r="B51" s="3">
        <v>3</v>
      </c>
      <c r="C51" s="6">
        <v>3.2</v>
      </c>
      <c r="D51" t="s">
        <v>20</v>
      </c>
      <c r="E51" s="3">
        <v>4000</v>
      </c>
      <c r="F51" s="6">
        <v>3.4</v>
      </c>
      <c r="G51" t="s">
        <v>66</v>
      </c>
      <c r="H51" s="2">
        <v>0.4</v>
      </c>
      <c r="I51" s="3">
        <v>900</v>
      </c>
      <c r="J51" s="3" t="str">
        <f t="shared" si="2"/>
        <v>Low Price</v>
      </c>
      <c r="K51" t="s">
        <v>9</v>
      </c>
      <c r="L51" t="s">
        <v>17</v>
      </c>
      <c r="M51" t="s">
        <v>18</v>
      </c>
      <c r="N51">
        <v>0.5</v>
      </c>
      <c r="O51" t="str">
        <f t="shared" si="0"/>
        <v>Medium</v>
      </c>
      <c r="P51">
        <f t="shared" si="3"/>
        <v>2700</v>
      </c>
      <c r="Q51" s="2">
        <f t="shared" si="4"/>
        <v>0.375</v>
      </c>
    </row>
    <row r="52" spans="1:17" x14ac:dyDescent="0.3">
      <c r="A52" s="3">
        <v>21</v>
      </c>
      <c r="B52" s="3">
        <v>9</v>
      </c>
      <c r="C52" s="6">
        <v>4.0999999999999996</v>
      </c>
      <c r="D52" t="s">
        <v>13</v>
      </c>
      <c r="E52" s="3">
        <v>500</v>
      </c>
      <c r="F52" s="6">
        <v>4.3</v>
      </c>
      <c r="G52" t="s">
        <v>78</v>
      </c>
      <c r="H52" s="2">
        <v>0.8</v>
      </c>
      <c r="I52" s="3">
        <v>200</v>
      </c>
      <c r="J52" s="3" t="str">
        <f t="shared" si="2"/>
        <v>Low Price</v>
      </c>
      <c r="K52" t="s">
        <v>179</v>
      </c>
      <c r="L52" t="s">
        <v>33</v>
      </c>
      <c r="M52" t="s">
        <v>34</v>
      </c>
      <c r="N52">
        <v>0.9</v>
      </c>
      <c r="O52" t="str">
        <f t="shared" si="0"/>
        <v>High</v>
      </c>
      <c r="P52">
        <f t="shared" si="3"/>
        <v>1800</v>
      </c>
      <c r="Q52" s="2">
        <f t="shared" si="4"/>
        <v>0.42857142857142855</v>
      </c>
    </row>
    <row r="53" spans="1:17" x14ac:dyDescent="0.3">
      <c r="A53" s="3">
        <v>5</v>
      </c>
      <c r="B53" s="3">
        <v>2</v>
      </c>
      <c r="C53" s="6">
        <v>2.6</v>
      </c>
      <c r="D53" t="s">
        <v>13</v>
      </c>
      <c r="E53" s="3">
        <v>700</v>
      </c>
      <c r="F53" s="6">
        <v>2.8</v>
      </c>
      <c r="G53" t="s">
        <v>55</v>
      </c>
      <c r="H53" s="2">
        <v>-0.2</v>
      </c>
      <c r="I53" s="3">
        <v>500</v>
      </c>
      <c r="J53" s="3" t="str">
        <f t="shared" si="2"/>
        <v>Low Price</v>
      </c>
      <c r="K53" t="s">
        <v>179</v>
      </c>
      <c r="L53" t="s">
        <v>17</v>
      </c>
      <c r="M53" t="s">
        <v>18</v>
      </c>
      <c r="N53">
        <v>0.05</v>
      </c>
      <c r="O53" t="str">
        <f t="shared" si="0"/>
        <v>Low</v>
      </c>
      <c r="P53">
        <f t="shared" si="3"/>
        <v>1000</v>
      </c>
      <c r="Q53" s="2">
        <f t="shared" si="4"/>
        <v>0.4</v>
      </c>
    </row>
    <row r="54" spans="1:17" x14ac:dyDescent="0.3">
      <c r="A54" s="3">
        <v>17</v>
      </c>
      <c r="B54" s="3">
        <v>7</v>
      </c>
      <c r="C54" s="6">
        <v>3.9</v>
      </c>
      <c r="D54" t="s">
        <v>20</v>
      </c>
      <c r="E54" s="3">
        <v>3000</v>
      </c>
      <c r="F54" s="6">
        <v>4</v>
      </c>
      <c r="G54" t="s">
        <v>75</v>
      </c>
      <c r="H54" s="2">
        <v>0.7</v>
      </c>
      <c r="I54" s="3">
        <v>600</v>
      </c>
      <c r="J54" s="3" t="str">
        <f t="shared" si="2"/>
        <v>Low Price</v>
      </c>
      <c r="K54" t="s">
        <v>9</v>
      </c>
      <c r="L54" t="s">
        <v>33</v>
      </c>
      <c r="M54" t="s">
        <v>18</v>
      </c>
      <c r="N54">
        <v>0.8</v>
      </c>
      <c r="O54" t="str">
        <f t="shared" si="0"/>
        <v>High</v>
      </c>
      <c r="P54">
        <f t="shared" si="3"/>
        <v>4200</v>
      </c>
      <c r="Q54" s="2">
        <f t="shared" si="4"/>
        <v>0.41176470588235292</v>
      </c>
    </row>
    <row r="55" spans="1:17" x14ac:dyDescent="0.3">
      <c r="A55" s="3">
        <v>11</v>
      </c>
      <c r="B55" s="3">
        <v>4</v>
      </c>
      <c r="C55" s="6">
        <v>3.1</v>
      </c>
      <c r="D55" t="s">
        <v>13</v>
      </c>
      <c r="E55" s="3">
        <v>200</v>
      </c>
      <c r="F55" s="6">
        <v>3.2</v>
      </c>
      <c r="G55" t="s">
        <v>70</v>
      </c>
      <c r="H55" s="2">
        <v>0.1</v>
      </c>
      <c r="I55" s="3">
        <v>100</v>
      </c>
      <c r="J55" s="3" t="str">
        <f t="shared" si="2"/>
        <v>Low Price</v>
      </c>
      <c r="K55" t="s">
        <v>179</v>
      </c>
      <c r="L55" t="s">
        <v>24</v>
      </c>
      <c r="M55" t="s">
        <v>18</v>
      </c>
      <c r="N55">
        <v>0.1</v>
      </c>
      <c r="O55" t="str">
        <f t="shared" si="0"/>
        <v>Low</v>
      </c>
      <c r="P55">
        <f t="shared" si="3"/>
        <v>400</v>
      </c>
      <c r="Q55" s="2">
        <f t="shared" si="4"/>
        <v>0.36363636363636365</v>
      </c>
    </row>
    <row r="56" spans="1:17" x14ac:dyDescent="0.3">
      <c r="A56" s="3">
        <v>28</v>
      </c>
      <c r="B56" s="3">
        <v>13</v>
      </c>
      <c r="C56" s="6">
        <v>4.5</v>
      </c>
      <c r="D56" t="s">
        <v>20</v>
      </c>
      <c r="E56" s="3">
        <v>2000</v>
      </c>
      <c r="F56" s="6">
        <v>4.5999999999999996</v>
      </c>
      <c r="G56" t="s">
        <v>68</v>
      </c>
      <c r="H56" s="2">
        <v>0.85</v>
      </c>
      <c r="I56" s="3">
        <v>1000</v>
      </c>
      <c r="J56" s="3" t="str">
        <f t="shared" si="2"/>
        <v>Medium Price</v>
      </c>
      <c r="K56" t="s">
        <v>179</v>
      </c>
      <c r="L56" t="s">
        <v>17</v>
      </c>
      <c r="M56" t="s">
        <v>18</v>
      </c>
      <c r="N56">
        <v>0.9</v>
      </c>
      <c r="O56" t="str">
        <f t="shared" si="0"/>
        <v>High</v>
      </c>
      <c r="P56">
        <f t="shared" si="3"/>
        <v>13000</v>
      </c>
      <c r="Q56" s="2">
        <f t="shared" si="4"/>
        <v>0.4642857142857143</v>
      </c>
    </row>
    <row r="57" spans="1:17" x14ac:dyDescent="0.3">
      <c r="A57" s="3">
        <v>13</v>
      </c>
      <c r="B57" s="3">
        <v>5</v>
      </c>
      <c r="C57" s="6">
        <v>3.4</v>
      </c>
      <c r="D57" t="s">
        <v>13</v>
      </c>
      <c r="E57" s="3">
        <v>8000</v>
      </c>
      <c r="F57" s="6">
        <v>3.5</v>
      </c>
      <c r="G57" t="s">
        <v>50</v>
      </c>
      <c r="H57" s="2">
        <v>0.7</v>
      </c>
      <c r="I57" s="3">
        <v>900</v>
      </c>
      <c r="J57" s="3" t="str">
        <f t="shared" si="2"/>
        <v>Low Price</v>
      </c>
      <c r="K57" t="s">
        <v>179</v>
      </c>
      <c r="L57" t="s">
        <v>33</v>
      </c>
      <c r="M57" t="s">
        <v>34</v>
      </c>
      <c r="N57">
        <v>0.8</v>
      </c>
      <c r="O57" t="str">
        <f t="shared" si="0"/>
        <v>High</v>
      </c>
      <c r="P57">
        <f t="shared" si="3"/>
        <v>4500</v>
      </c>
      <c r="Q57" s="2">
        <f t="shared" si="4"/>
        <v>0.38461538461538464</v>
      </c>
    </row>
    <row r="58" spans="1:17" x14ac:dyDescent="0.3">
      <c r="A58" s="3">
        <v>9</v>
      </c>
      <c r="B58" s="3">
        <v>4</v>
      </c>
      <c r="C58" s="6">
        <v>2.9</v>
      </c>
      <c r="D58" t="s">
        <v>20</v>
      </c>
      <c r="E58" s="3">
        <v>4000</v>
      </c>
      <c r="F58" s="6">
        <v>3</v>
      </c>
      <c r="G58" t="s">
        <v>80</v>
      </c>
      <c r="H58" s="2">
        <v>-0.2</v>
      </c>
      <c r="I58" s="3">
        <v>500</v>
      </c>
      <c r="J58" s="3" t="str">
        <f t="shared" si="2"/>
        <v>Low Price</v>
      </c>
      <c r="K58" t="s">
        <v>9</v>
      </c>
      <c r="L58" t="s">
        <v>17</v>
      </c>
      <c r="M58" t="s">
        <v>18</v>
      </c>
      <c r="N58">
        <v>0.05</v>
      </c>
      <c r="O58" t="str">
        <f t="shared" si="0"/>
        <v>Low</v>
      </c>
      <c r="P58">
        <f t="shared" si="3"/>
        <v>2000</v>
      </c>
      <c r="Q58" s="2">
        <f t="shared" si="4"/>
        <v>0.44444444444444442</v>
      </c>
    </row>
    <row r="59" spans="1:17" x14ac:dyDescent="0.3">
      <c r="A59" s="3">
        <v>36</v>
      </c>
      <c r="B59" s="3">
        <v>15</v>
      </c>
      <c r="C59" s="6">
        <v>4.7</v>
      </c>
      <c r="D59" t="s">
        <v>13</v>
      </c>
      <c r="E59" s="3">
        <v>300</v>
      </c>
      <c r="F59" s="6">
        <v>4.8</v>
      </c>
      <c r="G59" t="s">
        <v>71</v>
      </c>
      <c r="H59" s="2">
        <v>0.9</v>
      </c>
      <c r="I59" s="3">
        <v>800</v>
      </c>
      <c r="J59" s="3" t="str">
        <f t="shared" si="2"/>
        <v>Low Price</v>
      </c>
      <c r="K59" t="s">
        <v>179</v>
      </c>
      <c r="L59" t="s">
        <v>33</v>
      </c>
      <c r="M59" t="s">
        <v>18</v>
      </c>
      <c r="N59">
        <v>1</v>
      </c>
      <c r="O59" t="str">
        <f t="shared" si="0"/>
        <v>High</v>
      </c>
      <c r="P59">
        <f t="shared" si="3"/>
        <v>12000</v>
      </c>
      <c r="Q59" s="2">
        <f t="shared" si="4"/>
        <v>0.41666666666666669</v>
      </c>
    </row>
    <row r="60" spans="1:17" x14ac:dyDescent="0.3">
      <c r="A60" s="3">
        <v>7</v>
      </c>
      <c r="B60" s="3">
        <v>2</v>
      </c>
      <c r="C60" s="6">
        <v>2.5</v>
      </c>
      <c r="D60" t="s">
        <v>20</v>
      </c>
      <c r="E60" s="3">
        <v>1000</v>
      </c>
      <c r="F60" s="6">
        <v>2.7</v>
      </c>
      <c r="G60" t="s">
        <v>62</v>
      </c>
      <c r="H60" s="2">
        <v>0</v>
      </c>
      <c r="I60" s="3">
        <v>200</v>
      </c>
      <c r="J60" s="3" t="str">
        <f t="shared" si="2"/>
        <v>Low Price</v>
      </c>
      <c r="K60" t="s">
        <v>9</v>
      </c>
      <c r="L60" t="s">
        <v>33</v>
      </c>
      <c r="M60" t="s">
        <v>34</v>
      </c>
      <c r="N60">
        <v>0.1</v>
      </c>
      <c r="O60" t="str">
        <f t="shared" si="0"/>
        <v>Low</v>
      </c>
      <c r="P60">
        <f t="shared" si="3"/>
        <v>400</v>
      </c>
      <c r="Q60" s="2">
        <f t="shared" si="4"/>
        <v>0.2857142857142857</v>
      </c>
    </row>
    <row r="61" spans="1:17" x14ac:dyDescent="0.3">
      <c r="A61" s="3">
        <v>20</v>
      </c>
      <c r="B61" s="3">
        <v>8</v>
      </c>
      <c r="C61" s="6">
        <v>4.3</v>
      </c>
      <c r="D61" t="s">
        <v>13</v>
      </c>
      <c r="E61" s="3">
        <v>500</v>
      </c>
      <c r="F61" s="6">
        <v>4.5</v>
      </c>
      <c r="G61" t="s">
        <v>75</v>
      </c>
      <c r="H61" s="2">
        <v>0.8</v>
      </c>
      <c r="I61" s="3">
        <v>300</v>
      </c>
      <c r="J61" s="3" t="str">
        <f t="shared" si="2"/>
        <v>Low Price</v>
      </c>
      <c r="K61" t="s">
        <v>179</v>
      </c>
      <c r="L61" t="s">
        <v>17</v>
      </c>
      <c r="M61" t="s">
        <v>18</v>
      </c>
      <c r="N61">
        <v>0.9</v>
      </c>
      <c r="O61" t="str">
        <f t="shared" si="0"/>
        <v>High</v>
      </c>
      <c r="P61">
        <f t="shared" si="3"/>
        <v>2400</v>
      </c>
      <c r="Q61" s="2">
        <f t="shared" si="4"/>
        <v>0.4</v>
      </c>
    </row>
    <row r="62" spans="1:17" x14ac:dyDescent="0.3">
      <c r="A62" s="3">
        <v>14</v>
      </c>
      <c r="B62" s="3">
        <v>6</v>
      </c>
      <c r="C62" s="6">
        <v>3.5</v>
      </c>
      <c r="D62" t="s">
        <v>20</v>
      </c>
      <c r="E62" s="3">
        <v>6000</v>
      </c>
      <c r="F62" s="6">
        <v>3.7</v>
      </c>
      <c r="G62" t="s">
        <v>55</v>
      </c>
      <c r="H62" s="2">
        <v>0.5</v>
      </c>
      <c r="I62" s="3">
        <v>800</v>
      </c>
      <c r="J62" s="3" t="str">
        <f t="shared" si="2"/>
        <v>Low Price</v>
      </c>
      <c r="K62" t="s">
        <v>9</v>
      </c>
      <c r="L62" t="s">
        <v>17</v>
      </c>
      <c r="M62" t="s">
        <v>18</v>
      </c>
      <c r="N62">
        <v>0.6</v>
      </c>
      <c r="O62" t="str">
        <f t="shared" si="0"/>
        <v>Medium</v>
      </c>
      <c r="P62">
        <f t="shared" si="3"/>
        <v>4800</v>
      </c>
      <c r="Q62" s="2">
        <f t="shared" si="4"/>
        <v>0.42857142857142855</v>
      </c>
    </row>
    <row r="63" spans="1:17" x14ac:dyDescent="0.3">
      <c r="A63" s="3">
        <v>33</v>
      </c>
      <c r="B63" s="3">
        <v>14</v>
      </c>
      <c r="C63" s="6">
        <v>4.8</v>
      </c>
      <c r="D63" t="s">
        <v>13</v>
      </c>
      <c r="E63" s="3">
        <v>200</v>
      </c>
      <c r="F63" s="6">
        <v>4.9000000000000004</v>
      </c>
      <c r="G63" t="s">
        <v>60</v>
      </c>
      <c r="H63" s="2">
        <v>0.9</v>
      </c>
      <c r="I63" s="3">
        <v>700</v>
      </c>
      <c r="J63" s="3" t="str">
        <f t="shared" si="2"/>
        <v>Low Price</v>
      </c>
      <c r="K63" t="s">
        <v>179</v>
      </c>
      <c r="L63" t="s">
        <v>33</v>
      </c>
      <c r="M63" t="s">
        <v>25</v>
      </c>
      <c r="N63">
        <v>1</v>
      </c>
      <c r="O63" t="str">
        <f t="shared" si="0"/>
        <v>High</v>
      </c>
      <c r="P63">
        <f t="shared" si="3"/>
        <v>9800</v>
      </c>
      <c r="Q63" s="2">
        <f t="shared" si="4"/>
        <v>0.42424242424242425</v>
      </c>
    </row>
    <row r="64" spans="1:17" x14ac:dyDescent="0.3">
      <c r="A64" s="3">
        <v>6</v>
      </c>
      <c r="B64" s="3">
        <v>2</v>
      </c>
      <c r="C64" s="6">
        <v>2.7</v>
      </c>
      <c r="D64" t="s">
        <v>20</v>
      </c>
      <c r="E64" s="3">
        <v>100</v>
      </c>
      <c r="F64" s="6">
        <v>2.8</v>
      </c>
      <c r="G64" t="s">
        <v>35</v>
      </c>
      <c r="H64" s="2">
        <v>-0.1</v>
      </c>
      <c r="I64" s="3">
        <v>700</v>
      </c>
      <c r="J64" s="3" t="str">
        <f t="shared" si="2"/>
        <v>Low Price</v>
      </c>
      <c r="K64" t="s">
        <v>9</v>
      </c>
      <c r="L64" t="s">
        <v>33</v>
      </c>
      <c r="M64" t="s">
        <v>34</v>
      </c>
      <c r="N64">
        <v>0.05</v>
      </c>
      <c r="O64" t="str">
        <f t="shared" si="0"/>
        <v>Low</v>
      </c>
      <c r="P64">
        <f t="shared" si="3"/>
        <v>1400</v>
      </c>
      <c r="Q64" s="2">
        <f t="shared" si="4"/>
        <v>0.33333333333333331</v>
      </c>
    </row>
    <row r="65" spans="1:17" x14ac:dyDescent="0.3">
      <c r="A65" s="3">
        <v>19</v>
      </c>
      <c r="B65" s="3">
        <v>8</v>
      </c>
      <c r="C65" s="6">
        <v>4.2</v>
      </c>
      <c r="D65" t="s">
        <v>13</v>
      </c>
      <c r="E65" s="3">
        <v>3000</v>
      </c>
      <c r="F65" s="6">
        <v>4.3</v>
      </c>
      <c r="G65" t="s">
        <v>39</v>
      </c>
      <c r="H65" s="2">
        <v>0.8</v>
      </c>
      <c r="I65" s="3">
        <v>1000</v>
      </c>
      <c r="J65" s="3" t="str">
        <f t="shared" si="2"/>
        <v>Medium Price</v>
      </c>
      <c r="K65" t="s">
        <v>179</v>
      </c>
      <c r="L65" t="s">
        <v>17</v>
      </c>
      <c r="M65" t="s">
        <v>18</v>
      </c>
      <c r="N65">
        <v>0.9</v>
      </c>
      <c r="O65" t="str">
        <f t="shared" si="0"/>
        <v>High</v>
      </c>
      <c r="P65">
        <f t="shared" si="3"/>
        <v>8000</v>
      </c>
      <c r="Q65" s="2">
        <f t="shared" si="4"/>
        <v>0.42105263157894735</v>
      </c>
    </row>
    <row r="66" spans="1:17" x14ac:dyDescent="0.3">
      <c r="A66" s="3">
        <v>10</v>
      </c>
      <c r="B66" s="3">
        <v>3</v>
      </c>
      <c r="C66" s="6">
        <v>2.8</v>
      </c>
      <c r="D66" t="s">
        <v>20</v>
      </c>
      <c r="E66" s="3">
        <v>900</v>
      </c>
      <c r="F66" s="6">
        <v>3</v>
      </c>
      <c r="G66" t="s">
        <v>31</v>
      </c>
      <c r="H66" s="2">
        <v>0.1</v>
      </c>
      <c r="I66" s="3">
        <v>400</v>
      </c>
      <c r="J66" s="3" t="str">
        <f t="shared" ref="J66:J129" si="5">IF(I66&gt;5000, "High Price", IF(I66&gt;=1000, "Medium Price", IF(I66&lt;1000, "Low Price")))</f>
        <v>Low Price</v>
      </c>
      <c r="K66" t="s">
        <v>179</v>
      </c>
      <c r="L66" t="s">
        <v>33</v>
      </c>
      <c r="M66" t="s">
        <v>18</v>
      </c>
      <c r="N66">
        <v>0.1</v>
      </c>
      <c r="O66" t="str">
        <f t="shared" ref="O66:O129" si="6">IF(N66&gt;=0.8,"High",IF(N66&gt;=0.4,"Medium",IF(N66&lt;0.4,"Low")))</f>
        <v>Low</v>
      </c>
      <c r="P66">
        <f t="shared" si="3"/>
        <v>1200</v>
      </c>
      <c r="Q66" s="2">
        <f t="shared" si="4"/>
        <v>0.3</v>
      </c>
    </row>
    <row r="67" spans="1:17" x14ac:dyDescent="0.3">
      <c r="A67" s="3">
        <v>25</v>
      </c>
      <c r="B67" s="3">
        <v>11</v>
      </c>
      <c r="C67" s="6">
        <v>4.4000000000000004</v>
      </c>
      <c r="D67" t="s">
        <v>13</v>
      </c>
      <c r="E67" s="3">
        <v>8000</v>
      </c>
      <c r="F67" s="6">
        <v>4.5</v>
      </c>
      <c r="G67" t="s">
        <v>66</v>
      </c>
      <c r="H67" s="2">
        <v>0.85</v>
      </c>
      <c r="I67" s="3">
        <v>900</v>
      </c>
      <c r="J67" s="3" t="str">
        <f t="shared" si="5"/>
        <v>Low Price</v>
      </c>
      <c r="K67" t="s">
        <v>179</v>
      </c>
      <c r="L67" t="s">
        <v>33</v>
      </c>
      <c r="M67" t="s">
        <v>25</v>
      </c>
      <c r="N67">
        <v>0.9</v>
      </c>
      <c r="O67" t="str">
        <f t="shared" si="6"/>
        <v>High</v>
      </c>
      <c r="P67">
        <f t="shared" ref="P67:P130" si="7">I67*B67</f>
        <v>9900</v>
      </c>
      <c r="Q67" s="2">
        <f t="shared" ref="Q67:Q130" si="8">B67/A67</f>
        <v>0.44</v>
      </c>
    </row>
    <row r="68" spans="1:17" x14ac:dyDescent="0.3">
      <c r="A68" s="3">
        <v>15</v>
      </c>
      <c r="B68" s="3">
        <v>6</v>
      </c>
      <c r="C68" s="6">
        <v>3.6</v>
      </c>
      <c r="D68" t="s">
        <v>20</v>
      </c>
      <c r="E68" s="3">
        <v>200</v>
      </c>
      <c r="F68" s="6">
        <v>3.8</v>
      </c>
      <c r="G68" t="s">
        <v>21</v>
      </c>
      <c r="H68" s="2">
        <v>-0.3</v>
      </c>
      <c r="I68" s="3">
        <v>500</v>
      </c>
      <c r="J68" s="3" t="str">
        <f t="shared" si="5"/>
        <v>Low Price</v>
      </c>
      <c r="K68" t="s">
        <v>9</v>
      </c>
      <c r="L68" t="s">
        <v>24</v>
      </c>
      <c r="M68" t="s">
        <v>18</v>
      </c>
      <c r="N68">
        <v>0.05</v>
      </c>
      <c r="O68" t="str">
        <f t="shared" si="6"/>
        <v>Low</v>
      </c>
      <c r="P68">
        <f t="shared" si="7"/>
        <v>3000</v>
      </c>
      <c r="Q68" s="2">
        <f t="shared" si="8"/>
        <v>0.4</v>
      </c>
    </row>
    <row r="69" spans="1:17" x14ac:dyDescent="0.3">
      <c r="A69" s="3">
        <v>29</v>
      </c>
      <c r="B69" s="3">
        <v>12</v>
      </c>
      <c r="C69" s="6">
        <v>4.5999999999999996</v>
      </c>
      <c r="D69" t="s">
        <v>13</v>
      </c>
      <c r="E69" s="3">
        <v>6000</v>
      </c>
      <c r="F69" s="6">
        <v>4.7</v>
      </c>
      <c r="G69" t="s">
        <v>42</v>
      </c>
      <c r="H69" s="2">
        <v>0.9</v>
      </c>
      <c r="I69" s="3">
        <v>800</v>
      </c>
      <c r="J69" s="3" t="str">
        <f t="shared" si="5"/>
        <v>Low Price</v>
      </c>
      <c r="K69" t="s">
        <v>179</v>
      </c>
      <c r="L69" t="s">
        <v>17</v>
      </c>
      <c r="M69" t="s">
        <v>25</v>
      </c>
      <c r="N69">
        <v>1</v>
      </c>
      <c r="O69" t="str">
        <f t="shared" si="6"/>
        <v>High</v>
      </c>
      <c r="P69">
        <f t="shared" si="7"/>
        <v>9600</v>
      </c>
      <c r="Q69" s="2">
        <f t="shared" si="8"/>
        <v>0.41379310344827586</v>
      </c>
    </row>
    <row r="70" spans="1:17" x14ac:dyDescent="0.3">
      <c r="A70" s="3">
        <v>22</v>
      </c>
      <c r="B70" s="3">
        <v>9</v>
      </c>
      <c r="C70" s="6">
        <v>4.5</v>
      </c>
      <c r="D70" t="s">
        <v>20</v>
      </c>
      <c r="E70" s="3">
        <v>400</v>
      </c>
      <c r="F70" s="6">
        <v>4.5999999999999996</v>
      </c>
      <c r="G70" t="s">
        <v>27</v>
      </c>
      <c r="H70" s="2">
        <v>0.85</v>
      </c>
      <c r="I70" s="3">
        <v>300</v>
      </c>
      <c r="J70" s="3" t="str">
        <f t="shared" si="5"/>
        <v>Low Price</v>
      </c>
      <c r="K70" t="s">
        <v>179</v>
      </c>
      <c r="L70" t="s">
        <v>33</v>
      </c>
      <c r="M70" t="s">
        <v>18</v>
      </c>
      <c r="N70">
        <v>0.9</v>
      </c>
      <c r="O70" t="str">
        <f t="shared" si="6"/>
        <v>High</v>
      </c>
      <c r="P70">
        <f t="shared" si="7"/>
        <v>2700</v>
      </c>
      <c r="Q70" s="2">
        <f t="shared" si="8"/>
        <v>0.40909090909090912</v>
      </c>
    </row>
    <row r="71" spans="1:17" x14ac:dyDescent="0.3">
      <c r="A71" s="3">
        <v>12</v>
      </c>
      <c r="B71" s="3">
        <v>5</v>
      </c>
      <c r="C71" s="6">
        <v>3</v>
      </c>
      <c r="D71" t="s">
        <v>13</v>
      </c>
      <c r="E71" s="3">
        <v>3000</v>
      </c>
      <c r="F71" s="6">
        <v>3.1</v>
      </c>
      <c r="G71" t="s">
        <v>73</v>
      </c>
      <c r="H71" s="2">
        <v>0.2</v>
      </c>
      <c r="I71" s="3">
        <v>1000</v>
      </c>
      <c r="J71" s="3" t="str">
        <f t="shared" si="5"/>
        <v>Medium Price</v>
      </c>
      <c r="K71" t="s">
        <v>9</v>
      </c>
      <c r="L71" t="s">
        <v>17</v>
      </c>
      <c r="M71" t="s">
        <v>18</v>
      </c>
      <c r="N71">
        <v>0.2</v>
      </c>
      <c r="O71" t="str">
        <f t="shared" si="6"/>
        <v>Low</v>
      </c>
      <c r="P71">
        <f t="shared" si="7"/>
        <v>5000</v>
      </c>
      <c r="Q71" s="2">
        <f t="shared" si="8"/>
        <v>0.41666666666666669</v>
      </c>
    </row>
    <row r="72" spans="1:17" x14ac:dyDescent="0.3">
      <c r="A72" s="3">
        <v>16</v>
      </c>
      <c r="B72" s="3">
        <v>7</v>
      </c>
      <c r="C72" s="6">
        <v>3.8</v>
      </c>
      <c r="D72" t="s">
        <v>20</v>
      </c>
      <c r="E72" s="3">
        <v>800</v>
      </c>
      <c r="F72" s="6">
        <v>4</v>
      </c>
      <c r="G72" t="s">
        <v>21</v>
      </c>
      <c r="H72" s="2">
        <v>0.7</v>
      </c>
      <c r="I72" s="3">
        <v>200</v>
      </c>
      <c r="J72" s="3" t="str">
        <f t="shared" si="5"/>
        <v>Low Price</v>
      </c>
      <c r="K72" t="s">
        <v>179</v>
      </c>
      <c r="L72" t="s">
        <v>17</v>
      </c>
      <c r="M72" t="s">
        <v>18</v>
      </c>
      <c r="N72">
        <v>0.8</v>
      </c>
      <c r="O72" t="str">
        <f t="shared" si="6"/>
        <v>High</v>
      </c>
      <c r="P72">
        <f t="shared" si="7"/>
        <v>1400</v>
      </c>
      <c r="Q72" s="2">
        <f t="shared" si="8"/>
        <v>0.4375</v>
      </c>
    </row>
    <row r="73" spans="1:17" x14ac:dyDescent="0.3">
      <c r="A73" s="3">
        <v>31</v>
      </c>
      <c r="B73" s="3">
        <v>14</v>
      </c>
      <c r="C73" s="6">
        <v>4.9000000000000004</v>
      </c>
      <c r="D73" t="s">
        <v>13</v>
      </c>
      <c r="E73" s="3">
        <v>1000</v>
      </c>
      <c r="F73" s="6">
        <v>5</v>
      </c>
      <c r="G73" t="s">
        <v>39</v>
      </c>
      <c r="H73" s="2">
        <v>0.9</v>
      </c>
      <c r="I73" s="3">
        <v>700</v>
      </c>
      <c r="J73" s="3" t="str">
        <f t="shared" si="5"/>
        <v>Low Price</v>
      </c>
      <c r="K73" t="s">
        <v>179</v>
      </c>
      <c r="L73" t="s">
        <v>33</v>
      </c>
      <c r="M73" t="s">
        <v>18</v>
      </c>
      <c r="N73">
        <v>1</v>
      </c>
      <c r="O73" t="str">
        <f t="shared" si="6"/>
        <v>High</v>
      </c>
      <c r="P73">
        <f t="shared" si="7"/>
        <v>9800</v>
      </c>
      <c r="Q73" s="2">
        <f t="shared" si="8"/>
        <v>0.45161290322580644</v>
      </c>
    </row>
    <row r="74" spans="1:17" x14ac:dyDescent="0.3">
      <c r="A74" s="3">
        <v>4</v>
      </c>
      <c r="B74" s="3">
        <v>1</v>
      </c>
      <c r="C74" s="6">
        <v>1.7</v>
      </c>
      <c r="D74" t="s">
        <v>20</v>
      </c>
      <c r="E74" s="3">
        <v>6000</v>
      </c>
      <c r="F74" s="6">
        <v>1.8</v>
      </c>
      <c r="G74" t="s">
        <v>80</v>
      </c>
      <c r="H74" s="2">
        <v>-0.3</v>
      </c>
      <c r="I74" s="3">
        <v>500</v>
      </c>
      <c r="J74" s="3" t="str">
        <f t="shared" si="5"/>
        <v>Low Price</v>
      </c>
      <c r="K74" t="s">
        <v>9</v>
      </c>
      <c r="L74" t="s">
        <v>33</v>
      </c>
      <c r="M74" t="s">
        <v>18</v>
      </c>
      <c r="N74">
        <v>0.05</v>
      </c>
      <c r="O74" t="str">
        <f t="shared" si="6"/>
        <v>Low</v>
      </c>
      <c r="P74">
        <f t="shared" si="7"/>
        <v>500</v>
      </c>
      <c r="Q74" s="2">
        <f t="shared" si="8"/>
        <v>0.25</v>
      </c>
    </row>
    <row r="75" spans="1:17" x14ac:dyDescent="0.3">
      <c r="A75" s="3">
        <v>26</v>
      </c>
      <c r="B75" s="3">
        <v>11</v>
      </c>
      <c r="C75" s="6">
        <v>4.3</v>
      </c>
      <c r="D75" t="s">
        <v>13</v>
      </c>
      <c r="E75" s="3">
        <v>200</v>
      </c>
      <c r="F75" s="6">
        <v>4.4000000000000004</v>
      </c>
      <c r="G75" t="s">
        <v>47</v>
      </c>
      <c r="H75" s="2">
        <v>0.8</v>
      </c>
      <c r="I75" s="3">
        <v>300</v>
      </c>
      <c r="J75" s="3" t="str">
        <f t="shared" si="5"/>
        <v>Low Price</v>
      </c>
      <c r="K75" t="s">
        <v>179</v>
      </c>
      <c r="L75" t="s">
        <v>17</v>
      </c>
      <c r="M75" t="s">
        <v>18</v>
      </c>
      <c r="N75">
        <v>0.9</v>
      </c>
      <c r="O75" t="str">
        <f t="shared" si="6"/>
        <v>High</v>
      </c>
      <c r="P75">
        <f t="shared" si="7"/>
        <v>3300</v>
      </c>
      <c r="Q75" s="2">
        <f t="shared" si="8"/>
        <v>0.42307692307692307</v>
      </c>
    </row>
    <row r="76" spans="1:17" x14ac:dyDescent="0.3">
      <c r="A76" s="3">
        <v>16</v>
      </c>
      <c r="B76" s="3">
        <v>7</v>
      </c>
      <c r="C76" s="6">
        <v>3.9</v>
      </c>
      <c r="D76" t="s">
        <v>20</v>
      </c>
      <c r="E76" s="3">
        <v>7000</v>
      </c>
      <c r="F76" s="6">
        <v>4</v>
      </c>
      <c r="G76" t="s">
        <v>48</v>
      </c>
      <c r="H76" s="2">
        <v>0.7</v>
      </c>
      <c r="I76" s="3">
        <v>900</v>
      </c>
      <c r="J76" s="3" t="str">
        <f t="shared" si="5"/>
        <v>Low Price</v>
      </c>
      <c r="K76" t="s">
        <v>179</v>
      </c>
      <c r="L76" t="s">
        <v>17</v>
      </c>
      <c r="M76" t="s">
        <v>18</v>
      </c>
      <c r="N76">
        <v>0.8</v>
      </c>
      <c r="O76" t="str">
        <f t="shared" si="6"/>
        <v>High</v>
      </c>
      <c r="P76">
        <f t="shared" si="7"/>
        <v>6300</v>
      </c>
      <c r="Q76" s="2">
        <f t="shared" si="8"/>
        <v>0.4375</v>
      </c>
    </row>
    <row r="77" spans="1:17" x14ac:dyDescent="0.3">
      <c r="A77" s="3">
        <v>8</v>
      </c>
      <c r="B77" s="3">
        <v>3</v>
      </c>
      <c r="C77" s="6">
        <v>3.3</v>
      </c>
      <c r="D77" t="s">
        <v>13</v>
      </c>
      <c r="E77" s="3">
        <v>1000</v>
      </c>
      <c r="F77" s="6">
        <v>3.4</v>
      </c>
      <c r="G77" t="s">
        <v>75</v>
      </c>
      <c r="H77" s="2">
        <v>0.3</v>
      </c>
      <c r="I77" s="3">
        <v>200</v>
      </c>
      <c r="J77" s="3" t="str">
        <f t="shared" si="5"/>
        <v>Low Price</v>
      </c>
      <c r="K77" t="s">
        <v>179</v>
      </c>
      <c r="L77" t="s">
        <v>33</v>
      </c>
      <c r="M77" t="s">
        <v>34</v>
      </c>
      <c r="N77">
        <v>0.3</v>
      </c>
      <c r="O77" t="str">
        <f t="shared" si="6"/>
        <v>Low</v>
      </c>
      <c r="P77">
        <f t="shared" si="7"/>
        <v>600</v>
      </c>
      <c r="Q77" s="2">
        <f t="shared" si="8"/>
        <v>0.375</v>
      </c>
    </row>
    <row r="78" spans="1:17" x14ac:dyDescent="0.3">
      <c r="A78" s="3">
        <v>27</v>
      </c>
      <c r="B78" s="3">
        <v>12</v>
      </c>
      <c r="C78" s="6">
        <v>4.7</v>
      </c>
      <c r="D78" t="s">
        <v>20</v>
      </c>
      <c r="E78" s="3">
        <v>200</v>
      </c>
      <c r="F78" s="6">
        <v>4.8</v>
      </c>
      <c r="G78" t="s">
        <v>69</v>
      </c>
      <c r="H78" s="2">
        <v>0.9</v>
      </c>
      <c r="I78" s="3">
        <v>700</v>
      </c>
      <c r="J78" s="3" t="str">
        <f t="shared" si="5"/>
        <v>Low Price</v>
      </c>
      <c r="K78" t="s">
        <v>179</v>
      </c>
      <c r="L78" t="s">
        <v>17</v>
      </c>
      <c r="M78" t="s">
        <v>18</v>
      </c>
      <c r="N78">
        <v>1</v>
      </c>
      <c r="O78" t="str">
        <f t="shared" si="6"/>
        <v>High</v>
      </c>
      <c r="P78">
        <f t="shared" si="7"/>
        <v>8400</v>
      </c>
      <c r="Q78" s="2">
        <f t="shared" si="8"/>
        <v>0.44444444444444442</v>
      </c>
    </row>
    <row r="79" spans="1:17" x14ac:dyDescent="0.3">
      <c r="A79" s="3">
        <v>13</v>
      </c>
      <c r="B79" s="3">
        <v>6</v>
      </c>
      <c r="C79" s="6">
        <v>3.6</v>
      </c>
      <c r="D79" t="s">
        <v>13</v>
      </c>
      <c r="E79" s="3">
        <v>900</v>
      </c>
      <c r="F79" s="6">
        <v>3.8</v>
      </c>
      <c r="G79" t="s">
        <v>53</v>
      </c>
      <c r="H79" s="2">
        <v>0.5</v>
      </c>
      <c r="I79" s="3">
        <v>400</v>
      </c>
      <c r="J79" s="3" t="str">
        <f t="shared" si="5"/>
        <v>Low Price</v>
      </c>
      <c r="K79" t="s">
        <v>9</v>
      </c>
      <c r="L79" t="s">
        <v>17</v>
      </c>
      <c r="M79" t="s">
        <v>18</v>
      </c>
      <c r="N79">
        <v>0.6</v>
      </c>
      <c r="O79" t="str">
        <f t="shared" si="6"/>
        <v>Medium</v>
      </c>
      <c r="P79">
        <f t="shared" si="7"/>
        <v>2400</v>
      </c>
      <c r="Q79" s="2">
        <f t="shared" si="8"/>
        <v>0.46153846153846156</v>
      </c>
    </row>
    <row r="80" spans="1:17" x14ac:dyDescent="0.3">
      <c r="A80" s="3">
        <v>7</v>
      </c>
      <c r="B80" s="3">
        <v>2</v>
      </c>
      <c r="C80" s="6">
        <v>2.4</v>
      </c>
      <c r="D80" t="s">
        <v>20</v>
      </c>
      <c r="E80" s="3">
        <v>4000</v>
      </c>
      <c r="F80" s="6">
        <v>2.6</v>
      </c>
      <c r="G80" t="s">
        <v>66</v>
      </c>
      <c r="H80" s="2">
        <v>-0.1</v>
      </c>
      <c r="I80" s="3">
        <v>500</v>
      </c>
      <c r="J80" s="3" t="str">
        <f t="shared" si="5"/>
        <v>Low Price</v>
      </c>
      <c r="K80" t="s">
        <v>179</v>
      </c>
      <c r="L80" t="s">
        <v>33</v>
      </c>
      <c r="M80" t="s">
        <v>25</v>
      </c>
      <c r="N80">
        <v>0.05</v>
      </c>
      <c r="O80" t="str">
        <f t="shared" si="6"/>
        <v>Low</v>
      </c>
      <c r="P80">
        <f t="shared" si="7"/>
        <v>1000</v>
      </c>
      <c r="Q80" s="2">
        <f t="shared" si="8"/>
        <v>0.2857142857142857</v>
      </c>
    </row>
    <row r="81" spans="1:17" x14ac:dyDescent="0.3">
      <c r="A81" s="3">
        <v>20</v>
      </c>
      <c r="B81" s="3">
        <v>9</v>
      </c>
      <c r="C81" s="6">
        <v>4.4000000000000004</v>
      </c>
      <c r="D81" t="s">
        <v>13</v>
      </c>
      <c r="E81" s="3">
        <v>100</v>
      </c>
      <c r="F81" s="6">
        <v>4.5</v>
      </c>
      <c r="G81" t="s">
        <v>71</v>
      </c>
      <c r="H81" s="2">
        <v>0.85</v>
      </c>
      <c r="I81" s="3">
        <v>800</v>
      </c>
      <c r="J81" s="3" t="str">
        <f t="shared" si="5"/>
        <v>Low Price</v>
      </c>
      <c r="K81" t="s">
        <v>9</v>
      </c>
      <c r="L81" t="s">
        <v>17</v>
      </c>
      <c r="M81" t="s">
        <v>18</v>
      </c>
      <c r="N81">
        <v>0.9</v>
      </c>
      <c r="O81" t="str">
        <f t="shared" si="6"/>
        <v>High</v>
      </c>
      <c r="P81">
        <f t="shared" si="7"/>
        <v>7200</v>
      </c>
      <c r="Q81" s="2">
        <f t="shared" si="8"/>
        <v>0.45</v>
      </c>
    </row>
    <row r="82" spans="1:17" x14ac:dyDescent="0.3">
      <c r="A82" s="3">
        <v>32</v>
      </c>
      <c r="B82" s="3">
        <v>15</v>
      </c>
      <c r="C82" s="6">
        <v>4.8</v>
      </c>
      <c r="D82" t="s">
        <v>20</v>
      </c>
      <c r="E82" s="3">
        <v>6000</v>
      </c>
      <c r="F82" s="6">
        <v>4.9000000000000004</v>
      </c>
      <c r="G82" t="s">
        <v>57</v>
      </c>
      <c r="H82" s="2">
        <v>0.9</v>
      </c>
      <c r="I82" s="3">
        <v>900</v>
      </c>
      <c r="J82" s="3" t="str">
        <f t="shared" si="5"/>
        <v>Low Price</v>
      </c>
      <c r="K82" t="s">
        <v>179</v>
      </c>
      <c r="L82" t="s">
        <v>17</v>
      </c>
      <c r="M82" t="s">
        <v>25</v>
      </c>
      <c r="N82">
        <v>1</v>
      </c>
      <c r="O82" t="str">
        <f t="shared" si="6"/>
        <v>High</v>
      </c>
      <c r="P82">
        <f t="shared" si="7"/>
        <v>13500</v>
      </c>
      <c r="Q82" s="2">
        <f t="shared" si="8"/>
        <v>0.46875</v>
      </c>
    </row>
    <row r="83" spans="1:17" x14ac:dyDescent="0.3">
      <c r="A83" s="3">
        <v>11</v>
      </c>
      <c r="B83" s="3">
        <v>4</v>
      </c>
      <c r="C83" s="6">
        <v>3.1</v>
      </c>
      <c r="D83" t="s">
        <v>13</v>
      </c>
      <c r="E83" s="3">
        <v>300</v>
      </c>
      <c r="F83" s="6">
        <v>3.2</v>
      </c>
      <c r="G83" t="s">
        <v>14</v>
      </c>
      <c r="H83" s="2">
        <v>0.1</v>
      </c>
      <c r="I83" s="3">
        <v>400</v>
      </c>
      <c r="J83" s="3" t="str">
        <f t="shared" si="5"/>
        <v>Low Price</v>
      </c>
      <c r="K83" t="s">
        <v>179</v>
      </c>
      <c r="L83" t="s">
        <v>33</v>
      </c>
      <c r="M83" t="s">
        <v>18</v>
      </c>
      <c r="N83">
        <v>0.1</v>
      </c>
      <c r="O83" t="str">
        <f t="shared" si="6"/>
        <v>Low</v>
      </c>
      <c r="P83">
        <f t="shared" si="7"/>
        <v>1600</v>
      </c>
      <c r="Q83" s="2">
        <f t="shared" si="8"/>
        <v>0.36363636363636365</v>
      </c>
    </row>
    <row r="84" spans="1:17" x14ac:dyDescent="0.3">
      <c r="A84" s="3">
        <v>24</v>
      </c>
      <c r="B84" s="3">
        <v>11</v>
      </c>
      <c r="C84" s="6">
        <v>4.3</v>
      </c>
      <c r="D84" t="s">
        <v>20</v>
      </c>
      <c r="E84" s="3">
        <v>500</v>
      </c>
      <c r="F84" s="6">
        <v>4.5</v>
      </c>
      <c r="G84" t="s">
        <v>66</v>
      </c>
      <c r="H84" s="2">
        <v>0.8</v>
      </c>
      <c r="I84" s="3">
        <v>300</v>
      </c>
      <c r="J84" s="3" t="str">
        <f t="shared" si="5"/>
        <v>Low Price</v>
      </c>
      <c r="K84" t="s">
        <v>179</v>
      </c>
      <c r="L84" t="s">
        <v>33</v>
      </c>
      <c r="M84" t="s">
        <v>18</v>
      </c>
      <c r="N84">
        <v>0.9</v>
      </c>
      <c r="O84" t="str">
        <f t="shared" si="6"/>
        <v>High</v>
      </c>
      <c r="P84">
        <f t="shared" si="7"/>
        <v>3300</v>
      </c>
      <c r="Q84" s="2">
        <f t="shared" si="8"/>
        <v>0.45833333333333331</v>
      </c>
    </row>
    <row r="85" spans="1:17" x14ac:dyDescent="0.3">
      <c r="A85" s="3">
        <v>10</v>
      </c>
      <c r="B85" s="3">
        <v>3</v>
      </c>
      <c r="C85" s="6">
        <v>2.7</v>
      </c>
      <c r="D85" t="s">
        <v>13</v>
      </c>
      <c r="E85" s="3">
        <v>1000</v>
      </c>
      <c r="F85" s="6">
        <v>2.9</v>
      </c>
      <c r="G85" t="s">
        <v>21</v>
      </c>
      <c r="H85" s="2">
        <v>0.1</v>
      </c>
      <c r="I85" s="3">
        <v>100</v>
      </c>
      <c r="J85" s="3" t="str">
        <f t="shared" si="5"/>
        <v>Low Price</v>
      </c>
      <c r="K85" t="s">
        <v>179</v>
      </c>
      <c r="L85" t="s">
        <v>24</v>
      </c>
      <c r="M85" t="s">
        <v>18</v>
      </c>
      <c r="N85">
        <v>0.1</v>
      </c>
      <c r="O85" t="str">
        <f t="shared" si="6"/>
        <v>Low</v>
      </c>
      <c r="P85">
        <f t="shared" si="7"/>
        <v>300</v>
      </c>
      <c r="Q85" s="2">
        <f t="shared" si="8"/>
        <v>0.3</v>
      </c>
    </row>
    <row r="86" spans="1:17" x14ac:dyDescent="0.3">
      <c r="A86" s="3">
        <v>35</v>
      </c>
      <c r="B86" s="3">
        <v>16</v>
      </c>
      <c r="C86" s="6">
        <v>4.9000000000000004</v>
      </c>
      <c r="D86" t="s">
        <v>20</v>
      </c>
      <c r="E86" s="3">
        <v>800</v>
      </c>
      <c r="F86" s="6">
        <v>5</v>
      </c>
      <c r="G86" t="s">
        <v>44</v>
      </c>
      <c r="H86" s="2">
        <v>0.9</v>
      </c>
      <c r="I86" s="3">
        <v>700</v>
      </c>
      <c r="J86" s="3" t="str">
        <f t="shared" si="5"/>
        <v>Low Price</v>
      </c>
      <c r="K86" t="s">
        <v>179</v>
      </c>
      <c r="L86" t="s">
        <v>17</v>
      </c>
      <c r="M86" t="s">
        <v>25</v>
      </c>
      <c r="N86">
        <v>1</v>
      </c>
      <c r="O86" t="str">
        <f t="shared" si="6"/>
        <v>High</v>
      </c>
      <c r="P86">
        <f t="shared" si="7"/>
        <v>11200</v>
      </c>
      <c r="Q86" s="2">
        <f t="shared" si="8"/>
        <v>0.45714285714285713</v>
      </c>
    </row>
    <row r="87" spans="1:17" x14ac:dyDescent="0.3">
      <c r="A87" s="3">
        <v>6</v>
      </c>
      <c r="B87" s="3">
        <v>2</v>
      </c>
      <c r="C87" s="6">
        <v>2.8</v>
      </c>
      <c r="D87" t="s">
        <v>20</v>
      </c>
      <c r="E87" s="3">
        <v>4000</v>
      </c>
      <c r="F87" s="6">
        <v>3</v>
      </c>
      <c r="G87" t="s">
        <v>39</v>
      </c>
      <c r="H87" s="2">
        <v>0</v>
      </c>
      <c r="I87" s="3">
        <v>500</v>
      </c>
      <c r="J87" s="3" t="str">
        <f t="shared" si="5"/>
        <v>Low Price</v>
      </c>
      <c r="K87" t="s">
        <v>9</v>
      </c>
      <c r="L87" t="s">
        <v>33</v>
      </c>
      <c r="M87" t="s">
        <v>18</v>
      </c>
      <c r="N87">
        <v>0.1</v>
      </c>
      <c r="O87" t="str">
        <f t="shared" si="6"/>
        <v>Low</v>
      </c>
      <c r="P87">
        <f t="shared" si="7"/>
        <v>1000</v>
      </c>
      <c r="Q87" s="2">
        <f t="shared" si="8"/>
        <v>0.33333333333333331</v>
      </c>
    </row>
    <row r="88" spans="1:17" x14ac:dyDescent="0.3">
      <c r="A88" s="3">
        <v>19</v>
      </c>
      <c r="B88" s="3">
        <v>8</v>
      </c>
      <c r="C88" s="6">
        <v>4.3</v>
      </c>
      <c r="D88" t="s">
        <v>13</v>
      </c>
      <c r="E88" s="3">
        <v>200</v>
      </c>
      <c r="F88" s="6">
        <v>4.5</v>
      </c>
      <c r="G88" t="s">
        <v>60</v>
      </c>
      <c r="H88" s="2">
        <v>0.8</v>
      </c>
      <c r="I88" s="3">
        <v>900</v>
      </c>
      <c r="J88" s="3" t="str">
        <f t="shared" si="5"/>
        <v>Low Price</v>
      </c>
      <c r="K88" t="s">
        <v>179</v>
      </c>
      <c r="L88" t="s">
        <v>17</v>
      </c>
      <c r="M88" t="s">
        <v>18</v>
      </c>
      <c r="N88">
        <v>0.9</v>
      </c>
      <c r="O88" t="str">
        <f t="shared" si="6"/>
        <v>High</v>
      </c>
      <c r="P88">
        <f t="shared" si="7"/>
        <v>7200</v>
      </c>
      <c r="Q88" s="2">
        <f t="shared" si="8"/>
        <v>0.42105263157894735</v>
      </c>
    </row>
    <row r="89" spans="1:17" x14ac:dyDescent="0.3">
      <c r="A89" s="3">
        <v>9</v>
      </c>
      <c r="B89" s="3">
        <v>4</v>
      </c>
      <c r="C89" s="6">
        <v>3</v>
      </c>
      <c r="D89" t="s">
        <v>20</v>
      </c>
      <c r="E89" s="3">
        <v>6000</v>
      </c>
      <c r="F89" s="6">
        <v>3.1</v>
      </c>
      <c r="G89" t="s">
        <v>27</v>
      </c>
      <c r="H89" s="2">
        <v>0.2</v>
      </c>
      <c r="I89" s="3">
        <v>1000</v>
      </c>
      <c r="J89" s="3" t="str">
        <f t="shared" si="5"/>
        <v>Medium Price</v>
      </c>
      <c r="K89" t="s">
        <v>9</v>
      </c>
      <c r="L89" t="s">
        <v>17</v>
      </c>
      <c r="M89" t="s">
        <v>18</v>
      </c>
      <c r="N89">
        <v>0.2</v>
      </c>
      <c r="O89" t="str">
        <f t="shared" si="6"/>
        <v>Low</v>
      </c>
      <c r="P89">
        <f t="shared" si="7"/>
        <v>4000</v>
      </c>
      <c r="Q89" s="2">
        <f t="shared" si="8"/>
        <v>0.44444444444444442</v>
      </c>
    </row>
    <row r="90" spans="1:17" x14ac:dyDescent="0.3">
      <c r="A90" s="3">
        <v>28</v>
      </c>
      <c r="B90" s="3">
        <v>13</v>
      </c>
      <c r="C90" s="6">
        <v>4.5999999999999996</v>
      </c>
      <c r="D90" t="s">
        <v>13</v>
      </c>
      <c r="E90" s="3">
        <v>500</v>
      </c>
      <c r="F90" s="6">
        <v>4.7</v>
      </c>
      <c r="G90" t="s">
        <v>50</v>
      </c>
      <c r="H90" s="2">
        <v>0.9</v>
      </c>
      <c r="I90" s="3">
        <v>800</v>
      </c>
      <c r="J90" s="3" t="str">
        <f t="shared" si="5"/>
        <v>Low Price</v>
      </c>
      <c r="K90" t="s">
        <v>179</v>
      </c>
      <c r="L90" t="s">
        <v>33</v>
      </c>
      <c r="M90" t="s">
        <v>34</v>
      </c>
      <c r="N90">
        <v>1</v>
      </c>
      <c r="O90" t="str">
        <f t="shared" si="6"/>
        <v>High</v>
      </c>
      <c r="P90">
        <f t="shared" si="7"/>
        <v>10400</v>
      </c>
      <c r="Q90" s="2">
        <f t="shared" si="8"/>
        <v>0.4642857142857143</v>
      </c>
    </row>
    <row r="91" spans="1:17" x14ac:dyDescent="0.3">
      <c r="A91" s="3">
        <v>14</v>
      </c>
      <c r="B91" s="3">
        <v>7</v>
      </c>
      <c r="C91" s="6">
        <v>3.7</v>
      </c>
      <c r="D91" t="s">
        <v>20</v>
      </c>
      <c r="E91" s="3">
        <v>2000</v>
      </c>
      <c r="F91" s="6">
        <v>3.8</v>
      </c>
      <c r="G91" t="s">
        <v>31</v>
      </c>
      <c r="H91" s="2">
        <v>0.6</v>
      </c>
      <c r="I91" s="3">
        <v>200</v>
      </c>
      <c r="J91" s="3" t="str">
        <f t="shared" si="5"/>
        <v>Low Price</v>
      </c>
      <c r="K91" t="s">
        <v>179</v>
      </c>
      <c r="L91" t="s">
        <v>33</v>
      </c>
      <c r="M91" t="s">
        <v>18</v>
      </c>
      <c r="N91">
        <v>0.7</v>
      </c>
      <c r="O91" t="str">
        <f t="shared" si="6"/>
        <v>Medium</v>
      </c>
      <c r="P91">
        <f t="shared" si="7"/>
        <v>1400</v>
      </c>
      <c r="Q91" s="2">
        <f t="shared" si="8"/>
        <v>0.5</v>
      </c>
    </row>
    <row r="92" spans="1:17" x14ac:dyDescent="0.3">
      <c r="A92" s="3">
        <v>23</v>
      </c>
      <c r="B92" s="3">
        <v>10</v>
      </c>
      <c r="C92" s="6">
        <v>4.5</v>
      </c>
      <c r="D92" t="s">
        <v>13</v>
      </c>
      <c r="E92" s="3">
        <v>900</v>
      </c>
      <c r="F92" s="6">
        <v>4.5999999999999996</v>
      </c>
      <c r="G92" t="s">
        <v>35</v>
      </c>
      <c r="H92" s="2">
        <v>0.85</v>
      </c>
      <c r="I92" s="3">
        <v>300</v>
      </c>
      <c r="J92" s="3" t="str">
        <f t="shared" si="5"/>
        <v>Low Price</v>
      </c>
      <c r="K92" t="s">
        <v>179</v>
      </c>
      <c r="L92" t="s">
        <v>17</v>
      </c>
      <c r="M92" t="s">
        <v>18</v>
      </c>
      <c r="N92">
        <v>0.9</v>
      </c>
      <c r="O92" t="str">
        <f t="shared" si="6"/>
        <v>High</v>
      </c>
      <c r="P92">
        <f t="shared" si="7"/>
        <v>3000</v>
      </c>
      <c r="Q92" s="2">
        <f t="shared" si="8"/>
        <v>0.43478260869565216</v>
      </c>
    </row>
    <row r="93" spans="1:17" x14ac:dyDescent="0.3">
      <c r="A93" s="3">
        <v>12</v>
      </c>
      <c r="B93" s="3">
        <v>5</v>
      </c>
      <c r="C93" s="6">
        <v>3.2</v>
      </c>
      <c r="D93" t="s">
        <v>20</v>
      </c>
      <c r="E93" s="3">
        <v>700</v>
      </c>
      <c r="F93" s="6">
        <v>3.4</v>
      </c>
      <c r="G93" t="s">
        <v>39</v>
      </c>
      <c r="H93" s="2">
        <v>0.1</v>
      </c>
      <c r="I93" s="3">
        <v>400</v>
      </c>
      <c r="J93" s="3" t="str">
        <f t="shared" si="5"/>
        <v>Low Price</v>
      </c>
      <c r="K93" t="s">
        <v>179</v>
      </c>
      <c r="L93" t="s">
        <v>33</v>
      </c>
      <c r="M93" t="s">
        <v>18</v>
      </c>
      <c r="N93">
        <v>0.1</v>
      </c>
      <c r="O93" t="str">
        <f t="shared" si="6"/>
        <v>Low</v>
      </c>
      <c r="P93">
        <f t="shared" si="7"/>
        <v>2000</v>
      </c>
      <c r="Q93" s="2">
        <f t="shared" si="8"/>
        <v>0.41666666666666669</v>
      </c>
    </row>
    <row r="94" spans="1:17" x14ac:dyDescent="0.3">
      <c r="A94" s="3">
        <v>25</v>
      </c>
      <c r="B94" s="3">
        <v>11</v>
      </c>
      <c r="C94" s="6">
        <v>4.4000000000000004</v>
      </c>
      <c r="D94" t="s">
        <v>13</v>
      </c>
      <c r="E94" s="3">
        <v>3000</v>
      </c>
      <c r="F94" s="6">
        <v>4.5</v>
      </c>
      <c r="G94" t="s">
        <v>82</v>
      </c>
      <c r="H94" s="2">
        <v>0.8</v>
      </c>
      <c r="I94" s="3">
        <v>500</v>
      </c>
      <c r="J94" s="3" t="str">
        <f t="shared" si="5"/>
        <v>Low Price</v>
      </c>
      <c r="K94" t="s">
        <v>9</v>
      </c>
      <c r="L94" t="s">
        <v>17</v>
      </c>
      <c r="M94" t="s">
        <v>18</v>
      </c>
      <c r="N94">
        <v>0.9</v>
      </c>
      <c r="O94" t="str">
        <f t="shared" si="6"/>
        <v>High</v>
      </c>
      <c r="P94">
        <f t="shared" si="7"/>
        <v>5500</v>
      </c>
      <c r="Q94" s="2">
        <f t="shared" si="8"/>
        <v>0.44</v>
      </c>
    </row>
    <row r="95" spans="1:17" x14ac:dyDescent="0.3">
      <c r="A95" s="3">
        <v>15</v>
      </c>
      <c r="B95" s="3">
        <v>6</v>
      </c>
      <c r="C95" s="6">
        <v>3.5</v>
      </c>
      <c r="D95" t="s">
        <v>20</v>
      </c>
      <c r="E95" s="3">
        <v>400</v>
      </c>
      <c r="F95" s="6">
        <v>3.7</v>
      </c>
      <c r="G95" t="s">
        <v>55</v>
      </c>
      <c r="H95" s="2">
        <v>0.5</v>
      </c>
      <c r="I95" s="3">
        <v>600</v>
      </c>
      <c r="J95" s="3" t="str">
        <f t="shared" si="5"/>
        <v>Low Price</v>
      </c>
      <c r="K95" t="s">
        <v>9</v>
      </c>
      <c r="L95" t="s">
        <v>17</v>
      </c>
      <c r="M95" t="s">
        <v>18</v>
      </c>
      <c r="N95">
        <v>0.6</v>
      </c>
      <c r="O95" t="str">
        <f t="shared" si="6"/>
        <v>Medium</v>
      </c>
      <c r="P95">
        <f t="shared" si="7"/>
        <v>3600</v>
      </c>
      <c r="Q95" s="2">
        <f t="shared" si="8"/>
        <v>0.4</v>
      </c>
    </row>
    <row r="96" spans="1:17" x14ac:dyDescent="0.3">
      <c r="A96" s="3">
        <v>30</v>
      </c>
      <c r="B96" s="3">
        <v>14</v>
      </c>
      <c r="C96" s="6">
        <v>4.7</v>
      </c>
      <c r="D96" t="s">
        <v>13</v>
      </c>
      <c r="E96" s="3">
        <v>1000</v>
      </c>
      <c r="F96" s="6">
        <v>4.8</v>
      </c>
      <c r="G96" t="s">
        <v>71</v>
      </c>
      <c r="H96" s="2">
        <v>0.9</v>
      </c>
      <c r="I96" s="3">
        <v>700</v>
      </c>
      <c r="J96" s="3" t="str">
        <f t="shared" si="5"/>
        <v>Low Price</v>
      </c>
      <c r="K96" t="s">
        <v>179</v>
      </c>
      <c r="L96" t="s">
        <v>33</v>
      </c>
      <c r="M96" t="s">
        <v>18</v>
      </c>
      <c r="N96">
        <v>1</v>
      </c>
      <c r="O96" t="str">
        <f t="shared" si="6"/>
        <v>High</v>
      </c>
      <c r="P96">
        <f t="shared" si="7"/>
        <v>9800</v>
      </c>
      <c r="Q96" s="2">
        <f t="shared" si="8"/>
        <v>0.46666666666666667</v>
      </c>
    </row>
    <row r="97" spans="1:17" x14ac:dyDescent="0.3">
      <c r="A97" s="3">
        <v>5</v>
      </c>
      <c r="B97" s="3">
        <v>2</v>
      </c>
      <c r="C97" s="6">
        <v>2.5</v>
      </c>
      <c r="D97" t="s">
        <v>20</v>
      </c>
      <c r="E97" s="3">
        <v>2000</v>
      </c>
      <c r="F97" s="6">
        <v>2.6</v>
      </c>
      <c r="G97" t="s">
        <v>76</v>
      </c>
      <c r="H97" s="2">
        <v>-0.1</v>
      </c>
      <c r="I97" s="3">
        <v>500</v>
      </c>
      <c r="J97" s="3" t="str">
        <f t="shared" si="5"/>
        <v>Low Price</v>
      </c>
      <c r="K97" t="s">
        <v>9</v>
      </c>
      <c r="L97" t="s">
        <v>17</v>
      </c>
      <c r="M97" t="s">
        <v>18</v>
      </c>
      <c r="N97">
        <v>0.05</v>
      </c>
      <c r="O97" t="str">
        <f t="shared" si="6"/>
        <v>Low</v>
      </c>
      <c r="P97">
        <f t="shared" si="7"/>
        <v>1000</v>
      </c>
      <c r="Q97" s="2">
        <f t="shared" si="8"/>
        <v>0.4</v>
      </c>
    </row>
    <row r="98" spans="1:17" x14ac:dyDescent="0.3">
      <c r="A98" s="3">
        <v>21</v>
      </c>
      <c r="B98" s="3">
        <v>9</v>
      </c>
      <c r="C98" s="6">
        <v>4.2</v>
      </c>
      <c r="D98" t="s">
        <v>13</v>
      </c>
      <c r="E98" s="3">
        <v>6000</v>
      </c>
      <c r="F98" s="6">
        <v>4.4000000000000004</v>
      </c>
      <c r="G98" t="s">
        <v>48</v>
      </c>
      <c r="H98" s="2">
        <v>0.8</v>
      </c>
      <c r="I98" s="3">
        <v>900</v>
      </c>
      <c r="J98" s="3" t="str">
        <f t="shared" si="5"/>
        <v>Low Price</v>
      </c>
      <c r="K98" t="s">
        <v>179</v>
      </c>
      <c r="L98" t="s">
        <v>17</v>
      </c>
      <c r="M98" t="s">
        <v>25</v>
      </c>
      <c r="N98">
        <v>0.9</v>
      </c>
      <c r="O98" t="str">
        <f t="shared" si="6"/>
        <v>High</v>
      </c>
      <c r="P98">
        <f t="shared" si="7"/>
        <v>8100</v>
      </c>
      <c r="Q98" s="2">
        <f t="shared" si="8"/>
        <v>0.42857142857142855</v>
      </c>
    </row>
    <row r="99" spans="1:17" x14ac:dyDescent="0.3">
      <c r="A99" s="3">
        <v>17</v>
      </c>
      <c r="B99" s="3">
        <v>7</v>
      </c>
      <c r="C99" s="6">
        <v>3.8</v>
      </c>
      <c r="D99" t="s">
        <v>20</v>
      </c>
      <c r="E99" s="3">
        <v>500</v>
      </c>
      <c r="F99" s="6">
        <v>4</v>
      </c>
      <c r="G99" t="s">
        <v>72</v>
      </c>
      <c r="H99" s="2">
        <v>0.7</v>
      </c>
      <c r="I99" s="3">
        <v>200</v>
      </c>
      <c r="J99" s="3" t="str">
        <f t="shared" si="5"/>
        <v>Low Price</v>
      </c>
      <c r="K99" t="s">
        <v>179</v>
      </c>
      <c r="L99" t="s">
        <v>33</v>
      </c>
      <c r="M99" t="s">
        <v>34</v>
      </c>
      <c r="N99">
        <v>0.8</v>
      </c>
      <c r="O99" t="str">
        <f t="shared" si="6"/>
        <v>High</v>
      </c>
      <c r="P99">
        <f t="shared" si="7"/>
        <v>1400</v>
      </c>
      <c r="Q99" s="2">
        <f t="shared" si="8"/>
        <v>0.41176470588235292</v>
      </c>
    </row>
    <row r="100" spans="1:17" x14ac:dyDescent="0.3">
      <c r="A100" s="3">
        <v>36</v>
      </c>
      <c r="B100" s="3">
        <v>16</v>
      </c>
      <c r="C100" s="6">
        <v>4.8</v>
      </c>
      <c r="D100" t="s">
        <v>13</v>
      </c>
      <c r="E100" s="3">
        <v>100</v>
      </c>
      <c r="F100" s="6">
        <v>4.9000000000000004</v>
      </c>
      <c r="G100" t="s">
        <v>83</v>
      </c>
      <c r="H100" s="2">
        <v>0.9</v>
      </c>
      <c r="I100" s="3">
        <v>700</v>
      </c>
      <c r="J100" s="3" t="str">
        <f t="shared" si="5"/>
        <v>Low Price</v>
      </c>
      <c r="K100" t="s">
        <v>179</v>
      </c>
      <c r="L100" t="s">
        <v>17</v>
      </c>
      <c r="M100" t="s">
        <v>18</v>
      </c>
      <c r="N100">
        <v>1</v>
      </c>
      <c r="O100" t="str">
        <f t="shared" si="6"/>
        <v>High</v>
      </c>
      <c r="P100">
        <f t="shared" si="7"/>
        <v>11200</v>
      </c>
      <c r="Q100" s="2">
        <f t="shared" si="8"/>
        <v>0.44444444444444442</v>
      </c>
    </row>
    <row r="101" spans="1:17" x14ac:dyDescent="0.3">
      <c r="A101" s="3">
        <v>9</v>
      </c>
      <c r="B101" s="3">
        <v>4</v>
      </c>
      <c r="C101" s="6">
        <v>3.3</v>
      </c>
      <c r="D101" t="s">
        <v>20</v>
      </c>
      <c r="E101" s="3">
        <v>100</v>
      </c>
      <c r="F101" s="6">
        <v>3.4</v>
      </c>
      <c r="G101" t="s">
        <v>80</v>
      </c>
      <c r="H101" s="2">
        <v>0.3</v>
      </c>
      <c r="I101" s="3">
        <v>200</v>
      </c>
      <c r="J101" s="3" t="str">
        <f t="shared" si="5"/>
        <v>Low Price</v>
      </c>
      <c r="K101" t="s">
        <v>179</v>
      </c>
      <c r="L101" t="s">
        <v>33</v>
      </c>
      <c r="M101" t="s">
        <v>18</v>
      </c>
      <c r="N101">
        <v>0.3</v>
      </c>
      <c r="O101" t="str">
        <f t="shared" si="6"/>
        <v>Low</v>
      </c>
      <c r="P101">
        <f t="shared" si="7"/>
        <v>800</v>
      </c>
      <c r="Q101" s="2">
        <f t="shared" si="8"/>
        <v>0.44444444444444442</v>
      </c>
    </row>
    <row r="102" spans="1:17" x14ac:dyDescent="0.3">
      <c r="A102" s="3">
        <v>26</v>
      </c>
      <c r="B102" s="3">
        <v>12</v>
      </c>
      <c r="C102" s="6">
        <v>4.5</v>
      </c>
      <c r="D102" t="s">
        <v>13</v>
      </c>
      <c r="E102" s="3">
        <v>3000</v>
      </c>
      <c r="F102" s="6">
        <v>4.7</v>
      </c>
      <c r="G102" t="s">
        <v>21</v>
      </c>
      <c r="H102" s="2">
        <v>0.85</v>
      </c>
      <c r="I102" s="3">
        <v>500</v>
      </c>
      <c r="J102" s="3" t="str">
        <f t="shared" si="5"/>
        <v>Low Price</v>
      </c>
      <c r="K102" t="s">
        <v>9</v>
      </c>
      <c r="L102" t="s">
        <v>17</v>
      </c>
      <c r="M102" t="s">
        <v>25</v>
      </c>
      <c r="N102">
        <v>0.9</v>
      </c>
      <c r="O102" t="str">
        <f t="shared" si="6"/>
        <v>High</v>
      </c>
      <c r="P102">
        <f t="shared" si="7"/>
        <v>6000</v>
      </c>
      <c r="Q102" s="2">
        <f t="shared" si="8"/>
        <v>0.46153846153846156</v>
      </c>
    </row>
    <row r="103" spans="1:17" x14ac:dyDescent="0.3">
      <c r="A103" s="3">
        <v>14</v>
      </c>
      <c r="B103" s="3">
        <v>7</v>
      </c>
      <c r="C103" s="6">
        <v>3.8</v>
      </c>
      <c r="D103" t="s">
        <v>20</v>
      </c>
      <c r="E103" s="3">
        <v>2000</v>
      </c>
      <c r="F103" s="6">
        <v>4</v>
      </c>
      <c r="G103" t="s">
        <v>50</v>
      </c>
      <c r="H103" s="2">
        <v>0.6</v>
      </c>
      <c r="I103" s="3">
        <v>600</v>
      </c>
      <c r="J103" s="3" t="str">
        <f t="shared" si="5"/>
        <v>Low Price</v>
      </c>
      <c r="K103" t="s">
        <v>9</v>
      </c>
      <c r="L103" t="s">
        <v>17</v>
      </c>
      <c r="M103" t="s">
        <v>18</v>
      </c>
      <c r="N103">
        <v>0.7</v>
      </c>
      <c r="O103" t="str">
        <f t="shared" si="6"/>
        <v>Medium</v>
      </c>
      <c r="P103">
        <f t="shared" si="7"/>
        <v>4200</v>
      </c>
      <c r="Q103" s="2">
        <f t="shared" si="8"/>
        <v>0.5</v>
      </c>
    </row>
    <row r="104" spans="1:17" x14ac:dyDescent="0.3">
      <c r="A104" s="3">
        <v>7</v>
      </c>
      <c r="B104" s="3">
        <v>2</v>
      </c>
      <c r="C104" s="6">
        <v>2.7</v>
      </c>
      <c r="D104" t="s">
        <v>20</v>
      </c>
      <c r="E104" s="3">
        <v>5000</v>
      </c>
      <c r="F104" s="6">
        <v>2.9</v>
      </c>
      <c r="G104" t="s">
        <v>48</v>
      </c>
      <c r="H104" s="2">
        <v>-0.1</v>
      </c>
      <c r="I104" s="3">
        <v>500</v>
      </c>
      <c r="J104" s="3" t="str">
        <f t="shared" si="5"/>
        <v>Low Price</v>
      </c>
      <c r="K104" t="s">
        <v>9</v>
      </c>
      <c r="L104" t="s">
        <v>33</v>
      </c>
      <c r="M104" t="s">
        <v>18</v>
      </c>
      <c r="N104">
        <v>0.05</v>
      </c>
      <c r="O104" t="str">
        <f t="shared" si="6"/>
        <v>Low</v>
      </c>
      <c r="P104">
        <f t="shared" si="7"/>
        <v>1000</v>
      </c>
      <c r="Q104" s="2">
        <f t="shared" si="8"/>
        <v>0.2857142857142857</v>
      </c>
    </row>
    <row r="105" spans="1:17" x14ac:dyDescent="0.3">
      <c r="A105" s="3">
        <v>31</v>
      </c>
      <c r="B105" s="3">
        <v>14</v>
      </c>
      <c r="C105" s="6">
        <v>4.7</v>
      </c>
      <c r="D105" t="s">
        <v>13</v>
      </c>
      <c r="E105" s="3">
        <v>600</v>
      </c>
      <c r="F105" s="6">
        <v>4.8</v>
      </c>
      <c r="G105" t="s">
        <v>60</v>
      </c>
      <c r="H105" s="2">
        <v>0.9</v>
      </c>
      <c r="I105" s="3">
        <v>700</v>
      </c>
      <c r="J105" s="3" t="str">
        <f t="shared" si="5"/>
        <v>Low Price</v>
      </c>
      <c r="K105" t="s">
        <v>179</v>
      </c>
      <c r="L105" t="s">
        <v>17</v>
      </c>
      <c r="M105" t="s">
        <v>18</v>
      </c>
      <c r="N105">
        <v>1</v>
      </c>
      <c r="O105" t="str">
        <f t="shared" si="6"/>
        <v>High</v>
      </c>
      <c r="P105">
        <f t="shared" si="7"/>
        <v>9800</v>
      </c>
      <c r="Q105" s="2">
        <f t="shared" si="8"/>
        <v>0.45161290322580644</v>
      </c>
    </row>
    <row r="106" spans="1:17" x14ac:dyDescent="0.3">
      <c r="A106" s="3">
        <v>16</v>
      </c>
      <c r="B106" s="3">
        <v>7</v>
      </c>
      <c r="C106" s="6">
        <v>3.7</v>
      </c>
      <c r="D106" t="s">
        <v>20</v>
      </c>
      <c r="E106" s="3">
        <v>300</v>
      </c>
      <c r="F106" s="6">
        <v>3.9</v>
      </c>
      <c r="G106" t="s">
        <v>44</v>
      </c>
      <c r="H106" s="2">
        <v>0.7</v>
      </c>
      <c r="I106" s="3">
        <v>200</v>
      </c>
      <c r="J106" s="3" t="str">
        <f t="shared" si="5"/>
        <v>Low Price</v>
      </c>
      <c r="K106" t="s">
        <v>179</v>
      </c>
      <c r="L106" t="s">
        <v>33</v>
      </c>
      <c r="M106" t="s">
        <v>34</v>
      </c>
      <c r="N106">
        <v>0.8</v>
      </c>
      <c r="O106" t="str">
        <f t="shared" si="6"/>
        <v>High</v>
      </c>
      <c r="P106">
        <f t="shared" si="7"/>
        <v>1400</v>
      </c>
      <c r="Q106" s="2">
        <f t="shared" si="8"/>
        <v>0.4375</v>
      </c>
    </row>
    <row r="107" spans="1:17" x14ac:dyDescent="0.3">
      <c r="A107" s="3">
        <v>8</v>
      </c>
      <c r="B107" s="3">
        <v>3</v>
      </c>
      <c r="C107" s="6">
        <v>3.1</v>
      </c>
      <c r="D107" t="s">
        <v>13</v>
      </c>
      <c r="E107" s="3">
        <v>400</v>
      </c>
      <c r="F107" s="6">
        <v>3.2</v>
      </c>
      <c r="G107" t="s">
        <v>55</v>
      </c>
      <c r="H107" s="2">
        <v>0.1</v>
      </c>
      <c r="I107" s="3">
        <v>300</v>
      </c>
      <c r="J107" s="3" t="str">
        <f t="shared" si="5"/>
        <v>Low Price</v>
      </c>
      <c r="K107" t="s">
        <v>179</v>
      </c>
      <c r="L107" t="s">
        <v>33</v>
      </c>
      <c r="M107" t="s">
        <v>18</v>
      </c>
      <c r="N107">
        <v>0.1</v>
      </c>
      <c r="O107" t="str">
        <f t="shared" si="6"/>
        <v>Low</v>
      </c>
      <c r="P107">
        <f t="shared" si="7"/>
        <v>900</v>
      </c>
      <c r="Q107" s="2">
        <f t="shared" si="8"/>
        <v>0.375</v>
      </c>
    </row>
    <row r="108" spans="1:17" x14ac:dyDescent="0.3">
      <c r="A108" s="3">
        <v>23</v>
      </c>
      <c r="B108" s="3">
        <v>10</v>
      </c>
      <c r="C108" s="6">
        <v>4.3</v>
      </c>
      <c r="D108" t="s">
        <v>20</v>
      </c>
      <c r="E108" s="3">
        <v>7000</v>
      </c>
      <c r="F108" s="6">
        <v>4.4000000000000004</v>
      </c>
      <c r="G108" t="s">
        <v>66</v>
      </c>
      <c r="H108" s="2">
        <v>0.8</v>
      </c>
      <c r="I108" s="3">
        <v>900</v>
      </c>
      <c r="J108" s="3" t="str">
        <f t="shared" si="5"/>
        <v>Low Price</v>
      </c>
      <c r="K108" t="s">
        <v>9</v>
      </c>
      <c r="L108" t="s">
        <v>17</v>
      </c>
      <c r="M108" t="s">
        <v>25</v>
      </c>
      <c r="N108">
        <v>0.9</v>
      </c>
      <c r="O108" t="str">
        <f t="shared" si="6"/>
        <v>High</v>
      </c>
      <c r="P108">
        <f t="shared" si="7"/>
        <v>9000</v>
      </c>
      <c r="Q108" s="2">
        <f t="shared" si="8"/>
        <v>0.43478260869565216</v>
      </c>
    </row>
    <row r="109" spans="1:17" x14ac:dyDescent="0.3">
      <c r="A109" s="3">
        <v>11</v>
      </c>
      <c r="B109" s="3">
        <v>5</v>
      </c>
      <c r="C109" s="6">
        <v>3.2</v>
      </c>
      <c r="D109" t="s">
        <v>13</v>
      </c>
      <c r="E109" s="3">
        <v>1000</v>
      </c>
      <c r="F109" s="6">
        <v>3.4</v>
      </c>
      <c r="G109" t="s">
        <v>39</v>
      </c>
      <c r="H109" s="2">
        <v>0.2</v>
      </c>
      <c r="I109" s="3">
        <v>100</v>
      </c>
      <c r="J109" s="3" t="str">
        <f t="shared" si="5"/>
        <v>Low Price</v>
      </c>
      <c r="K109" t="s">
        <v>179</v>
      </c>
      <c r="L109" t="s">
        <v>33</v>
      </c>
      <c r="M109" t="s">
        <v>18</v>
      </c>
      <c r="N109">
        <v>0.2</v>
      </c>
      <c r="O109" t="str">
        <f t="shared" si="6"/>
        <v>Low</v>
      </c>
      <c r="P109">
        <f t="shared" si="7"/>
        <v>500</v>
      </c>
      <c r="Q109" s="2">
        <f t="shared" si="8"/>
        <v>0.45454545454545453</v>
      </c>
    </row>
    <row r="110" spans="1:17" x14ac:dyDescent="0.3">
      <c r="A110" s="3">
        <v>28</v>
      </c>
      <c r="B110" s="3">
        <v>13</v>
      </c>
      <c r="C110" s="6">
        <v>4.8</v>
      </c>
      <c r="D110" t="s">
        <v>20</v>
      </c>
      <c r="E110" s="3">
        <v>400</v>
      </c>
      <c r="F110" s="6">
        <v>4.9000000000000004</v>
      </c>
      <c r="G110" t="s">
        <v>42</v>
      </c>
      <c r="H110" s="2">
        <v>0.9</v>
      </c>
      <c r="I110" s="3">
        <v>700</v>
      </c>
      <c r="J110" s="3" t="str">
        <f t="shared" si="5"/>
        <v>Low Price</v>
      </c>
      <c r="K110" t="s">
        <v>179</v>
      </c>
      <c r="L110" t="s">
        <v>17</v>
      </c>
      <c r="M110" t="s">
        <v>18</v>
      </c>
      <c r="N110">
        <v>1</v>
      </c>
      <c r="O110" t="str">
        <f t="shared" si="6"/>
        <v>High</v>
      </c>
      <c r="P110">
        <f t="shared" si="7"/>
        <v>9100</v>
      </c>
      <c r="Q110" s="2">
        <f t="shared" si="8"/>
        <v>0.4642857142857143</v>
      </c>
    </row>
    <row r="111" spans="1:17" x14ac:dyDescent="0.3">
      <c r="A111" s="3">
        <v>17</v>
      </c>
      <c r="B111" s="3">
        <v>8</v>
      </c>
      <c r="C111" s="6">
        <v>3.9</v>
      </c>
      <c r="D111" t="s">
        <v>13</v>
      </c>
      <c r="E111" s="3">
        <v>500</v>
      </c>
      <c r="F111" s="6">
        <v>4.0999999999999996</v>
      </c>
      <c r="G111" t="s">
        <v>72</v>
      </c>
      <c r="H111" s="2">
        <v>0.8</v>
      </c>
      <c r="I111" s="3">
        <v>200</v>
      </c>
      <c r="J111" s="3" t="str">
        <f t="shared" si="5"/>
        <v>Low Price</v>
      </c>
      <c r="K111" t="s">
        <v>179</v>
      </c>
      <c r="L111" t="s">
        <v>33</v>
      </c>
      <c r="M111" t="s">
        <v>34</v>
      </c>
      <c r="N111">
        <v>0.9</v>
      </c>
      <c r="O111" t="str">
        <f t="shared" si="6"/>
        <v>High</v>
      </c>
      <c r="P111">
        <f t="shared" si="7"/>
        <v>1600</v>
      </c>
      <c r="Q111" s="2">
        <f t="shared" si="8"/>
        <v>0.47058823529411764</v>
      </c>
    </row>
    <row r="112" spans="1:17" x14ac:dyDescent="0.3">
      <c r="A112" s="3">
        <v>12</v>
      </c>
      <c r="B112" s="3">
        <v>6</v>
      </c>
      <c r="C112" s="6">
        <v>3.4</v>
      </c>
      <c r="D112" t="s">
        <v>20</v>
      </c>
      <c r="E112" s="3">
        <v>2000</v>
      </c>
      <c r="F112" s="6">
        <v>3.6</v>
      </c>
      <c r="G112" t="s">
        <v>21</v>
      </c>
      <c r="H112" s="2">
        <v>0.5</v>
      </c>
      <c r="I112" s="3">
        <v>400</v>
      </c>
      <c r="J112" s="3" t="str">
        <f t="shared" si="5"/>
        <v>Low Price</v>
      </c>
      <c r="K112" t="s">
        <v>9</v>
      </c>
      <c r="L112" t="s">
        <v>33</v>
      </c>
      <c r="M112" t="s">
        <v>18</v>
      </c>
      <c r="N112">
        <v>0.6</v>
      </c>
      <c r="O112" t="str">
        <f t="shared" si="6"/>
        <v>Medium</v>
      </c>
      <c r="P112">
        <f t="shared" si="7"/>
        <v>2400</v>
      </c>
      <c r="Q112" s="2">
        <f t="shared" si="8"/>
        <v>0.5</v>
      </c>
    </row>
    <row r="113" spans="1:17" x14ac:dyDescent="0.3">
      <c r="A113" s="3">
        <v>6</v>
      </c>
      <c r="B113" s="3">
        <v>2</v>
      </c>
      <c r="C113" s="6">
        <v>2.6</v>
      </c>
      <c r="D113" t="s">
        <v>13</v>
      </c>
      <c r="E113" s="3">
        <v>6000</v>
      </c>
      <c r="F113" s="6">
        <v>2.8</v>
      </c>
      <c r="G113" t="s">
        <v>66</v>
      </c>
      <c r="H113" s="2">
        <v>-0.1</v>
      </c>
      <c r="I113" s="3">
        <v>500</v>
      </c>
      <c r="J113" s="3" t="str">
        <f t="shared" si="5"/>
        <v>Low Price</v>
      </c>
      <c r="K113" t="s">
        <v>9</v>
      </c>
      <c r="L113" t="s">
        <v>33</v>
      </c>
      <c r="M113" t="s">
        <v>18</v>
      </c>
      <c r="N113">
        <v>0.05</v>
      </c>
      <c r="O113" t="str">
        <f t="shared" si="6"/>
        <v>Low</v>
      </c>
      <c r="P113">
        <f t="shared" si="7"/>
        <v>1000</v>
      </c>
      <c r="Q113" s="2">
        <f t="shared" si="8"/>
        <v>0.33333333333333331</v>
      </c>
    </row>
    <row r="114" spans="1:17" x14ac:dyDescent="0.3">
      <c r="A114" s="3">
        <v>21</v>
      </c>
      <c r="B114" s="3">
        <v>10</v>
      </c>
      <c r="C114" s="6">
        <v>4.4000000000000004</v>
      </c>
      <c r="D114" t="s">
        <v>20</v>
      </c>
      <c r="E114" s="3">
        <v>300</v>
      </c>
      <c r="F114" s="6">
        <v>4.5</v>
      </c>
      <c r="G114" t="s">
        <v>39</v>
      </c>
      <c r="H114" s="2">
        <v>0.8</v>
      </c>
      <c r="I114" s="3">
        <v>600</v>
      </c>
      <c r="J114" s="3" t="str">
        <f t="shared" si="5"/>
        <v>Low Price</v>
      </c>
      <c r="K114" t="s">
        <v>179</v>
      </c>
      <c r="L114" t="s">
        <v>17</v>
      </c>
      <c r="M114" t="s">
        <v>18</v>
      </c>
      <c r="N114">
        <v>0.9</v>
      </c>
      <c r="O114" t="str">
        <f t="shared" si="6"/>
        <v>High</v>
      </c>
      <c r="P114">
        <f t="shared" si="7"/>
        <v>6000</v>
      </c>
      <c r="Q114" s="2">
        <f t="shared" si="8"/>
        <v>0.47619047619047616</v>
      </c>
    </row>
    <row r="115" spans="1:17" x14ac:dyDescent="0.3">
      <c r="A115" s="3">
        <v>10</v>
      </c>
      <c r="B115" s="3">
        <v>4</v>
      </c>
      <c r="C115" s="6">
        <v>3</v>
      </c>
      <c r="D115" t="s">
        <v>13</v>
      </c>
      <c r="E115" s="3">
        <v>700</v>
      </c>
      <c r="F115" s="6">
        <v>3.1</v>
      </c>
      <c r="G115" t="s">
        <v>21</v>
      </c>
      <c r="H115" s="2">
        <v>-0.1</v>
      </c>
      <c r="I115" s="3">
        <v>100</v>
      </c>
      <c r="J115" s="3" t="str">
        <f t="shared" si="5"/>
        <v>Low Price</v>
      </c>
      <c r="K115" t="s">
        <v>179</v>
      </c>
      <c r="L115" t="s">
        <v>24</v>
      </c>
      <c r="M115" t="s">
        <v>18</v>
      </c>
      <c r="N115">
        <v>0.05</v>
      </c>
      <c r="O115" t="str">
        <f t="shared" si="6"/>
        <v>Low</v>
      </c>
      <c r="P115">
        <f t="shared" si="7"/>
        <v>400</v>
      </c>
      <c r="Q115" s="2">
        <f t="shared" si="8"/>
        <v>0.4</v>
      </c>
    </row>
    <row r="116" spans="1:17" x14ac:dyDescent="0.3">
      <c r="A116" s="3">
        <v>35</v>
      </c>
      <c r="B116" s="3">
        <v>16</v>
      </c>
      <c r="C116" s="6">
        <v>4.8</v>
      </c>
      <c r="D116" t="s">
        <v>20</v>
      </c>
      <c r="E116" s="3">
        <v>5000</v>
      </c>
      <c r="F116" s="6">
        <v>4.9000000000000004</v>
      </c>
      <c r="G116" t="s">
        <v>31</v>
      </c>
      <c r="H116" s="2">
        <v>0.9</v>
      </c>
      <c r="I116" s="3">
        <v>800</v>
      </c>
      <c r="J116" s="3" t="str">
        <f t="shared" si="5"/>
        <v>Low Price</v>
      </c>
      <c r="K116" t="s">
        <v>9</v>
      </c>
      <c r="L116" t="s">
        <v>17</v>
      </c>
      <c r="M116" t="s">
        <v>18</v>
      </c>
      <c r="N116">
        <v>1</v>
      </c>
      <c r="O116" t="str">
        <f t="shared" si="6"/>
        <v>High</v>
      </c>
      <c r="P116">
        <f t="shared" si="7"/>
        <v>12800</v>
      </c>
      <c r="Q116" s="2">
        <f t="shared" si="8"/>
        <v>0.45714285714285713</v>
      </c>
    </row>
    <row r="117" spans="1:17" x14ac:dyDescent="0.3">
      <c r="A117" s="3">
        <v>20</v>
      </c>
      <c r="B117" s="3">
        <v>9</v>
      </c>
      <c r="C117" s="6">
        <v>4.2</v>
      </c>
      <c r="D117" t="s">
        <v>13</v>
      </c>
      <c r="E117" s="3">
        <v>800</v>
      </c>
      <c r="F117" s="6">
        <v>4.3</v>
      </c>
      <c r="G117" t="s">
        <v>53</v>
      </c>
      <c r="H117" s="2">
        <v>0.7</v>
      </c>
      <c r="I117" s="3">
        <v>300</v>
      </c>
      <c r="J117" s="3" t="str">
        <f t="shared" si="5"/>
        <v>Low Price</v>
      </c>
      <c r="K117" t="s">
        <v>179</v>
      </c>
      <c r="L117" t="s">
        <v>17</v>
      </c>
      <c r="M117" t="s">
        <v>18</v>
      </c>
      <c r="N117">
        <v>0.8</v>
      </c>
      <c r="O117" t="str">
        <f t="shared" si="6"/>
        <v>High</v>
      </c>
      <c r="P117">
        <f t="shared" si="7"/>
        <v>2700</v>
      </c>
      <c r="Q117" s="2">
        <f t="shared" si="8"/>
        <v>0.45</v>
      </c>
    </row>
    <row r="118" spans="1:17" x14ac:dyDescent="0.3">
      <c r="A118" s="3">
        <v>13</v>
      </c>
      <c r="B118" s="3">
        <v>6</v>
      </c>
      <c r="C118" s="6">
        <v>3.5</v>
      </c>
      <c r="D118" t="s">
        <v>20</v>
      </c>
      <c r="E118" s="3">
        <v>1000</v>
      </c>
      <c r="F118" s="6">
        <v>3.7</v>
      </c>
      <c r="G118" t="s">
        <v>60</v>
      </c>
      <c r="H118" s="2">
        <v>0.4</v>
      </c>
      <c r="I118" s="3">
        <v>500</v>
      </c>
      <c r="J118" s="3" t="str">
        <f t="shared" si="5"/>
        <v>Low Price</v>
      </c>
      <c r="K118" t="s">
        <v>9</v>
      </c>
      <c r="L118" t="s">
        <v>17</v>
      </c>
      <c r="M118" t="s">
        <v>18</v>
      </c>
      <c r="N118">
        <v>0.5</v>
      </c>
      <c r="O118" t="str">
        <f t="shared" si="6"/>
        <v>Medium</v>
      </c>
      <c r="P118">
        <f t="shared" si="7"/>
        <v>3000</v>
      </c>
      <c r="Q118" s="2">
        <f t="shared" si="8"/>
        <v>0.46153846153846156</v>
      </c>
    </row>
    <row r="119" spans="1:17" x14ac:dyDescent="0.3">
      <c r="A119" s="3">
        <v>29</v>
      </c>
      <c r="B119" s="3">
        <v>14</v>
      </c>
      <c r="C119" s="6">
        <v>4.7</v>
      </c>
      <c r="D119" t="s">
        <v>13</v>
      </c>
      <c r="E119" s="3">
        <v>2000</v>
      </c>
      <c r="F119" s="6">
        <v>4.8</v>
      </c>
      <c r="G119" t="s">
        <v>39</v>
      </c>
      <c r="H119" s="2">
        <v>0.9</v>
      </c>
      <c r="I119" s="3">
        <v>900</v>
      </c>
      <c r="J119" s="3" t="str">
        <f t="shared" si="5"/>
        <v>Low Price</v>
      </c>
      <c r="K119" t="s">
        <v>179</v>
      </c>
      <c r="L119" t="s">
        <v>17</v>
      </c>
      <c r="M119" t="s">
        <v>25</v>
      </c>
      <c r="N119">
        <v>1</v>
      </c>
      <c r="O119" t="str">
        <f t="shared" si="6"/>
        <v>High</v>
      </c>
      <c r="P119">
        <f t="shared" si="7"/>
        <v>12600</v>
      </c>
      <c r="Q119" s="2">
        <f t="shared" si="8"/>
        <v>0.48275862068965519</v>
      </c>
    </row>
    <row r="120" spans="1:17" x14ac:dyDescent="0.3">
      <c r="A120" s="3">
        <v>15</v>
      </c>
      <c r="B120" s="3">
        <v>7</v>
      </c>
      <c r="C120" s="6">
        <v>3.8</v>
      </c>
      <c r="D120" t="s">
        <v>20</v>
      </c>
      <c r="E120" s="3">
        <v>400</v>
      </c>
      <c r="F120" s="6">
        <v>4</v>
      </c>
      <c r="G120" t="s">
        <v>75</v>
      </c>
      <c r="H120" s="2">
        <v>0.6</v>
      </c>
      <c r="I120" s="3">
        <v>200</v>
      </c>
      <c r="J120" s="3" t="str">
        <f t="shared" si="5"/>
        <v>Low Price</v>
      </c>
      <c r="K120" t="s">
        <v>179</v>
      </c>
      <c r="L120" t="s">
        <v>33</v>
      </c>
      <c r="M120" t="s">
        <v>18</v>
      </c>
      <c r="N120">
        <v>0.7</v>
      </c>
      <c r="O120" t="str">
        <f t="shared" si="6"/>
        <v>Medium</v>
      </c>
      <c r="P120">
        <f t="shared" si="7"/>
        <v>1400</v>
      </c>
      <c r="Q120" s="2">
        <f t="shared" si="8"/>
        <v>0.46666666666666667</v>
      </c>
    </row>
    <row r="121" spans="1:17" x14ac:dyDescent="0.3">
      <c r="A121" s="3">
        <v>30</v>
      </c>
      <c r="B121" s="3">
        <v>15</v>
      </c>
      <c r="C121" s="6">
        <v>4.9000000000000004</v>
      </c>
      <c r="D121" t="s">
        <v>13</v>
      </c>
      <c r="E121" s="3">
        <v>600</v>
      </c>
      <c r="F121" s="6">
        <v>5</v>
      </c>
      <c r="G121" t="s">
        <v>66</v>
      </c>
      <c r="H121" s="2">
        <v>0.9</v>
      </c>
      <c r="I121" s="3">
        <v>700</v>
      </c>
      <c r="J121" s="3" t="str">
        <f t="shared" si="5"/>
        <v>Low Price</v>
      </c>
      <c r="K121" t="s">
        <v>179</v>
      </c>
      <c r="L121" t="s">
        <v>17</v>
      </c>
      <c r="M121" t="s">
        <v>18</v>
      </c>
      <c r="N121">
        <v>1</v>
      </c>
      <c r="O121" t="str">
        <f t="shared" si="6"/>
        <v>High</v>
      </c>
      <c r="P121">
        <f t="shared" si="7"/>
        <v>10500</v>
      </c>
      <c r="Q121" s="2">
        <f t="shared" si="8"/>
        <v>0.5</v>
      </c>
    </row>
    <row r="122" spans="1:17" x14ac:dyDescent="0.3">
      <c r="A122" s="3">
        <v>24</v>
      </c>
      <c r="B122" s="3">
        <v>11</v>
      </c>
      <c r="C122" s="6">
        <v>4.5999999999999996</v>
      </c>
      <c r="D122" t="s">
        <v>20</v>
      </c>
      <c r="E122" s="3">
        <v>2000</v>
      </c>
      <c r="F122" s="6">
        <v>4.7</v>
      </c>
      <c r="G122" t="s">
        <v>50</v>
      </c>
      <c r="H122" s="2">
        <v>0.9</v>
      </c>
      <c r="I122" s="3">
        <v>800</v>
      </c>
      <c r="J122" s="3" t="str">
        <f t="shared" si="5"/>
        <v>Low Price</v>
      </c>
      <c r="K122" t="s">
        <v>179</v>
      </c>
      <c r="L122" t="s">
        <v>33</v>
      </c>
      <c r="M122" t="s">
        <v>18</v>
      </c>
      <c r="N122">
        <v>1</v>
      </c>
      <c r="O122" t="str">
        <f t="shared" si="6"/>
        <v>High</v>
      </c>
      <c r="P122">
        <f t="shared" si="7"/>
        <v>8800</v>
      </c>
      <c r="Q122" s="2">
        <f t="shared" si="8"/>
        <v>0.45833333333333331</v>
      </c>
    </row>
    <row r="123" spans="1:17" x14ac:dyDescent="0.3">
      <c r="A123" s="3">
        <v>18</v>
      </c>
      <c r="B123" s="3">
        <v>8</v>
      </c>
      <c r="C123" s="6">
        <v>4</v>
      </c>
      <c r="D123" t="s">
        <v>13</v>
      </c>
      <c r="E123" s="3">
        <v>300</v>
      </c>
      <c r="F123" s="6">
        <v>4.0999999999999996</v>
      </c>
      <c r="G123" t="s">
        <v>14</v>
      </c>
      <c r="H123" s="2">
        <v>0.7</v>
      </c>
      <c r="I123" s="3">
        <v>200</v>
      </c>
      <c r="J123" s="3" t="str">
        <f t="shared" si="5"/>
        <v>Low Price</v>
      </c>
      <c r="K123" t="s">
        <v>179</v>
      </c>
      <c r="L123" t="s">
        <v>17</v>
      </c>
      <c r="M123" t="s">
        <v>18</v>
      </c>
      <c r="N123">
        <v>0.8</v>
      </c>
      <c r="O123" t="str">
        <f t="shared" si="6"/>
        <v>High</v>
      </c>
      <c r="P123">
        <f t="shared" si="7"/>
        <v>1600</v>
      </c>
      <c r="Q123" s="2">
        <f t="shared" si="8"/>
        <v>0.44444444444444442</v>
      </c>
    </row>
    <row r="124" spans="1:17" x14ac:dyDescent="0.3">
      <c r="A124" s="3">
        <v>32</v>
      </c>
      <c r="B124" s="3">
        <v>15</v>
      </c>
      <c r="C124" s="6">
        <v>4.8</v>
      </c>
      <c r="D124" t="s">
        <v>20</v>
      </c>
      <c r="E124" s="3">
        <v>800</v>
      </c>
      <c r="F124" s="6">
        <v>4.9000000000000004</v>
      </c>
      <c r="G124" t="s">
        <v>57</v>
      </c>
      <c r="H124" s="2">
        <v>0.9</v>
      </c>
      <c r="I124" s="3">
        <v>700</v>
      </c>
      <c r="J124" s="3" t="str">
        <f t="shared" si="5"/>
        <v>Low Price</v>
      </c>
      <c r="K124" t="s">
        <v>179</v>
      </c>
      <c r="L124" t="s">
        <v>17</v>
      </c>
      <c r="M124" t="s">
        <v>25</v>
      </c>
      <c r="N124">
        <v>1</v>
      </c>
      <c r="O124" t="str">
        <f t="shared" si="6"/>
        <v>High</v>
      </c>
      <c r="P124">
        <f t="shared" si="7"/>
        <v>10500</v>
      </c>
      <c r="Q124" s="2">
        <f t="shared" si="8"/>
        <v>0.46875</v>
      </c>
    </row>
    <row r="125" spans="1:17" x14ac:dyDescent="0.3">
      <c r="A125" s="3">
        <v>5</v>
      </c>
      <c r="B125" s="3">
        <v>2</v>
      </c>
      <c r="C125" s="6">
        <v>2.5</v>
      </c>
      <c r="D125" t="s">
        <v>13</v>
      </c>
      <c r="E125" s="3">
        <v>5000</v>
      </c>
      <c r="F125" s="6">
        <v>2.7</v>
      </c>
      <c r="G125" t="s">
        <v>76</v>
      </c>
      <c r="H125" s="2">
        <v>-0.1</v>
      </c>
      <c r="I125" s="3">
        <v>500</v>
      </c>
      <c r="J125" s="3" t="str">
        <f t="shared" si="5"/>
        <v>Low Price</v>
      </c>
      <c r="K125" t="s">
        <v>9</v>
      </c>
      <c r="L125" t="s">
        <v>17</v>
      </c>
      <c r="M125" t="s">
        <v>18</v>
      </c>
      <c r="N125">
        <v>0.05</v>
      </c>
      <c r="O125" t="str">
        <f t="shared" si="6"/>
        <v>Low</v>
      </c>
      <c r="P125">
        <f t="shared" si="7"/>
        <v>1000</v>
      </c>
      <c r="Q125" s="2">
        <f t="shared" si="8"/>
        <v>0.4</v>
      </c>
    </row>
    <row r="126" spans="1:17" x14ac:dyDescent="0.3">
      <c r="A126" s="3">
        <v>18</v>
      </c>
      <c r="B126" s="3">
        <v>8</v>
      </c>
      <c r="C126" s="6">
        <v>4.0999999999999996</v>
      </c>
      <c r="D126" t="s">
        <v>20</v>
      </c>
      <c r="E126" s="3">
        <v>7000</v>
      </c>
      <c r="F126" s="6">
        <v>4.2</v>
      </c>
      <c r="G126" t="s">
        <v>48</v>
      </c>
      <c r="H126" s="2">
        <v>0.8</v>
      </c>
      <c r="I126" s="3">
        <v>900</v>
      </c>
      <c r="J126" s="3" t="str">
        <f t="shared" si="5"/>
        <v>Low Price</v>
      </c>
      <c r="K126" t="s">
        <v>179</v>
      </c>
      <c r="L126" t="s">
        <v>17</v>
      </c>
      <c r="M126" t="s">
        <v>18</v>
      </c>
      <c r="N126">
        <v>0.9</v>
      </c>
      <c r="O126" t="str">
        <f t="shared" si="6"/>
        <v>High</v>
      </c>
      <c r="P126">
        <f t="shared" si="7"/>
        <v>7200</v>
      </c>
      <c r="Q126" s="2">
        <f t="shared" si="8"/>
        <v>0.44444444444444442</v>
      </c>
    </row>
    <row r="127" spans="1:17" x14ac:dyDescent="0.3">
      <c r="A127" s="3">
        <v>14</v>
      </c>
      <c r="B127" s="3">
        <v>7</v>
      </c>
      <c r="C127" s="6">
        <v>3.8</v>
      </c>
      <c r="D127" t="s">
        <v>13</v>
      </c>
      <c r="E127" s="3">
        <v>300</v>
      </c>
      <c r="F127" s="6">
        <v>4</v>
      </c>
      <c r="G127" t="s">
        <v>42</v>
      </c>
      <c r="H127" s="2">
        <v>0.6</v>
      </c>
      <c r="I127" s="3">
        <v>200</v>
      </c>
      <c r="J127" s="3" t="str">
        <f t="shared" si="5"/>
        <v>Low Price</v>
      </c>
      <c r="K127" t="s">
        <v>179</v>
      </c>
      <c r="L127" t="s">
        <v>33</v>
      </c>
      <c r="M127" t="s">
        <v>34</v>
      </c>
      <c r="N127">
        <v>0.7</v>
      </c>
      <c r="O127" t="str">
        <f t="shared" si="6"/>
        <v>Medium</v>
      </c>
      <c r="P127">
        <f t="shared" si="7"/>
        <v>1400</v>
      </c>
      <c r="Q127" s="2">
        <f t="shared" si="8"/>
        <v>0.5</v>
      </c>
    </row>
    <row r="128" spans="1:17" x14ac:dyDescent="0.3">
      <c r="A128" s="3">
        <v>7</v>
      </c>
      <c r="B128" s="3">
        <v>3</v>
      </c>
      <c r="C128" s="6">
        <v>3</v>
      </c>
      <c r="D128" t="s">
        <v>20</v>
      </c>
      <c r="E128" s="3">
        <v>400</v>
      </c>
      <c r="F128" s="6">
        <v>3.1</v>
      </c>
      <c r="G128" t="s">
        <v>69</v>
      </c>
      <c r="H128" s="2">
        <v>0.1</v>
      </c>
      <c r="I128" s="3">
        <v>300</v>
      </c>
      <c r="J128" s="3" t="str">
        <f t="shared" si="5"/>
        <v>Low Price</v>
      </c>
      <c r="K128" t="s">
        <v>179</v>
      </c>
      <c r="L128" t="s">
        <v>33</v>
      </c>
      <c r="M128" t="s">
        <v>18</v>
      </c>
      <c r="N128">
        <v>0.1</v>
      </c>
      <c r="O128" t="str">
        <f t="shared" si="6"/>
        <v>Low</v>
      </c>
      <c r="P128">
        <f t="shared" si="7"/>
        <v>900</v>
      </c>
      <c r="Q128" s="2">
        <f t="shared" si="8"/>
        <v>0.42857142857142855</v>
      </c>
    </row>
    <row r="129" spans="1:17" x14ac:dyDescent="0.3">
      <c r="A129" s="3">
        <v>23</v>
      </c>
      <c r="B129" s="3">
        <v>11</v>
      </c>
      <c r="C129" s="6">
        <v>4.3</v>
      </c>
      <c r="D129" t="s">
        <v>13</v>
      </c>
      <c r="E129" s="3">
        <v>800</v>
      </c>
      <c r="F129" s="6">
        <v>4.5</v>
      </c>
      <c r="G129" t="s">
        <v>39</v>
      </c>
      <c r="H129" s="2">
        <v>0.7</v>
      </c>
      <c r="I129" s="3">
        <v>400</v>
      </c>
      <c r="J129" s="3" t="str">
        <f t="shared" si="5"/>
        <v>Low Price</v>
      </c>
      <c r="K129" t="s">
        <v>179</v>
      </c>
      <c r="L129" t="s">
        <v>33</v>
      </c>
      <c r="M129" t="s">
        <v>18</v>
      </c>
      <c r="N129">
        <v>0.8</v>
      </c>
      <c r="O129" t="str">
        <f t="shared" si="6"/>
        <v>High</v>
      </c>
      <c r="P129">
        <f t="shared" si="7"/>
        <v>4400</v>
      </c>
      <c r="Q129" s="2">
        <f t="shared" si="8"/>
        <v>0.47826086956521741</v>
      </c>
    </row>
    <row r="130" spans="1:17" x14ac:dyDescent="0.3">
      <c r="A130" s="3">
        <v>12</v>
      </c>
      <c r="B130" s="3">
        <v>6</v>
      </c>
      <c r="C130" s="6">
        <v>3.3</v>
      </c>
      <c r="D130" t="s">
        <v>20</v>
      </c>
      <c r="E130" s="3">
        <v>2000</v>
      </c>
      <c r="F130" s="6">
        <v>3.5</v>
      </c>
      <c r="G130" t="s">
        <v>66</v>
      </c>
      <c r="H130" s="2">
        <v>0.5</v>
      </c>
      <c r="I130" s="3">
        <v>500</v>
      </c>
      <c r="J130" s="3" t="str">
        <f t="shared" ref="J130:J193" si="9">IF(I130&gt;5000, "High Price", IF(I130&gt;=1000, "Medium Price", IF(I130&lt;1000, "Low Price")))</f>
        <v>Low Price</v>
      </c>
      <c r="K130" t="s">
        <v>9</v>
      </c>
      <c r="L130" t="s">
        <v>17</v>
      </c>
      <c r="M130" t="s">
        <v>25</v>
      </c>
      <c r="N130">
        <v>0.6</v>
      </c>
      <c r="O130" t="str">
        <f t="shared" ref="O130:O193" si="10">IF(N130&gt;=0.8,"High",IF(N130&gt;=0.4,"Medium",IF(N130&lt;0.4,"Low")))</f>
        <v>Medium</v>
      </c>
      <c r="P130">
        <f t="shared" si="7"/>
        <v>3000</v>
      </c>
      <c r="Q130" s="2">
        <f t="shared" si="8"/>
        <v>0.5</v>
      </c>
    </row>
    <row r="131" spans="1:17" x14ac:dyDescent="0.3">
      <c r="A131" s="3">
        <v>27</v>
      </c>
      <c r="B131" s="3">
        <v>13</v>
      </c>
      <c r="C131" s="6">
        <v>4.5999999999999996</v>
      </c>
      <c r="D131" t="s">
        <v>13</v>
      </c>
      <c r="E131" s="3">
        <v>1000</v>
      </c>
      <c r="F131" s="6">
        <v>4.7</v>
      </c>
      <c r="G131" t="s">
        <v>71</v>
      </c>
      <c r="H131" s="2">
        <v>0.9</v>
      </c>
      <c r="I131" s="3">
        <v>800</v>
      </c>
      <c r="J131" s="3" t="str">
        <f t="shared" si="9"/>
        <v>Low Price</v>
      </c>
      <c r="K131" t="s">
        <v>179</v>
      </c>
      <c r="L131" t="s">
        <v>33</v>
      </c>
      <c r="M131" t="s">
        <v>18</v>
      </c>
      <c r="N131">
        <v>1</v>
      </c>
      <c r="O131" t="str">
        <f t="shared" si="10"/>
        <v>High</v>
      </c>
      <c r="P131">
        <f t="shared" ref="P131:P194" si="11">I131*B131</f>
        <v>10400</v>
      </c>
      <c r="Q131" s="2">
        <f t="shared" ref="Q131:Q194" si="12">B131/A131</f>
        <v>0.48148148148148145</v>
      </c>
    </row>
    <row r="132" spans="1:17" x14ac:dyDescent="0.3">
      <c r="A132" s="3">
        <v>10</v>
      </c>
      <c r="B132" s="3">
        <v>5</v>
      </c>
      <c r="C132" s="6">
        <v>3.1</v>
      </c>
      <c r="D132" t="s">
        <v>20</v>
      </c>
      <c r="E132" s="3">
        <v>5000</v>
      </c>
      <c r="F132" s="6">
        <v>3.2</v>
      </c>
      <c r="G132" t="s">
        <v>55</v>
      </c>
      <c r="H132" s="2">
        <v>0</v>
      </c>
      <c r="I132" s="3">
        <v>600</v>
      </c>
      <c r="J132" s="3" t="str">
        <f t="shared" si="9"/>
        <v>Low Price</v>
      </c>
      <c r="K132" t="s">
        <v>9</v>
      </c>
      <c r="L132" t="s">
        <v>33</v>
      </c>
      <c r="M132" t="s">
        <v>34</v>
      </c>
      <c r="N132">
        <v>0.1</v>
      </c>
      <c r="O132" t="str">
        <f t="shared" si="10"/>
        <v>Low</v>
      </c>
      <c r="P132">
        <f t="shared" si="11"/>
        <v>3000</v>
      </c>
      <c r="Q132" s="2">
        <f t="shared" si="12"/>
        <v>0.5</v>
      </c>
    </row>
    <row r="133" spans="1:17" x14ac:dyDescent="0.3">
      <c r="A133" s="3">
        <v>36</v>
      </c>
      <c r="B133" s="3">
        <v>17</v>
      </c>
      <c r="C133" s="6">
        <v>4.8</v>
      </c>
      <c r="D133" t="s">
        <v>13</v>
      </c>
      <c r="E133" s="3">
        <v>200</v>
      </c>
      <c r="F133" s="6">
        <v>4.9000000000000004</v>
      </c>
      <c r="G133" t="s">
        <v>44</v>
      </c>
      <c r="H133" s="2">
        <v>0.9</v>
      </c>
      <c r="I133" s="3">
        <v>700</v>
      </c>
      <c r="J133" s="3" t="str">
        <f t="shared" si="9"/>
        <v>Low Price</v>
      </c>
      <c r="K133" t="s">
        <v>179</v>
      </c>
      <c r="L133" t="s">
        <v>17</v>
      </c>
      <c r="M133" t="s">
        <v>18</v>
      </c>
      <c r="N133">
        <v>1</v>
      </c>
      <c r="O133" t="str">
        <f t="shared" si="10"/>
        <v>High</v>
      </c>
      <c r="P133">
        <f t="shared" si="11"/>
        <v>11900</v>
      </c>
      <c r="Q133" s="2">
        <f t="shared" si="12"/>
        <v>0.47222222222222221</v>
      </c>
    </row>
    <row r="134" spans="1:17" x14ac:dyDescent="0.3">
      <c r="A134" s="3">
        <v>16</v>
      </c>
      <c r="B134" s="3">
        <v>8</v>
      </c>
      <c r="C134" s="6">
        <v>3.8</v>
      </c>
      <c r="D134" t="s">
        <v>20</v>
      </c>
      <c r="E134" s="3">
        <v>900</v>
      </c>
      <c r="F134" s="6">
        <v>4</v>
      </c>
      <c r="G134" t="s">
        <v>31</v>
      </c>
      <c r="H134" s="2">
        <v>0.7</v>
      </c>
      <c r="I134" s="3">
        <v>200</v>
      </c>
      <c r="J134" s="3" t="str">
        <f t="shared" si="9"/>
        <v>Low Price</v>
      </c>
      <c r="K134" t="s">
        <v>179</v>
      </c>
      <c r="L134" t="s">
        <v>33</v>
      </c>
      <c r="M134" t="s">
        <v>18</v>
      </c>
      <c r="N134">
        <v>0.8</v>
      </c>
      <c r="O134" t="str">
        <f t="shared" si="10"/>
        <v>High</v>
      </c>
      <c r="P134">
        <f t="shared" si="11"/>
        <v>1600</v>
      </c>
      <c r="Q134" s="2">
        <f t="shared" si="12"/>
        <v>0.5</v>
      </c>
    </row>
    <row r="135" spans="1:17" x14ac:dyDescent="0.3">
      <c r="A135" s="3">
        <v>8</v>
      </c>
      <c r="B135" s="3">
        <v>4</v>
      </c>
      <c r="C135" s="6">
        <v>3.2</v>
      </c>
      <c r="D135" t="s">
        <v>13</v>
      </c>
      <c r="E135" s="3">
        <v>3000</v>
      </c>
      <c r="F135" s="6">
        <v>3.4</v>
      </c>
      <c r="G135" t="s">
        <v>77</v>
      </c>
      <c r="H135" s="2">
        <v>0.2</v>
      </c>
      <c r="I135" s="3">
        <v>400</v>
      </c>
      <c r="J135" s="3" t="str">
        <f t="shared" si="9"/>
        <v>Low Price</v>
      </c>
      <c r="K135" t="s">
        <v>179</v>
      </c>
      <c r="L135" t="s">
        <v>17</v>
      </c>
      <c r="M135" t="s">
        <v>18</v>
      </c>
      <c r="N135">
        <v>0.3</v>
      </c>
      <c r="O135" t="str">
        <f t="shared" si="10"/>
        <v>Low</v>
      </c>
      <c r="P135">
        <f t="shared" si="11"/>
        <v>1600</v>
      </c>
      <c r="Q135" s="2">
        <f t="shared" si="12"/>
        <v>0.5</v>
      </c>
    </row>
    <row r="136" spans="1:17" x14ac:dyDescent="0.3">
      <c r="A136" s="3">
        <v>31</v>
      </c>
      <c r="B136" s="3">
        <v>15</v>
      </c>
      <c r="C136" s="6">
        <v>4.7</v>
      </c>
      <c r="D136" t="s">
        <v>20</v>
      </c>
      <c r="E136" s="3">
        <v>600</v>
      </c>
      <c r="F136" s="6">
        <v>4.8</v>
      </c>
      <c r="G136" t="s">
        <v>66</v>
      </c>
      <c r="H136" s="2">
        <v>0.9</v>
      </c>
      <c r="I136" s="3">
        <v>700</v>
      </c>
      <c r="J136" s="3" t="str">
        <f t="shared" si="9"/>
        <v>Low Price</v>
      </c>
      <c r="K136" t="s">
        <v>179</v>
      </c>
      <c r="L136" t="s">
        <v>17</v>
      </c>
      <c r="M136" t="s">
        <v>18</v>
      </c>
      <c r="N136">
        <v>1</v>
      </c>
      <c r="O136" t="str">
        <f t="shared" si="10"/>
        <v>High</v>
      </c>
      <c r="P136">
        <f t="shared" si="11"/>
        <v>10500</v>
      </c>
      <c r="Q136" s="2">
        <f t="shared" si="12"/>
        <v>0.4838709677419355</v>
      </c>
    </row>
    <row r="137" spans="1:17" x14ac:dyDescent="0.3">
      <c r="A137" s="3">
        <v>20</v>
      </c>
      <c r="B137" s="3">
        <v>10</v>
      </c>
      <c r="C137" s="6">
        <v>4.3</v>
      </c>
      <c r="D137" t="s">
        <v>13</v>
      </c>
      <c r="E137" s="3">
        <v>1000</v>
      </c>
      <c r="F137" s="6">
        <v>4.4000000000000004</v>
      </c>
      <c r="G137" t="s">
        <v>21</v>
      </c>
      <c r="H137" s="2">
        <v>0.8</v>
      </c>
      <c r="I137" s="3">
        <v>300</v>
      </c>
      <c r="J137" s="3" t="str">
        <f t="shared" si="9"/>
        <v>Low Price</v>
      </c>
      <c r="K137" t="s">
        <v>179</v>
      </c>
      <c r="L137" t="s">
        <v>33</v>
      </c>
      <c r="M137" t="s">
        <v>18</v>
      </c>
      <c r="N137">
        <v>0.9</v>
      </c>
      <c r="O137" t="str">
        <f t="shared" si="10"/>
        <v>High</v>
      </c>
      <c r="P137">
        <f t="shared" si="11"/>
        <v>3000</v>
      </c>
      <c r="Q137" s="2">
        <f t="shared" si="12"/>
        <v>0.5</v>
      </c>
    </row>
    <row r="138" spans="1:17" x14ac:dyDescent="0.3">
      <c r="A138" s="3">
        <v>11</v>
      </c>
      <c r="B138" s="3">
        <v>5</v>
      </c>
      <c r="C138" s="6">
        <v>3.2</v>
      </c>
      <c r="D138" t="s">
        <v>20</v>
      </c>
      <c r="E138" s="3">
        <v>4000</v>
      </c>
      <c r="F138" s="6">
        <v>3.4</v>
      </c>
      <c r="G138" t="s">
        <v>69</v>
      </c>
      <c r="H138" s="2">
        <v>0.1</v>
      </c>
      <c r="I138" s="3">
        <v>500</v>
      </c>
      <c r="J138" s="3" t="str">
        <f t="shared" si="9"/>
        <v>Low Price</v>
      </c>
      <c r="K138" t="s">
        <v>9</v>
      </c>
      <c r="L138" t="s">
        <v>17</v>
      </c>
      <c r="M138" t="s">
        <v>18</v>
      </c>
      <c r="N138">
        <v>0.2</v>
      </c>
      <c r="O138" t="str">
        <f t="shared" si="10"/>
        <v>Low</v>
      </c>
      <c r="P138">
        <f t="shared" si="11"/>
        <v>2500</v>
      </c>
      <c r="Q138" s="2">
        <f t="shared" si="12"/>
        <v>0.45454545454545453</v>
      </c>
    </row>
    <row r="139" spans="1:17" x14ac:dyDescent="0.3">
      <c r="A139" s="3">
        <v>28</v>
      </c>
      <c r="B139" s="3">
        <v>14</v>
      </c>
      <c r="C139" s="6">
        <v>4.7</v>
      </c>
      <c r="D139" t="s">
        <v>13</v>
      </c>
      <c r="E139" s="3">
        <v>200</v>
      </c>
      <c r="F139" s="6">
        <v>4.8</v>
      </c>
      <c r="G139" t="s">
        <v>60</v>
      </c>
      <c r="H139" s="2">
        <v>0.9</v>
      </c>
      <c r="I139" s="3">
        <v>800</v>
      </c>
      <c r="J139" s="3" t="str">
        <f t="shared" si="9"/>
        <v>Low Price</v>
      </c>
      <c r="K139" t="s">
        <v>179</v>
      </c>
      <c r="L139" t="s">
        <v>17</v>
      </c>
      <c r="M139" t="s">
        <v>25</v>
      </c>
      <c r="N139">
        <v>1</v>
      </c>
      <c r="O139" t="str">
        <f t="shared" si="10"/>
        <v>High</v>
      </c>
      <c r="P139">
        <f t="shared" si="11"/>
        <v>11200</v>
      </c>
      <c r="Q139" s="2">
        <f t="shared" si="12"/>
        <v>0.5</v>
      </c>
    </row>
    <row r="140" spans="1:17" x14ac:dyDescent="0.3">
      <c r="A140" s="3">
        <v>15</v>
      </c>
      <c r="B140" s="3">
        <v>8</v>
      </c>
      <c r="C140" s="6">
        <v>3.9</v>
      </c>
      <c r="D140" t="s">
        <v>20</v>
      </c>
      <c r="E140" s="3">
        <v>500</v>
      </c>
      <c r="F140" s="6">
        <v>4.0999999999999996</v>
      </c>
      <c r="G140" t="s">
        <v>39</v>
      </c>
      <c r="H140" s="2">
        <v>0.7</v>
      </c>
      <c r="I140" s="3">
        <v>200</v>
      </c>
      <c r="J140" s="3" t="str">
        <f t="shared" si="9"/>
        <v>Low Price</v>
      </c>
      <c r="K140" t="s">
        <v>179</v>
      </c>
      <c r="L140" t="s">
        <v>33</v>
      </c>
      <c r="M140" t="s">
        <v>18</v>
      </c>
      <c r="N140">
        <v>0.8</v>
      </c>
      <c r="O140" t="str">
        <f t="shared" si="10"/>
        <v>High</v>
      </c>
      <c r="P140">
        <f t="shared" si="11"/>
        <v>1600</v>
      </c>
      <c r="Q140" s="2">
        <f t="shared" si="12"/>
        <v>0.53333333333333333</v>
      </c>
    </row>
    <row r="141" spans="1:17" x14ac:dyDescent="0.3">
      <c r="A141" s="3">
        <v>9</v>
      </c>
      <c r="B141" s="3">
        <v>4</v>
      </c>
      <c r="C141" s="6">
        <v>2.9</v>
      </c>
      <c r="D141" t="s">
        <v>13</v>
      </c>
      <c r="E141" s="3">
        <v>3000</v>
      </c>
      <c r="F141" s="6">
        <v>3.1</v>
      </c>
      <c r="G141" t="s">
        <v>42</v>
      </c>
      <c r="H141" s="2">
        <v>0</v>
      </c>
      <c r="I141" s="3">
        <v>600</v>
      </c>
      <c r="J141" s="3" t="str">
        <f t="shared" si="9"/>
        <v>Low Price</v>
      </c>
      <c r="K141" t="s">
        <v>9</v>
      </c>
      <c r="L141" t="s">
        <v>33</v>
      </c>
      <c r="M141" t="s">
        <v>25</v>
      </c>
      <c r="N141">
        <v>0.1</v>
      </c>
      <c r="O141" t="str">
        <f t="shared" si="10"/>
        <v>Low</v>
      </c>
      <c r="P141">
        <f t="shared" si="11"/>
        <v>2400</v>
      </c>
      <c r="Q141" s="2">
        <f t="shared" si="12"/>
        <v>0.44444444444444442</v>
      </c>
    </row>
    <row r="142" spans="1:17" x14ac:dyDescent="0.3">
      <c r="A142" s="3">
        <v>24</v>
      </c>
      <c r="B142" s="3">
        <v>12</v>
      </c>
      <c r="C142" s="6">
        <v>4.5</v>
      </c>
      <c r="D142" t="s">
        <v>20</v>
      </c>
      <c r="E142" s="3">
        <v>900</v>
      </c>
      <c r="F142" s="6">
        <v>4.5999999999999996</v>
      </c>
      <c r="G142" t="s">
        <v>48</v>
      </c>
      <c r="H142" s="2">
        <v>0.8</v>
      </c>
      <c r="I142" s="3">
        <v>300</v>
      </c>
      <c r="J142" s="3" t="str">
        <f t="shared" si="9"/>
        <v>Low Price</v>
      </c>
      <c r="K142" t="s">
        <v>179</v>
      </c>
      <c r="L142" t="s">
        <v>17</v>
      </c>
      <c r="M142" t="s">
        <v>18</v>
      </c>
      <c r="N142">
        <v>0.9</v>
      </c>
      <c r="O142" t="str">
        <f t="shared" si="10"/>
        <v>High</v>
      </c>
      <c r="P142">
        <f t="shared" si="11"/>
        <v>3600</v>
      </c>
      <c r="Q142" s="2">
        <f t="shared" si="12"/>
        <v>0.5</v>
      </c>
    </row>
    <row r="143" spans="1:17" x14ac:dyDescent="0.3">
      <c r="A143" s="3">
        <v>13</v>
      </c>
      <c r="B143" s="3">
        <v>7</v>
      </c>
      <c r="C143" s="6">
        <v>3.7</v>
      </c>
      <c r="D143" t="s">
        <v>13</v>
      </c>
      <c r="E143" s="3">
        <v>100</v>
      </c>
      <c r="F143" s="6">
        <v>3.8</v>
      </c>
      <c r="G143" t="s">
        <v>78</v>
      </c>
      <c r="H143" s="2">
        <v>0.6</v>
      </c>
      <c r="I143" s="3">
        <v>200</v>
      </c>
      <c r="J143" s="3" t="str">
        <f t="shared" si="9"/>
        <v>Low Price</v>
      </c>
      <c r="K143" t="s">
        <v>179</v>
      </c>
      <c r="L143" t="s">
        <v>33</v>
      </c>
      <c r="M143" t="s">
        <v>34</v>
      </c>
      <c r="N143">
        <v>0.7</v>
      </c>
      <c r="O143" t="str">
        <f t="shared" si="10"/>
        <v>Medium</v>
      </c>
      <c r="P143">
        <f t="shared" si="11"/>
        <v>1400</v>
      </c>
      <c r="Q143" s="2">
        <f t="shared" si="12"/>
        <v>0.53846153846153844</v>
      </c>
    </row>
    <row r="144" spans="1:17" x14ac:dyDescent="0.3">
      <c r="A144" s="3">
        <v>6</v>
      </c>
      <c r="B144" s="3">
        <v>3</v>
      </c>
      <c r="C144" s="6">
        <v>2.9</v>
      </c>
      <c r="D144" t="s">
        <v>20</v>
      </c>
      <c r="E144" s="3">
        <v>6000</v>
      </c>
      <c r="F144" s="6">
        <v>3.1</v>
      </c>
      <c r="G144" t="s">
        <v>66</v>
      </c>
      <c r="H144" s="2">
        <v>0</v>
      </c>
      <c r="I144" s="3">
        <v>500</v>
      </c>
      <c r="J144" s="3" t="str">
        <f t="shared" si="9"/>
        <v>Low Price</v>
      </c>
      <c r="K144" t="s">
        <v>9</v>
      </c>
      <c r="L144" t="s">
        <v>17</v>
      </c>
      <c r="M144" t="s">
        <v>18</v>
      </c>
      <c r="N144">
        <v>0.1</v>
      </c>
      <c r="O144" t="str">
        <f t="shared" si="10"/>
        <v>Low</v>
      </c>
      <c r="P144">
        <f t="shared" si="11"/>
        <v>1500</v>
      </c>
      <c r="Q144" s="2">
        <f t="shared" si="12"/>
        <v>0.5</v>
      </c>
    </row>
    <row r="145" spans="1:17" x14ac:dyDescent="0.3">
      <c r="A145" s="3">
        <v>21</v>
      </c>
      <c r="B145" s="3">
        <v>11</v>
      </c>
      <c r="C145" s="6">
        <v>4.4000000000000004</v>
      </c>
      <c r="D145" t="s">
        <v>13</v>
      </c>
      <c r="E145" s="3">
        <v>500</v>
      </c>
      <c r="F145" s="6">
        <v>4.5999999999999996</v>
      </c>
      <c r="G145" t="s">
        <v>73</v>
      </c>
      <c r="H145" s="2">
        <v>0.7</v>
      </c>
      <c r="I145" s="3">
        <v>400</v>
      </c>
      <c r="J145" s="3" t="str">
        <f t="shared" si="9"/>
        <v>Low Price</v>
      </c>
      <c r="K145" t="s">
        <v>179</v>
      </c>
      <c r="L145" t="s">
        <v>33</v>
      </c>
      <c r="M145" t="s">
        <v>18</v>
      </c>
      <c r="N145">
        <v>0.8</v>
      </c>
      <c r="O145" t="str">
        <f t="shared" si="10"/>
        <v>High</v>
      </c>
      <c r="P145">
        <f t="shared" si="11"/>
        <v>4400</v>
      </c>
      <c r="Q145" s="2">
        <f t="shared" si="12"/>
        <v>0.52380952380952384</v>
      </c>
    </row>
    <row r="146" spans="1:17" x14ac:dyDescent="0.3">
      <c r="A146" s="3">
        <v>32</v>
      </c>
      <c r="B146" s="3">
        <v>16</v>
      </c>
      <c r="C146" s="6">
        <v>4.8</v>
      </c>
      <c r="D146" t="s">
        <v>20</v>
      </c>
      <c r="E146" s="3">
        <v>2000</v>
      </c>
      <c r="F146" s="6">
        <v>4.9000000000000004</v>
      </c>
      <c r="G146" t="s">
        <v>55</v>
      </c>
      <c r="H146" s="2">
        <v>0.9</v>
      </c>
      <c r="I146" s="3">
        <v>700</v>
      </c>
      <c r="J146" s="3" t="str">
        <f t="shared" si="9"/>
        <v>Low Price</v>
      </c>
      <c r="K146" t="s">
        <v>179</v>
      </c>
      <c r="L146" t="s">
        <v>17</v>
      </c>
      <c r="M146" t="s">
        <v>18</v>
      </c>
      <c r="N146">
        <v>1</v>
      </c>
      <c r="O146" t="str">
        <f t="shared" si="10"/>
        <v>High</v>
      </c>
      <c r="P146">
        <f t="shared" si="11"/>
        <v>11200</v>
      </c>
      <c r="Q146" s="2">
        <f t="shared" si="12"/>
        <v>0.5</v>
      </c>
    </row>
    <row r="147" spans="1:17" x14ac:dyDescent="0.3">
      <c r="A147" s="3">
        <v>17</v>
      </c>
      <c r="B147" s="3">
        <v>9</v>
      </c>
      <c r="C147" s="6">
        <v>4.0999999999999996</v>
      </c>
      <c r="D147" t="s">
        <v>13</v>
      </c>
      <c r="E147" s="3">
        <v>400</v>
      </c>
      <c r="F147" s="6">
        <v>4.2</v>
      </c>
      <c r="G147" t="s">
        <v>27</v>
      </c>
      <c r="H147" s="2">
        <v>0.8</v>
      </c>
      <c r="I147" s="3">
        <v>200</v>
      </c>
      <c r="J147" s="3" t="str">
        <f t="shared" si="9"/>
        <v>Low Price</v>
      </c>
      <c r="K147" t="s">
        <v>179</v>
      </c>
      <c r="L147" t="s">
        <v>33</v>
      </c>
      <c r="M147" t="s">
        <v>34</v>
      </c>
      <c r="N147">
        <v>0.9</v>
      </c>
      <c r="O147" t="str">
        <f t="shared" si="10"/>
        <v>High</v>
      </c>
      <c r="P147">
        <f t="shared" si="11"/>
        <v>1800</v>
      </c>
      <c r="Q147" s="2">
        <f t="shared" si="12"/>
        <v>0.52941176470588236</v>
      </c>
    </row>
    <row r="148" spans="1:17" x14ac:dyDescent="0.3">
      <c r="A148" s="3">
        <v>25</v>
      </c>
      <c r="B148" s="3">
        <v>13</v>
      </c>
      <c r="C148" s="6">
        <v>4.5999999999999996</v>
      </c>
      <c r="D148" t="s">
        <v>20</v>
      </c>
      <c r="E148" s="3">
        <v>300</v>
      </c>
      <c r="F148" s="6">
        <v>4.7</v>
      </c>
      <c r="G148" t="s">
        <v>39</v>
      </c>
      <c r="H148" s="2">
        <v>0.9</v>
      </c>
      <c r="I148" s="3">
        <v>800</v>
      </c>
      <c r="J148" s="3" t="str">
        <f t="shared" si="9"/>
        <v>Low Price</v>
      </c>
      <c r="K148" t="s">
        <v>179</v>
      </c>
      <c r="L148" t="s">
        <v>17</v>
      </c>
      <c r="M148" t="s">
        <v>18</v>
      </c>
      <c r="N148">
        <v>1</v>
      </c>
      <c r="O148" t="str">
        <f t="shared" si="10"/>
        <v>High</v>
      </c>
      <c r="P148">
        <f t="shared" si="11"/>
        <v>10400</v>
      </c>
      <c r="Q148" s="2">
        <f t="shared" si="12"/>
        <v>0.52</v>
      </c>
    </row>
    <row r="149" spans="1:17" x14ac:dyDescent="0.3">
      <c r="A149" s="3">
        <v>19</v>
      </c>
      <c r="B149" s="3">
        <v>9</v>
      </c>
      <c r="C149" s="6">
        <v>4.2</v>
      </c>
      <c r="D149" t="s">
        <v>13</v>
      </c>
      <c r="E149" s="3">
        <v>200</v>
      </c>
      <c r="F149" s="6">
        <v>4.3</v>
      </c>
      <c r="G149" t="s">
        <v>60</v>
      </c>
      <c r="H149" s="2">
        <v>0.8</v>
      </c>
      <c r="I149" s="3">
        <v>300</v>
      </c>
      <c r="J149" s="3" t="str">
        <f t="shared" si="9"/>
        <v>Low Price</v>
      </c>
      <c r="K149" t="s">
        <v>179</v>
      </c>
      <c r="L149" t="s">
        <v>33</v>
      </c>
      <c r="M149" t="s">
        <v>18</v>
      </c>
      <c r="N149">
        <v>0.9</v>
      </c>
      <c r="O149" t="str">
        <f t="shared" si="10"/>
        <v>High</v>
      </c>
      <c r="P149">
        <f t="shared" si="11"/>
        <v>2700</v>
      </c>
      <c r="Q149" s="2">
        <f t="shared" si="12"/>
        <v>0.47368421052631576</v>
      </c>
    </row>
    <row r="150" spans="1:17" x14ac:dyDescent="0.3">
      <c r="A150" s="3">
        <v>34</v>
      </c>
      <c r="B150" s="3">
        <v>17</v>
      </c>
      <c r="C150" s="6">
        <v>4.9000000000000004</v>
      </c>
      <c r="D150" t="s">
        <v>20</v>
      </c>
      <c r="E150" s="3">
        <v>7000</v>
      </c>
      <c r="F150" s="6">
        <v>5</v>
      </c>
      <c r="G150" t="s">
        <v>35</v>
      </c>
      <c r="H150" s="2">
        <v>0.9</v>
      </c>
      <c r="I150" s="3">
        <v>900</v>
      </c>
      <c r="J150" s="3" t="str">
        <f t="shared" si="9"/>
        <v>Low Price</v>
      </c>
      <c r="K150" t="s">
        <v>9</v>
      </c>
      <c r="L150" t="s">
        <v>17</v>
      </c>
      <c r="M150" t="s">
        <v>25</v>
      </c>
      <c r="N150">
        <v>1</v>
      </c>
      <c r="O150" t="str">
        <f t="shared" si="10"/>
        <v>High</v>
      </c>
      <c r="P150">
        <f t="shared" si="11"/>
        <v>15300</v>
      </c>
      <c r="Q150" s="2">
        <f t="shared" si="12"/>
        <v>0.5</v>
      </c>
    </row>
    <row r="151" spans="1:17" x14ac:dyDescent="0.3">
      <c r="A151" s="3">
        <v>22</v>
      </c>
      <c r="B151" s="3">
        <v>11</v>
      </c>
      <c r="C151" s="6">
        <v>4.5</v>
      </c>
      <c r="D151" t="s">
        <v>13</v>
      </c>
      <c r="E151" s="3">
        <v>1000</v>
      </c>
      <c r="F151" s="6">
        <v>4.7</v>
      </c>
      <c r="G151" t="s">
        <v>66</v>
      </c>
      <c r="H151" s="2">
        <v>0.8</v>
      </c>
      <c r="I151" s="3">
        <v>400</v>
      </c>
      <c r="J151" s="3" t="str">
        <f t="shared" si="9"/>
        <v>Low Price</v>
      </c>
      <c r="K151" t="s">
        <v>179</v>
      </c>
      <c r="L151" t="s">
        <v>17</v>
      </c>
      <c r="M151" t="s">
        <v>18</v>
      </c>
      <c r="N151">
        <v>0.9</v>
      </c>
      <c r="O151" t="str">
        <f t="shared" si="10"/>
        <v>High</v>
      </c>
      <c r="P151">
        <f t="shared" si="11"/>
        <v>4400</v>
      </c>
      <c r="Q151" s="2">
        <f t="shared" si="12"/>
        <v>0.5</v>
      </c>
    </row>
    <row r="152" spans="1:17" x14ac:dyDescent="0.3">
      <c r="A152" s="3">
        <v>16</v>
      </c>
      <c r="B152" s="3">
        <v>8</v>
      </c>
      <c r="C152" s="6">
        <v>3.8</v>
      </c>
      <c r="D152" t="s">
        <v>20</v>
      </c>
      <c r="E152" s="3">
        <v>400</v>
      </c>
      <c r="F152" s="6">
        <v>4</v>
      </c>
      <c r="G152" t="s">
        <v>31</v>
      </c>
      <c r="H152" s="2">
        <v>0.7</v>
      </c>
      <c r="I152" s="3">
        <v>200</v>
      </c>
      <c r="J152" s="3" t="str">
        <f t="shared" si="9"/>
        <v>Low Price</v>
      </c>
      <c r="K152" t="s">
        <v>179</v>
      </c>
      <c r="L152" t="s">
        <v>33</v>
      </c>
      <c r="M152" t="s">
        <v>18</v>
      </c>
      <c r="N152">
        <v>0.8</v>
      </c>
      <c r="O152" t="str">
        <f t="shared" si="10"/>
        <v>High</v>
      </c>
      <c r="P152">
        <f t="shared" si="11"/>
        <v>1600</v>
      </c>
      <c r="Q152" s="2">
        <f t="shared" si="12"/>
        <v>0.5</v>
      </c>
    </row>
    <row r="153" spans="1:17" x14ac:dyDescent="0.3">
      <c r="A153" s="3">
        <v>10</v>
      </c>
      <c r="B153" s="3">
        <v>5</v>
      </c>
      <c r="C153" s="6">
        <v>3.1</v>
      </c>
      <c r="D153" t="s">
        <v>13</v>
      </c>
      <c r="E153" s="3">
        <v>5000</v>
      </c>
      <c r="F153" s="6">
        <v>3.2</v>
      </c>
      <c r="G153" t="s">
        <v>55</v>
      </c>
      <c r="H153" s="2">
        <v>0</v>
      </c>
      <c r="I153" s="3">
        <v>600</v>
      </c>
      <c r="J153" s="3" t="str">
        <f t="shared" si="9"/>
        <v>Low Price</v>
      </c>
      <c r="K153" t="s">
        <v>9</v>
      </c>
      <c r="L153" t="s">
        <v>33</v>
      </c>
      <c r="M153" t="s">
        <v>34</v>
      </c>
      <c r="N153">
        <v>0.1</v>
      </c>
      <c r="O153" t="str">
        <f t="shared" si="10"/>
        <v>Low</v>
      </c>
      <c r="P153">
        <f t="shared" si="11"/>
        <v>3000</v>
      </c>
      <c r="Q153" s="2">
        <f t="shared" si="12"/>
        <v>0.5</v>
      </c>
    </row>
    <row r="154" spans="1:17" x14ac:dyDescent="0.3">
      <c r="A154" s="3">
        <v>27</v>
      </c>
      <c r="B154" s="3">
        <v>13</v>
      </c>
      <c r="C154" s="6">
        <v>4.5999999999999996</v>
      </c>
      <c r="D154" t="s">
        <v>13</v>
      </c>
      <c r="E154" s="3">
        <v>1000</v>
      </c>
      <c r="F154" s="6">
        <v>4.8</v>
      </c>
      <c r="G154" t="s">
        <v>42</v>
      </c>
      <c r="H154" s="2">
        <v>0.9</v>
      </c>
      <c r="I154" s="3">
        <v>800</v>
      </c>
      <c r="J154" s="3" t="str">
        <f t="shared" si="9"/>
        <v>Low Price</v>
      </c>
      <c r="K154" t="s">
        <v>179</v>
      </c>
      <c r="L154" t="s">
        <v>33</v>
      </c>
      <c r="M154" t="s">
        <v>18</v>
      </c>
      <c r="N154">
        <v>1</v>
      </c>
      <c r="O154" t="str">
        <f t="shared" si="10"/>
        <v>High</v>
      </c>
      <c r="P154">
        <f t="shared" si="11"/>
        <v>10400</v>
      </c>
      <c r="Q154" s="2">
        <f t="shared" si="12"/>
        <v>0.48148148148148145</v>
      </c>
    </row>
    <row r="155" spans="1:17" x14ac:dyDescent="0.3">
      <c r="A155" s="3">
        <v>7</v>
      </c>
      <c r="B155" s="3">
        <v>3</v>
      </c>
      <c r="C155" s="6">
        <v>2.9</v>
      </c>
      <c r="D155" t="s">
        <v>20</v>
      </c>
      <c r="E155" s="3">
        <v>4000</v>
      </c>
      <c r="F155" s="6">
        <v>3.1</v>
      </c>
      <c r="G155" t="s">
        <v>57</v>
      </c>
      <c r="H155" s="2">
        <v>0</v>
      </c>
      <c r="I155" s="3">
        <v>500</v>
      </c>
      <c r="J155" s="3" t="str">
        <f t="shared" si="9"/>
        <v>Low Price</v>
      </c>
      <c r="K155" t="s">
        <v>9</v>
      </c>
      <c r="L155" t="s">
        <v>17</v>
      </c>
      <c r="M155" t="s">
        <v>18</v>
      </c>
      <c r="N155">
        <v>0.1</v>
      </c>
      <c r="O155" t="str">
        <f t="shared" si="10"/>
        <v>Low</v>
      </c>
      <c r="P155">
        <f t="shared" si="11"/>
        <v>1500</v>
      </c>
      <c r="Q155" s="2">
        <f t="shared" si="12"/>
        <v>0.42857142857142855</v>
      </c>
    </row>
    <row r="156" spans="1:17" x14ac:dyDescent="0.3">
      <c r="A156" s="3">
        <v>23</v>
      </c>
      <c r="B156" s="3">
        <v>11</v>
      </c>
      <c r="C156" s="6">
        <v>4.4000000000000004</v>
      </c>
      <c r="D156" t="s">
        <v>13</v>
      </c>
      <c r="E156" s="3">
        <v>800</v>
      </c>
      <c r="F156" s="6">
        <v>4.5999999999999996</v>
      </c>
      <c r="G156" t="s">
        <v>39</v>
      </c>
      <c r="H156" s="2">
        <v>0.7</v>
      </c>
      <c r="I156" s="3">
        <v>400</v>
      </c>
      <c r="J156" s="3" t="str">
        <f t="shared" si="9"/>
        <v>Low Price</v>
      </c>
      <c r="K156" t="s">
        <v>179</v>
      </c>
      <c r="L156" t="s">
        <v>33</v>
      </c>
      <c r="M156" t="s">
        <v>18</v>
      </c>
      <c r="N156">
        <v>0.8</v>
      </c>
      <c r="O156" t="str">
        <f t="shared" si="10"/>
        <v>High</v>
      </c>
      <c r="P156">
        <f t="shared" si="11"/>
        <v>4400</v>
      </c>
      <c r="Q156" s="2">
        <f t="shared" si="12"/>
        <v>0.47826086956521741</v>
      </c>
    </row>
    <row r="157" spans="1:17" x14ac:dyDescent="0.3">
      <c r="A157" s="3">
        <v>28</v>
      </c>
      <c r="B157" s="3">
        <v>14</v>
      </c>
      <c r="C157" s="6">
        <v>4.7</v>
      </c>
      <c r="D157" t="s">
        <v>13</v>
      </c>
      <c r="E157" s="3">
        <v>100</v>
      </c>
      <c r="F157" s="6">
        <v>4.8</v>
      </c>
      <c r="G157" t="s">
        <v>60</v>
      </c>
      <c r="H157" s="2">
        <v>0.9</v>
      </c>
      <c r="I157" s="3">
        <v>800</v>
      </c>
      <c r="J157" s="3" t="str">
        <f t="shared" si="9"/>
        <v>Low Price</v>
      </c>
      <c r="K157" t="s">
        <v>179</v>
      </c>
      <c r="L157" t="s">
        <v>17</v>
      </c>
      <c r="M157" t="s">
        <v>25</v>
      </c>
      <c r="N157">
        <v>1</v>
      </c>
      <c r="O157" t="str">
        <f t="shared" si="10"/>
        <v>High</v>
      </c>
      <c r="P157">
        <f t="shared" si="11"/>
        <v>11200</v>
      </c>
      <c r="Q157" s="2">
        <f t="shared" si="12"/>
        <v>0.5</v>
      </c>
    </row>
    <row r="158" spans="1:17" x14ac:dyDescent="0.3">
      <c r="A158" s="3">
        <v>9</v>
      </c>
      <c r="B158" s="3">
        <v>4</v>
      </c>
      <c r="C158" s="6">
        <v>2.9</v>
      </c>
      <c r="D158" t="s">
        <v>13</v>
      </c>
      <c r="E158" s="3">
        <v>3000</v>
      </c>
      <c r="F158" s="6">
        <v>3.1</v>
      </c>
      <c r="G158" t="s">
        <v>66</v>
      </c>
      <c r="H158" s="2">
        <v>0</v>
      </c>
      <c r="I158" s="3">
        <v>600</v>
      </c>
      <c r="J158" s="3" t="str">
        <f t="shared" si="9"/>
        <v>Low Price</v>
      </c>
      <c r="K158" t="s">
        <v>9</v>
      </c>
      <c r="L158" t="s">
        <v>17</v>
      </c>
      <c r="M158" t="s">
        <v>18</v>
      </c>
      <c r="N158">
        <v>0.1</v>
      </c>
      <c r="O158" t="str">
        <f t="shared" si="10"/>
        <v>Low</v>
      </c>
      <c r="P158">
        <f t="shared" si="11"/>
        <v>2400</v>
      </c>
      <c r="Q158" s="2">
        <f t="shared" si="12"/>
        <v>0.44444444444444442</v>
      </c>
    </row>
    <row r="159" spans="1:17" x14ac:dyDescent="0.3">
      <c r="A159" s="3">
        <v>5</v>
      </c>
      <c r="B159" s="3">
        <v>2</v>
      </c>
      <c r="C159" s="6">
        <v>2.2999999999999998</v>
      </c>
      <c r="D159" t="s">
        <v>13</v>
      </c>
      <c r="E159" s="3">
        <v>100</v>
      </c>
      <c r="F159" s="6">
        <v>2.5</v>
      </c>
      <c r="G159" t="s">
        <v>31</v>
      </c>
      <c r="H159" s="2">
        <v>-0.7</v>
      </c>
      <c r="I159" s="3">
        <v>100</v>
      </c>
      <c r="J159" s="3" t="str">
        <f t="shared" si="9"/>
        <v>Low Price</v>
      </c>
      <c r="K159" t="s">
        <v>179</v>
      </c>
      <c r="L159" t="s">
        <v>33</v>
      </c>
      <c r="M159" t="s">
        <v>18</v>
      </c>
      <c r="N159">
        <v>0.1</v>
      </c>
      <c r="O159" t="str">
        <f t="shared" si="10"/>
        <v>Low</v>
      </c>
      <c r="P159">
        <f t="shared" si="11"/>
        <v>200</v>
      </c>
      <c r="Q159" s="2">
        <f t="shared" si="12"/>
        <v>0.4</v>
      </c>
    </row>
    <row r="160" spans="1:17" x14ac:dyDescent="0.3">
      <c r="A160" s="3">
        <v>42</v>
      </c>
      <c r="B160" s="3">
        <v>21</v>
      </c>
      <c r="C160" s="6">
        <v>4.9000000000000004</v>
      </c>
      <c r="D160" t="s">
        <v>20</v>
      </c>
      <c r="E160" s="3">
        <v>2000</v>
      </c>
      <c r="F160" s="6">
        <v>5</v>
      </c>
      <c r="G160" t="s">
        <v>35</v>
      </c>
      <c r="H160" s="2">
        <v>0.9</v>
      </c>
      <c r="I160" s="3">
        <v>900</v>
      </c>
      <c r="J160" s="3" t="str">
        <f t="shared" si="9"/>
        <v>Low Price</v>
      </c>
      <c r="K160" t="s">
        <v>179</v>
      </c>
      <c r="L160" t="s">
        <v>17</v>
      </c>
      <c r="M160" t="s">
        <v>25</v>
      </c>
      <c r="N160">
        <v>1</v>
      </c>
      <c r="O160" t="str">
        <f t="shared" si="10"/>
        <v>High</v>
      </c>
      <c r="P160">
        <f t="shared" si="11"/>
        <v>18900</v>
      </c>
      <c r="Q160" s="2">
        <f t="shared" si="12"/>
        <v>0.5</v>
      </c>
    </row>
    <row r="161" spans="1:17" x14ac:dyDescent="0.3">
      <c r="A161" s="3">
        <v>14</v>
      </c>
      <c r="B161" s="3">
        <v>7</v>
      </c>
      <c r="C161" s="6">
        <v>3.5</v>
      </c>
      <c r="D161" t="s">
        <v>13</v>
      </c>
      <c r="E161" s="3">
        <v>300</v>
      </c>
      <c r="F161" s="6">
        <v>3.7</v>
      </c>
      <c r="G161" t="s">
        <v>76</v>
      </c>
      <c r="H161" s="2">
        <v>0.5</v>
      </c>
      <c r="I161" s="3">
        <v>100</v>
      </c>
      <c r="J161" s="3" t="str">
        <f t="shared" si="9"/>
        <v>Low Price</v>
      </c>
      <c r="K161" t="s">
        <v>9</v>
      </c>
      <c r="L161" t="s">
        <v>24</v>
      </c>
      <c r="M161" t="s">
        <v>18</v>
      </c>
      <c r="N161">
        <v>0.7</v>
      </c>
      <c r="O161" t="str">
        <f t="shared" si="10"/>
        <v>Medium</v>
      </c>
      <c r="P161">
        <f t="shared" si="11"/>
        <v>700</v>
      </c>
      <c r="Q161" s="2">
        <f t="shared" si="12"/>
        <v>0.5</v>
      </c>
    </row>
    <row r="162" spans="1:17" x14ac:dyDescent="0.3">
      <c r="A162" s="3">
        <v>7</v>
      </c>
      <c r="B162" s="3">
        <v>4</v>
      </c>
      <c r="C162" s="6">
        <v>3.1</v>
      </c>
      <c r="D162" t="s">
        <v>20</v>
      </c>
      <c r="E162" s="3">
        <v>7000</v>
      </c>
      <c r="F162" s="6">
        <v>3.3</v>
      </c>
      <c r="G162" t="s">
        <v>55</v>
      </c>
      <c r="H162" s="2">
        <v>-0.2</v>
      </c>
      <c r="I162" s="3">
        <v>1000</v>
      </c>
      <c r="J162" s="3" t="str">
        <f t="shared" si="9"/>
        <v>Medium Price</v>
      </c>
      <c r="K162" t="s">
        <v>9</v>
      </c>
      <c r="L162" t="s">
        <v>33</v>
      </c>
      <c r="M162" t="s">
        <v>18</v>
      </c>
      <c r="N162">
        <v>0.4</v>
      </c>
      <c r="O162" t="str">
        <f t="shared" si="10"/>
        <v>Medium</v>
      </c>
      <c r="P162">
        <f t="shared" si="11"/>
        <v>4000</v>
      </c>
      <c r="Q162" s="2">
        <f t="shared" si="12"/>
        <v>0.5714285714285714</v>
      </c>
    </row>
    <row r="163" spans="1:17" x14ac:dyDescent="0.3">
      <c r="A163" s="3">
        <v>20</v>
      </c>
      <c r="B163" s="3">
        <v>10</v>
      </c>
      <c r="C163" s="6">
        <v>4.4000000000000004</v>
      </c>
      <c r="D163" t="s">
        <v>13</v>
      </c>
      <c r="E163" s="3">
        <v>100</v>
      </c>
      <c r="F163" s="6">
        <v>4.5999999999999996</v>
      </c>
      <c r="G163" t="s">
        <v>39</v>
      </c>
      <c r="H163" s="2">
        <v>0.7</v>
      </c>
      <c r="I163" s="3">
        <v>400</v>
      </c>
      <c r="J163" s="3" t="str">
        <f t="shared" si="9"/>
        <v>Low Price</v>
      </c>
      <c r="K163" t="s">
        <v>179</v>
      </c>
      <c r="L163" t="s">
        <v>33</v>
      </c>
      <c r="M163" t="s">
        <v>18</v>
      </c>
      <c r="N163">
        <v>0.8</v>
      </c>
      <c r="O163" t="str">
        <f t="shared" si="10"/>
        <v>High</v>
      </c>
      <c r="P163">
        <f t="shared" si="11"/>
        <v>4000</v>
      </c>
      <c r="Q163" s="2">
        <f t="shared" si="12"/>
        <v>0.5</v>
      </c>
    </row>
    <row r="164" spans="1:17" x14ac:dyDescent="0.3">
      <c r="A164" s="3">
        <v>30</v>
      </c>
      <c r="B164" s="3">
        <v>15</v>
      </c>
      <c r="C164" s="6">
        <v>4.7</v>
      </c>
      <c r="D164" t="s">
        <v>20</v>
      </c>
      <c r="E164" s="3">
        <v>800</v>
      </c>
      <c r="F164" s="6">
        <v>4.9000000000000004</v>
      </c>
      <c r="G164" t="s">
        <v>42</v>
      </c>
      <c r="H164" s="2">
        <v>0.9</v>
      </c>
      <c r="I164" s="3">
        <v>700</v>
      </c>
      <c r="J164" s="3" t="str">
        <f t="shared" si="9"/>
        <v>Low Price</v>
      </c>
      <c r="K164" t="s">
        <v>179</v>
      </c>
      <c r="L164" t="s">
        <v>17</v>
      </c>
      <c r="M164" t="s">
        <v>18</v>
      </c>
      <c r="N164">
        <v>1</v>
      </c>
      <c r="O164" t="str">
        <f t="shared" si="10"/>
        <v>High</v>
      </c>
      <c r="P164">
        <f t="shared" si="11"/>
        <v>10500</v>
      </c>
      <c r="Q164" s="2">
        <f t="shared" si="12"/>
        <v>0.5</v>
      </c>
    </row>
    <row r="165" spans="1:17" x14ac:dyDescent="0.3">
      <c r="A165" s="3">
        <v>16</v>
      </c>
      <c r="B165" s="3">
        <v>9</v>
      </c>
      <c r="C165" s="6">
        <v>4.2</v>
      </c>
      <c r="D165" t="s">
        <v>13</v>
      </c>
      <c r="E165" s="3">
        <v>5000</v>
      </c>
      <c r="F165" s="6">
        <v>4.4000000000000004</v>
      </c>
      <c r="G165" t="s">
        <v>55</v>
      </c>
      <c r="H165" s="2">
        <v>0.7</v>
      </c>
      <c r="I165" s="3">
        <v>600</v>
      </c>
      <c r="J165" s="3" t="str">
        <f t="shared" si="9"/>
        <v>Low Price</v>
      </c>
      <c r="K165" t="s">
        <v>9</v>
      </c>
      <c r="L165" t="s">
        <v>33</v>
      </c>
      <c r="M165" t="s">
        <v>34</v>
      </c>
      <c r="N165">
        <v>0.9</v>
      </c>
      <c r="O165" t="str">
        <f t="shared" si="10"/>
        <v>High</v>
      </c>
      <c r="P165">
        <f t="shared" si="11"/>
        <v>5400</v>
      </c>
      <c r="Q165" s="2">
        <f t="shared" si="12"/>
        <v>0.5625</v>
      </c>
    </row>
    <row r="166" spans="1:17" x14ac:dyDescent="0.3">
      <c r="A166" s="3">
        <v>21</v>
      </c>
      <c r="B166" s="3">
        <v>12</v>
      </c>
      <c r="C166" s="6">
        <v>4.8</v>
      </c>
      <c r="D166" t="s">
        <v>20</v>
      </c>
      <c r="E166" s="3">
        <v>1000</v>
      </c>
      <c r="F166" s="6">
        <v>5</v>
      </c>
      <c r="G166" t="s">
        <v>66</v>
      </c>
      <c r="H166" s="2">
        <v>0.9</v>
      </c>
      <c r="I166" s="3">
        <v>800</v>
      </c>
      <c r="J166" s="3" t="str">
        <f t="shared" si="9"/>
        <v>Low Price</v>
      </c>
      <c r="K166" t="s">
        <v>9</v>
      </c>
      <c r="L166" t="s">
        <v>17</v>
      </c>
      <c r="M166" t="s">
        <v>25</v>
      </c>
      <c r="N166">
        <v>1</v>
      </c>
      <c r="O166" t="str">
        <f t="shared" si="10"/>
        <v>High</v>
      </c>
      <c r="P166">
        <f t="shared" si="11"/>
        <v>9600</v>
      </c>
      <c r="Q166" s="2">
        <f t="shared" si="12"/>
        <v>0.5714285714285714</v>
      </c>
    </row>
    <row r="167" spans="1:17" x14ac:dyDescent="0.3">
      <c r="A167" s="3">
        <v>11</v>
      </c>
      <c r="B167" s="3">
        <v>6</v>
      </c>
      <c r="C167" s="6">
        <v>3.6</v>
      </c>
      <c r="D167" t="s">
        <v>13</v>
      </c>
      <c r="E167" s="3">
        <v>4000</v>
      </c>
      <c r="F167" s="6">
        <v>3.8</v>
      </c>
      <c r="G167" t="s">
        <v>48</v>
      </c>
      <c r="H167" s="2">
        <v>0.3</v>
      </c>
      <c r="I167" s="3">
        <v>500</v>
      </c>
      <c r="J167" s="3" t="str">
        <f t="shared" si="9"/>
        <v>Low Price</v>
      </c>
      <c r="K167" t="s">
        <v>9</v>
      </c>
      <c r="L167" t="s">
        <v>33</v>
      </c>
      <c r="M167" t="s">
        <v>34</v>
      </c>
      <c r="N167">
        <v>0.5</v>
      </c>
      <c r="O167" t="str">
        <f t="shared" si="10"/>
        <v>Medium</v>
      </c>
      <c r="P167">
        <f t="shared" si="11"/>
        <v>3000</v>
      </c>
      <c r="Q167" s="2">
        <f t="shared" si="12"/>
        <v>0.54545454545454541</v>
      </c>
    </row>
    <row r="168" spans="1:17" x14ac:dyDescent="0.3">
      <c r="A168" s="3">
        <v>33</v>
      </c>
      <c r="B168" s="3">
        <v>17</v>
      </c>
      <c r="C168" s="6">
        <v>4.9000000000000004</v>
      </c>
      <c r="D168" t="s">
        <v>20</v>
      </c>
      <c r="E168" s="3">
        <v>600</v>
      </c>
      <c r="F168" s="6">
        <v>5</v>
      </c>
      <c r="G168" t="s">
        <v>66</v>
      </c>
      <c r="H168" s="2">
        <v>0.9</v>
      </c>
      <c r="I168" s="3">
        <v>700</v>
      </c>
      <c r="J168" s="3" t="str">
        <f t="shared" si="9"/>
        <v>Low Price</v>
      </c>
      <c r="K168" t="s">
        <v>179</v>
      </c>
      <c r="L168" t="s">
        <v>17</v>
      </c>
      <c r="M168" t="s">
        <v>18</v>
      </c>
      <c r="N168">
        <v>1</v>
      </c>
      <c r="O168" t="str">
        <f t="shared" si="10"/>
        <v>High</v>
      </c>
      <c r="P168">
        <f t="shared" si="11"/>
        <v>11900</v>
      </c>
      <c r="Q168" s="2">
        <f t="shared" si="12"/>
        <v>0.51515151515151514</v>
      </c>
    </row>
    <row r="169" spans="1:17" x14ac:dyDescent="0.3">
      <c r="A169" s="3">
        <v>25</v>
      </c>
      <c r="B169" s="3">
        <v>12</v>
      </c>
      <c r="C169" s="6">
        <v>4.4000000000000004</v>
      </c>
      <c r="D169" t="s">
        <v>13</v>
      </c>
      <c r="E169" s="3">
        <v>300</v>
      </c>
      <c r="F169" s="6">
        <v>4.5999999999999996</v>
      </c>
      <c r="G169" t="s">
        <v>39</v>
      </c>
      <c r="H169" s="2">
        <v>0.8</v>
      </c>
      <c r="I169" s="3">
        <v>400</v>
      </c>
      <c r="J169" s="3" t="str">
        <f t="shared" si="9"/>
        <v>Low Price</v>
      </c>
      <c r="K169" t="s">
        <v>179</v>
      </c>
      <c r="L169" t="s">
        <v>33</v>
      </c>
      <c r="M169" t="s">
        <v>18</v>
      </c>
      <c r="N169">
        <v>0.9</v>
      </c>
      <c r="O169" t="str">
        <f t="shared" si="10"/>
        <v>High</v>
      </c>
      <c r="P169">
        <f t="shared" si="11"/>
        <v>4800</v>
      </c>
      <c r="Q169" s="2">
        <f t="shared" si="12"/>
        <v>0.48</v>
      </c>
    </row>
    <row r="170" spans="1:17" x14ac:dyDescent="0.3">
      <c r="A170" s="3">
        <v>18</v>
      </c>
      <c r="B170" s="3">
        <v>9</v>
      </c>
      <c r="C170" s="6">
        <v>4.3</v>
      </c>
      <c r="D170" t="s">
        <v>20</v>
      </c>
      <c r="E170" s="3">
        <v>7000</v>
      </c>
      <c r="F170" s="6">
        <v>4.5</v>
      </c>
      <c r="G170" t="s">
        <v>55</v>
      </c>
      <c r="H170" s="2">
        <v>0.8</v>
      </c>
      <c r="I170" s="3">
        <v>800</v>
      </c>
      <c r="J170" s="3" t="str">
        <f t="shared" si="9"/>
        <v>Low Price</v>
      </c>
      <c r="K170" t="s">
        <v>9</v>
      </c>
      <c r="L170" t="s">
        <v>33</v>
      </c>
      <c r="M170" t="s">
        <v>34</v>
      </c>
      <c r="N170">
        <v>1</v>
      </c>
      <c r="O170" t="str">
        <f t="shared" si="10"/>
        <v>High</v>
      </c>
      <c r="P170">
        <f t="shared" si="11"/>
        <v>7200</v>
      </c>
      <c r="Q170" s="2">
        <f t="shared" si="12"/>
        <v>0.5</v>
      </c>
    </row>
    <row r="171" spans="1:17" x14ac:dyDescent="0.3">
      <c r="A171" s="3">
        <v>22</v>
      </c>
      <c r="B171" s="3">
        <v>13</v>
      </c>
      <c r="C171" s="6">
        <v>4.5999999999999996</v>
      </c>
      <c r="D171" t="s">
        <v>13</v>
      </c>
      <c r="E171" s="3">
        <v>2000</v>
      </c>
      <c r="F171" s="6">
        <v>4.8</v>
      </c>
      <c r="G171" t="s">
        <v>73</v>
      </c>
      <c r="H171" s="2">
        <v>0.9</v>
      </c>
      <c r="I171" s="3">
        <v>900</v>
      </c>
      <c r="J171" s="3" t="str">
        <f t="shared" si="9"/>
        <v>Low Price</v>
      </c>
      <c r="K171" t="s">
        <v>179</v>
      </c>
      <c r="L171" t="s">
        <v>17</v>
      </c>
      <c r="M171" t="s">
        <v>18</v>
      </c>
      <c r="N171">
        <v>1</v>
      </c>
      <c r="O171" t="str">
        <f t="shared" si="10"/>
        <v>High</v>
      </c>
      <c r="P171">
        <f t="shared" si="11"/>
        <v>11700</v>
      </c>
      <c r="Q171" s="2">
        <f t="shared" si="12"/>
        <v>0.59090909090909094</v>
      </c>
    </row>
    <row r="172" spans="1:17" x14ac:dyDescent="0.3">
      <c r="A172" s="3">
        <v>10</v>
      </c>
      <c r="B172" s="3">
        <v>5</v>
      </c>
      <c r="C172" s="6">
        <v>3</v>
      </c>
      <c r="D172" t="s">
        <v>20</v>
      </c>
      <c r="E172" s="3">
        <v>100</v>
      </c>
      <c r="F172" s="6">
        <v>3.2</v>
      </c>
      <c r="G172" t="s">
        <v>21</v>
      </c>
      <c r="H172" s="2">
        <v>0</v>
      </c>
      <c r="I172" s="3">
        <v>200</v>
      </c>
      <c r="J172" s="3" t="str">
        <f t="shared" si="9"/>
        <v>Low Price</v>
      </c>
      <c r="K172" t="s">
        <v>9</v>
      </c>
      <c r="L172" t="s">
        <v>33</v>
      </c>
      <c r="M172" t="s">
        <v>18</v>
      </c>
      <c r="N172">
        <v>0.1</v>
      </c>
      <c r="O172" t="str">
        <f t="shared" si="10"/>
        <v>Low</v>
      </c>
      <c r="P172">
        <f t="shared" si="11"/>
        <v>1000</v>
      </c>
      <c r="Q172" s="2">
        <f t="shared" si="12"/>
        <v>0.5</v>
      </c>
    </row>
    <row r="173" spans="1:17" x14ac:dyDescent="0.3">
      <c r="A173" s="3">
        <v>27</v>
      </c>
      <c r="B173" s="3">
        <v>13</v>
      </c>
      <c r="C173" s="6">
        <v>4.5999999999999996</v>
      </c>
      <c r="D173" t="s">
        <v>13</v>
      </c>
      <c r="E173" s="3">
        <v>300</v>
      </c>
      <c r="F173" s="6">
        <v>4.8</v>
      </c>
      <c r="G173" t="s">
        <v>39</v>
      </c>
      <c r="H173" s="2">
        <v>0.9</v>
      </c>
      <c r="I173" s="3">
        <v>800</v>
      </c>
      <c r="J173" s="3" t="str">
        <f t="shared" si="9"/>
        <v>Low Price</v>
      </c>
      <c r="K173" t="s">
        <v>179</v>
      </c>
      <c r="L173" t="s">
        <v>33</v>
      </c>
      <c r="M173" t="s">
        <v>18</v>
      </c>
      <c r="N173">
        <v>1</v>
      </c>
      <c r="O173" t="str">
        <f t="shared" si="10"/>
        <v>High</v>
      </c>
      <c r="P173">
        <f t="shared" si="11"/>
        <v>10400</v>
      </c>
      <c r="Q173" s="2">
        <f t="shared" si="12"/>
        <v>0.48148148148148145</v>
      </c>
    </row>
    <row r="174" spans="1:17" x14ac:dyDescent="0.3">
      <c r="A174" s="3">
        <v>15</v>
      </c>
      <c r="B174" s="3">
        <v>8</v>
      </c>
      <c r="C174" s="6">
        <v>3.9</v>
      </c>
      <c r="D174" t="s">
        <v>20</v>
      </c>
      <c r="E174" s="3">
        <v>4000</v>
      </c>
      <c r="F174" s="6">
        <v>4.0999999999999996</v>
      </c>
      <c r="G174" t="s">
        <v>42</v>
      </c>
      <c r="H174" s="2">
        <v>0.7</v>
      </c>
      <c r="I174" s="3">
        <v>600</v>
      </c>
      <c r="J174" s="3" t="str">
        <f t="shared" si="9"/>
        <v>Low Price</v>
      </c>
      <c r="K174" t="s">
        <v>9</v>
      </c>
      <c r="L174" t="s">
        <v>17</v>
      </c>
      <c r="M174" t="s">
        <v>25</v>
      </c>
      <c r="N174">
        <v>0.8</v>
      </c>
      <c r="O174" t="str">
        <f t="shared" si="10"/>
        <v>High</v>
      </c>
      <c r="P174">
        <f t="shared" si="11"/>
        <v>4800</v>
      </c>
      <c r="Q174" s="2">
        <f t="shared" si="12"/>
        <v>0.53333333333333333</v>
      </c>
    </row>
    <row r="175" spans="1:17" x14ac:dyDescent="0.3">
      <c r="A175" s="3">
        <v>19</v>
      </c>
      <c r="B175" s="3">
        <v>10</v>
      </c>
      <c r="C175" s="6">
        <v>4.3</v>
      </c>
      <c r="D175" t="s">
        <v>13</v>
      </c>
      <c r="E175" s="3">
        <v>600</v>
      </c>
      <c r="F175" s="6">
        <v>4.5</v>
      </c>
      <c r="G175" t="s">
        <v>31</v>
      </c>
      <c r="H175" s="2">
        <v>0.8</v>
      </c>
      <c r="I175" s="3">
        <v>700</v>
      </c>
      <c r="J175" s="3" t="str">
        <f t="shared" si="9"/>
        <v>Low Price</v>
      </c>
      <c r="K175" t="s">
        <v>9</v>
      </c>
      <c r="L175" t="s">
        <v>33</v>
      </c>
      <c r="M175" t="s">
        <v>34</v>
      </c>
      <c r="N175">
        <v>1</v>
      </c>
      <c r="O175" t="str">
        <f t="shared" si="10"/>
        <v>High</v>
      </c>
      <c r="P175">
        <f t="shared" si="11"/>
        <v>7000</v>
      </c>
      <c r="Q175" s="2">
        <f t="shared" si="12"/>
        <v>0.52631578947368418</v>
      </c>
    </row>
    <row r="176" spans="1:17" x14ac:dyDescent="0.3">
      <c r="A176" s="3">
        <v>23</v>
      </c>
      <c r="B176" s="3">
        <v>14</v>
      </c>
      <c r="C176" s="6">
        <v>4.7</v>
      </c>
      <c r="D176" t="s">
        <v>20</v>
      </c>
      <c r="E176" s="3">
        <v>1000</v>
      </c>
      <c r="F176" s="6">
        <v>4.9000000000000004</v>
      </c>
      <c r="G176" t="s">
        <v>66</v>
      </c>
      <c r="H176" s="2">
        <v>0.9</v>
      </c>
      <c r="I176" s="3">
        <v>800</v>
      </c>
      <c r="J176" s="3" t="str">
        <f t="shared" si="9"/>
        <v>Low Price</v>
      </c>
      <c r="K176" t="s">
        <v>179</v>
      </c>
      <c r="L176" t="s">
        <v>17</v>
      </c>
      <c r="M176" t="s">
        <v>18</v>
      </c>
      <c r="N176">
        <v>1</v>
      </c>
      <c r="O176" t="str">
        <f t="shared" si="10"/>
        <v>High</v>
      </c>
      <c r="P176">
        <f t="shared" si="11"/>
        <v>11200</v>
      </c>
      <c r="Q176" s="2">
        <f t="shared" si="12"/>
        <v>0.60869565217391308</v>
      </c>
    </row>
    <row r="177" spans="1:17" x14ac:dyDescent="0.3">
      <c r="A177" s="3">
        <v>13</v>
      </c>
      <c r="B177" s="3">
        <v>7</v>
      </c>
      <c r="C177" s="6">
        <v>3.7</v>
      </c>
      <c r="D177" t="s">
        <v>13</v>
      </c>
      <c r="E177" s="3">
        <v>400</v>
      </c>
      <c r="F177" s="6">
        <v>3.8</v>
      </c>
      <c r="G177" t="s">
        <v>78</v>
      </c>
      <c r="H177" s="2">
        <v>0.6</v>
      </c>
      <c r="I177" s="3">
        <v>200</v>
      </c>
      <c r="J177" s="3" t="str">
        <f t="shared" si="9"/>
        <v>Low Price</v>
      </c>
      <c r="K177" t="s">
        <v>179</v>
      </c>
      <c r="L177" t="s">
        <v>33</v>
      </c>
      <c r="M177" t="s">
        <v>34</v>
      </c>
      <c r="N177">
        <v>0.7</v>
      </c>
      <c r="O177" t="str">
        <f t="shared" si="10"/>
        <v>Medium</v>
      </c>
      <c r="P177">
        <f t="shared" si="11"/>
        <v>1400</v>
      </c>
      <c r="Q177" s="2">
        <f t="shared" si="12"/>
        <v>0.53846153846153844</v>
      </c>
    </row>
    <row r="178" spans="1:17" x14ac:dyDescent="0.3">
      <c r="A178" s="3">
        <v>28</v>
      </c>
      <c r="B178" s="3">
        <v>15</v>
      </c>
      <c r="C178" s="6">
        <v>4.8</v>
      </c>
      <c r="D178" t="s">
        <v>20</v>
      </c>
      <c r="E178" s="3">
        <v>500</v>
      </c>
      <c r="F178" s="6">
        <v>5</v>
      </c>
      <c r="G178" t="s">
        <v>35</v>
      </c>
      <c r="H178" s="2">
        <v>0.9</v>
      </c>
      <c r="I178" s="3">
        <v>900</v>
      </c>
      <c r="J178" s="3" t="str">
        <f t="shared" si="9"/>
        <v>Low Price</v>
      </c>
      <c r="K178" t="s">
        <v>9</v>
      </c>
      <c r="L178" t="s">
        <v>33</v>
      </c>
      <c r="M178" t="s">
        <v>18</v>
      </c>
      <c r="N178">
        <v>1</v>
      </c>
      <c r="O178" t="str">
        <f t="shared" si="10"/>
        <v>High</v>
      </c>
      <c r="P178">
        <f t="shared" si="11"/>
        <v>13500</v>
      </c>
      <c r="Q178" s="2">
        <f t="shared" si="12"/>
        <v>0.5357142857142857</v>
      </c>
    </row>
    <row r="179" spans="1:17" x14ac:dyDescent="0.3">
      <c r="A179" s="3">
        <v>17</v>
      </c>
      <c r="B179" s="3">
        <v>9</v>
      </c>
      <c r="C179" s="6">
        <v>4.2</v>
      </c>
      <c r="D179" t="s">
        <v>13</v>
      </c>
      <c r="E179" s="3">
        <v>200</v>
      </c>
      <c r="F179" s="6">
        <v>4.4000000000000004</v>
      </c>
      <c r="G179" t="s">
        <v>48</v>
      </c>
      <c r="H179" s="2">
        <v>0.8</v>
      </c>
      <c r="I179" s="3">
        <v>300</v>
      </c>
      <c r="J179" s="3" t="str">
        <f t="shared" si="9"/>
        <v>Low Price</v>
      </c>
      <c r="K179" t="s">
        <v>179</v>
      </c>
      <c r="L179" t="s">
        <v>17</v>
      </c>
      <c r="M179" t="s">
        <v>18</v>
      </c>
      <c r="N179">
        <v>0.9</v>
      </c>
      <c r="O179" t="str">
        <f t="shared" si="10"/>
        <v>High</v>
      </c>
      <c r="P179">
        <f t="shared" si="11"/>
        <v>2700</v>
      </c>
      <c r="Q179" s="2">
        <f t="shared" si="12"/>
        <v>0.52941176470588236</v>
      </c>
    </row>
    <row r="180" spans="1:17" x14ac:dyDescent="0.3">
      <c r="A180" s="3">
        <v>31</v>
      </c>
      <c r="B180" s="3">
        <v>16</v>
      </c>
      <c r="C180" s="6">
        <v>4.8</v>
      </c>
      <c r="D180" t="s">
        <v>20</v>
      </c>
      <c r="E180" s="3">
        <v>800</v>
      </c>
      <c r="F180" s="6">
        <v>5</v>
      </c>
      <c r="G180" t="s">
        <v>42</v>
      </c>
      <c r="H180" s="2">
        <v>0.9</v>
      </c>
      <c r="I180" s="3">
        <v>700</v>
      </c>
      <c r="J180" s="3" t="str">
        <f t="shared" si="9"/>
        <v>Low Price</v>
      </c>
      <c r="K180" t="s">
        <v>179</v>
      </c>
      <c r="L180" t="s">
        <v>17</v>
      </c>
      <c r="M180" t="s">
        <v>18</v>
      </c>
      <c r="N180">
        <v>1</v>
      </c>
      <c r="O180" t="str">
        <f t="shared" si="10"/>
        <v>High</v>
      </c>
      <c r="P180">
        <f t="shared" si="11"/>
        <v>11200</v>
      </c>
      <c r="Q180" s="2">
        <f t="shared" si="12"/>
        <v>0.5161290322580645</v>
      </c>
    </row>
    <row r="181" spans="1:17" x14ac:dyDescent="0.3">
      <c r="A181" s="3">
        <v>12</v>
      </c>
      <c r="B181" s="3">
        <v>6</v>
      </c>
      <c r="C181" s="6">
        <v>3.5</v>
      </c>
      <c r="D181" t="s">
        <v>13</v>
      </c>
      <c r="E181" s="3">
        <v>5000</v>
      </c>
      <c r="F181" s="6">
        <v>3.7</v>
      </c>
      <c r="G181" t="s">
        <v>73</v>
      </c>
      <c r="H181" s="2">
        <v>0.4</v>
      </c>
      <c r="I181" s="3">
        <v>600</v>
      </c>
      <c r="J181" s="3" t="str">
        <f t="shared" si="9"/>
        <v>Low Price</v>
      </c>
      <c r="K181" t="s">
        <v>9</v>
      </c>
      <c r="L181" t="s">
        <v>33</v>
      </c>
      <c r="M181" t="s">
        <v>34</v>
      </c>
      <c r="N181">
        <v>0.6</v>
      </c>
      <c r="O181" t="str">
        <f t="shared" si="10"/>
        <v>Medium</v>
      </c>
      <c r="P181">
        <f t="shared" si="11"/>
        <v>3600</v>
      </c>
      <c r="Q181" s="2">
        <f t="shared" si="12"/>
        <v>0.5</v>
      </c>
    </row>
    <row r="182" spans="1:17" x14ac:dyDescent="0.3">
      <c r="A182" s="3">
        <v>26</v>
      </c>
      <c r="B182" s="3">
        <v>13</v>
      </c>
      <c r="C182" s="6">
        <v>4.5</v>
      </c>
      <c r="D182" t="s">
        <v>20</v>
      </c>
      <c r="E182" s="3">
        <v>300</v>
      </c>
      <c r="F182" s="6">
        <v>4.7</v>
      </c>
      <c r="G182" t="s">
        <v>39</v>
      </c>
      <c r="H182" s="2">
        <v>0.8</v>
      </c>
      <c r="I182" s="3">
        <v>400</v>
      </c>
      <c r="J182" s="3" t="str">
        <f t="shared" si="9"/>
        <v>Low Price</v>
      </c>
      <c r="K182" t="s">
        <v>179</v>
      </c>
      <c r="L182" t="s">
        <v>33</v>
      </c>
      <c r="M182" t="s">
        <v>18</v>
      </c>
      <c r="N182">
        <v>0.9</v>
      </c>
      <c r="O182" t="str">
        <f t="shared" si="10"/>
        <v>High</v>
      </c>
      <c r="P182">
        <f t="shared" si="11"/>
        <v>5200</v>
      </c>
      <c r="Q182" s="2">
        <f t="shared" si="12"/>
        <v>0.5</v>
      </c>
    </row>
    <row r="183" spans="1:17" x14ac:dyDescent="0.3">
      <c r="A183" s="3">
        <v>9</v>
      </c>
      <c r="B183" s="3">
        <v>5</v>
      </c>
      <c r="C183" s="6">
        <v>3.2</v>
      </c>
      <c r="D183" t="s">
        <v>13</v>
      </c>
      <c r="E183" s="3">
        <v>400</v>
      </c>
      <c r="F183" s="6">
        <v>3.4</v>
      </c>
      <c r="G183" t="s">
        <v>82</v>
      </c>
      <c r="H183" s="2">
        <v>-0.1</v>
      </c>
      <c r="I183" s="3">
        <v>500</v>
      </c>
      <c r="J183" s="3" t="str">
        <f t="shared" si="9"/>
        <v>Low Price</v>
      </c>
      <c r="K183" t="s">
        <v>9</v>
      </c>
      <c r="L183" t="s">
        <v>17</v>
      </c>
      <c r="M183" t="s">
        <v>18</v>
      </c>
      <c r="N183">
        <v>0.3</v>
      </c>
      <c r="O183" t="str">
        <f t="shared" si="10"/>
        <v>Low</v>
      </c>
      <c r="P183">
        <f t="shared" si="11"/>
        <v>2500</v>
      </c>
      <c r="Q183" s="2">
        <f t="shared" si="12"/>
        <v>0.55555555555555558</v>
      </c>
    </row>
    <row r="184" spans="1:17" x14ac:dyDescent="0.3">
      <c r="A184" s="3">
        <v>20</v>
      </c>
      <c r="B184" s="3">
        <v>11</v>
      </c>
      <c r="C184" s="6">
        <v>4.4000000000000004</v>
      </c>
      <c r="D184" t="s">
        <v>20</v>
      </c>
      <c r="E184" s="3">
        <v>2000</v>
      </c>
      <c r="F184" s="6">
        <v>4.5999999999999996</v>
      </c>
      <c r="G184" t="s">
        <v>66</v>
      </c>
      <c r="H184" s="2">
        <v>0.8</v>
      </c>
      <c r="I184" s="3">
        <v>700</v>
      </c>
      <c r="J184" s="3" t="str">
        <f t="shared" si="9"/>
        <v>Low Price</v>
      </c>
      <c r="K184" t="s">
        <v>179</v>
      </c>
      <c r="L184" t="s">
        <v>17</v>
      </c>
      <c r="M184" t="s">
        <v>18</v>
      </c>
      <c r="N184">
        <v>0.9</v>
      </c>
      <c r="O184" t="str">
        <f t="shared" si="10"/>
        <v>High</v>
      </c>
      <c r="P184">
        <f t="shared" si="11"/>
        <v>7700</v>
      </c>
      <c r="Q184" s="2">
        <f t="shared" si="12"/>
        <v>0.55000000000000004</v>
      </c>
    </row>
    <row r="185" spans="1:17" x14ac:dyDescent="0.3">
      <c r="A185" s="3">
        <v>14</v>
      </c>
      <c r="B185" s="3">
        <v>8</v>
      </c>
      <c r="C185" s="6">
        <v>3.8</v>
      </c>
      <c r="D185" t="s">
        <v>13</v>
      </c>
      <c r="E185" s="3">
        <v>1000</v>
      </c>
      <c r="F185" s="6">
        <v>4</v>
      </c>
      <c r="G185" t="s">
        <v>60</v>
      </c>
      <c r="H185" s="2">
        <v>0.7</v>
      </c>
      <c r="I185" s="3">
        <v>200</v>
      </c>
      <c r="J185" s="3" t="str">
        <f t="shared" si="9"/>
        <v>Low Price</v>
      </c>
      <c r="K185" t="s">
        <v>179</v>
      </c>
      <c r="L185" t="s">
        <v>33</v>
      </c>
      <c r="M185" t="s">
        <v>18</v>
      </c>
      <c r="N185">
        <v>0.8</v>
      </c>
      <c r="O185" t="str">
        <f t="shared" si="10"/>
        <v>High</v>
      </c>
      <c r="P185">
        <f t="shared" si="11"/>
        <v>1600</v>
      </c>
      <c r="Q185" s="2">
        <f t="shared" si="12"/>
        <v>0.5714285714285714</v>
      </c>
    </row>
    <row r="186" spans="1:17" x14ac:dyDescent="0.3">
      <c r="A186" s="3">
        <v>29</v>
      </c>
      <c r="B186" s="3">
        <v>15</v>
      </c>
      <c r="C186" s="6">
        <v>4.8</v>
      </c>
      <c r="D186" t="s">
        <v>20</v>
      </c>
      <c r="E186" s="3">
        <v>6000</v>
      </c>
      <c r="F186" s="6">
        <v>5</v>
      </c>
      <c r="G186" t="s">
        <v>55</v>
      </c>
      <c r="H186" s="2">
        <v>0.9</v>
      </c>
      <c r="I186" s="3">
        <v>800</v>
      </c>
      <c r="J186" s="3" t="str">
        <f t="shared" si="9"/>
        <v>Low Price</v>
      </c>
      <c r="K186" t="s">
        <v>9</v>
      </c>
      <c r="L186" t="s">
        <v>17</v>
      </c>
      <c r="M186" t="s">
        <v>18</v>
      </c>
      <c r="N186">
        <v>1</v>
      </c>
      <c r="O186" t="str">
        <f t="shared" si="10"/>
        <v>High</v>
      </c>
      <c r="P186">
        <f t="shared" si="11"/>
        <v>12000</v>
      </c>
      <c r="Q186" s="2">
        <f t="shared" si="12"/>
        <v>0.51724137931034486</v>
      </c>
    </row>
    <row r="187" spans="1:17" x14ac:dyDescent="0.3">
      <c r="A187" s="3">
        <v>18</v>
      </c>
      <c r="B187" s="3">
        <v>10</v>
      </c>
      <c r="C187" s="6">
        <v>4.3</v>
      </c>
      <c r="D187" t="s">
        <v>13</v>
      </c>
      <c r="E187" s="3">
        <v>300</v>
      </c>
      <c r="F187" s="6">
        <v>4.5</v>
      </c>
      <c r="G187" t="s">
        <v>39</v>
      </c>
      <c r="H187" s="2">
        <v>0.8</v>
      </c>
      <c r="I187" s="3">
        <v>500</v>
      </c>
      <c r="J187" s="3" t="str">
        <f t="shared" si="9"/>
        <v>Low Price</v>
      </c>
      <c r="K187" t="s">
        <v>179</v>
      </c>
      <c r="L187" t="s">
        <v>33</v>
      </c>
      <c r="M187" t="s">
        <v>18</v>
      </c>
      <c r="N187">
        <v>0.9</v>
      </c>
      <c r="O187" t="str">
        <f t="shared" si="10"/>
        <v>High</v>
      </c>
      <c r="P187">
        <f t="shared" si="11"/>
        <v>5000</v>
      </c>
      <c r="Q187" s="2">
        <f t="shared" si="12"/>
        <v>0.55555555555555558</v>
      </c>
    </row>
    <row r="188" spans="1:17" x14ac:dyDescent="0.3">
      <c r="A188" s="3">
        <v>32</v>
      </c>
      <c r="B188" s="3">
        <v>17</v>
      </c>
      <c r="C188" s="6">
        <v>4.9000000000000004</v>
      </c>
      <c r="D188" t="s">
        <v>20</v>
      </c>
      <c r="E188" s="3">
        <v>700</v>
      </c>
      <c r="F188" s="6">
        <v>5</v>
      </c>
      <c r="G188" t="s">
        <v>66</v>
      </c>
      <c r="H188" s="2">
        <v>0.9</v>
      </c>
      <c r="I188" s="3">
        <v>900</v>
      </c>
      <c r="J188" s="3" t="str">
        <f t="shared" si="9"/>
        <v>Low Price</v>
      </c>
      <c r="K188" t="s">
        <v>179</v>
      </c>
      <c r="L188" t="s">
        <v>17</v>
      </c>
      <c r="M188" t="s">
        <v>18</v>
      </c>
      <c r="N188">
        <v>1</v>
      </c>
      <c r="O188" t="str">
        <f t="shared" si="10"/>
        <v>High</v>
      </c>
      <c r="P188">
        <f t="shared" si="11"/>
        <v>15300</v>
      </c>
      <c r="Q188" s="2">
        <f t="shared" si="12"/>
        <v>0.53125</v>
      </c>
    </row>
    <row r="189" spans="1:17" x14ac:dyDescent="0.3">
      <c r="A189" s="3">
        <v>16</v>
      </c>
      <c r="B189" s="3">
        <v>9</v>
      </c>
      <c r="C189" s="6">
        <v>4.2</v>
      </c>
      <c r="D189" t="s">
        <v>13</v>
      </c>
      <c r="E189" s="3">
        <v>400</v>
      </c>
      <c r="F189" s="6">
        <v>4.4000000000000004</v>
      </c>
      <c r="G189" t="s">
        <v>31</v>
      </c>
      <c r="H189" s="2">
        <v>0.8</v>
      </c>
      <c r="I189" s="3">
        <v>300</v>
      </c>
      <c r="J189" s="3" t="str">
        <f t="shared" si="9"/>
        <v>Low Price</v>
      </c>
      <c r="K189" t="s">
        <v>179</v>
      </c>
      <c r="L189" t="s">
        <v>33</v>
      </c>
      <c r="M189" t="s">
        <v>18</v>
      </c>
      <c r="N189">
        <v>0.9</v>
      </c>
      <c r="O189" t="str">
        <f t="shared" si="10"/>
        <v>High</v>
      </c>
      <c r="P189">
        <f t="shared" si="11"/>
        <v>2700</v>
      </c>
      <c r="Q189" s="2">
        <f t="shared" si="12"/>
        <v>0.5625</v>
      </c>
    </row>
    <row r="190" spans="1:17" x14ac:dyDescent="0.3">
      <c r="A190" s="3">
        <v>30</v>
      </c>
      <c r="B190" s="3">
        <v>16</v>
      </c>
      <c r="C190" s="6">
        <v>4.8</v>
      </c>
      <c r="D190" t="s">
        <v>20</v>
      </c>
      <c r="E190" s="3">
        <v>900</v>
      </c>
      <c r="F190" s="6">
        <v>5</v>
      </c>
      <c r="G190" t="s">
        <v>42</v>
      </c>
      <c r="H190" s="2">
        <v>0.9</v>
      </c>
      <c r="I190" s="3">
        <v>700</v>
      </c>
      <c r="J190" s="3" t="str">
        <f t="shared" si="9"/>
        <v>Low Price</v>
      </c>
      <c r="K190" t="s">
        <v>179</v>
      </c>
      <c r="L190" t="s">
        <v>17</v>
      </c>
      <c r="M190" t="s">
        <v>18</v>
      </c>
      <c r="N190">
        <v>1</v>
      </c>
      <c r="O190" t="str">
        <f t="shared" si="10"/>
        <v>High</v>
      </c>
      <c r="P190">
        <f t="shared" si="11"/>
        <v>11200</v>
      </c>
      <c r="Q190" s="2">
        <f t="shared" si="12"/>
        <v>0.53333333333333333</v>
      </c>
    </row>
    <row r="191" spans="1:17" x14ac:dyDescent="0.3">
      <c r="A191" s="3">
        <v>11</v>
      </c>
      <c r="B191" s="3">
        <v>6</v>
      </c>
      <c r="C191" s="6">
        <v>3.5</v>
      </c>
      <c r="D191" t="s">
        <v>13</v>
      </c>
      <c r="E191" s="3">
        <v>6000</v>
      </c>
      <c r="F191" s="6">
        <v>3.7</v>
      </c>
      <c r="G191" t="s">
        <v>73</v>
      </c>
      <c r="H191" s="2">
        <v>0.4</v>
      </c>
      <c r="I191" s="3">
        <v>700</v>
      </c>
      <c r="J191" s="3" t="str">
        <f t="shared" si="9"/>
        <v>Low Price</v>
      </c>
      <c r="K191" t="s">
        <v>9</v>
      </c>
      <c r="L191" t="s">
        <v>33</v>
      </c>
      <c r="M191" t="s">
        <v>34</v>
      </c>
      <c r="N191">
        <v>0.6</v>
      </c>
      <c r="O191" t="str">
        <f t="shared" si="10"/>
        <v>Medium</v>
      </c>
      <c r="P191">
        <f t="shared" si="11"/>
        <v>4200</v>
      </c>
      <c r="Q191" s="2">
        <f t="shared" si="12"/>
        <v>0.54545454545454541</v>
      </c>
    </row>
    <row r="192" spans="1:17" x14ac:dyDescent="0.3">
      <c r="A192" s="3">
        <v>25</v>
      </c>
      <c r="B192" s="3">
        <v>13</v>
      </c>
      <c r="C192" s="6">
        <v>4.5</v>
      </c>
      <c r="D192" t="s">
        <v>20</v>
      </c>
      <c r="E192" s="3">
        <v>400</v>
      </c>
      <c r="F192" s="6">
        <v>4.7</v>
      </c>
      <c r="G192" t="s">
        <v>39</v>
      </c>
      <c r="H192" s="2">
        <v>0.8</v>
      </c>
      <c r="I192" s="3">
        <v>400</v>
      </c>
      <c r="J192" s="3" t="str">
        <f t="shared" si="9"/>
        <v>Low Price</v>
      </c>
      <c r="K192" t="s">
        <v>179</v>
      </c>
      <c r="L192" t="s">
        <v>33</v>
      </c>
      <c r="M192" t="s">
        <v>18</v>
      </c>
      <c r="N192">
        <v>0.9</v>
      </c>
      <c r="O192" t="str">
        <f t="shared" si="10"/>
        <v>High</v>
      </c>
      <c r="P192">
        <f t="shared" si="11"/>
        <v>5200</v>
      </c>
      <c r="Q192" s="2">
        <f t="shared" si="12"/>
        <v>0.52</v>
      </c>
    </row>
    <row r="193" spans="1:17" x14ac:dyDescent="0.3">
      <c r="A193" s="3">
        <v>8</v>
      </c>
      <c r="B193" s="3">
        <v>5</v>
      </c>
      <c r="C193" s="6">
        <v>3.2</v>
      </c>
      <c r="D193" t="s">
        <v>13</v>
      </c>
      <c r="E193" s="3">
        <v>500</v>
      </c>
      <c r="F193" s="6">
        <v>3.4</v>
      </c>
      <c r="G193" t="s">
        <v>82</v>
      </c>
      <c r="H193" s="2">
        <v>-0.1</v>
      </c>
      <c r="I193" s="3">
        <v>600</v>
      </c>
      <c r="J193" s="3" t="str">
        <f t="shared" si="9"/>
        <v>Low Price</v>
      </c>
      <c r="K193" t="s">
        <v>9</v>
      </c>
      <c r="L193" t="s">
        <v>17</v>
      </c>
      <c r="M193" t="s">
        <v>18</v>
      </c>
      <c r="N193">
        <v>0.3</v>
      </c>
      <c r="O193" t="str">
        <f t="shared" si="10"/>
        <v>Low</v>
      </c>
      <c r="P193">
        <f t="shared" si="11"/>
        <v>3000</v>
      </c>
      <c r="Q193" s="2">
        <f t="shared" si="12"/>
        <v>0.625</v>
      </c>
    </row>
    <row r="194" spans="1:17" x14ac:dyDescent="0.3">
      <c r="A194" s="3">
        <v>21</v>
      </c>
      <c r="B194" s="3">
        <v>12</v>
      </c>
      <c r="C194" s="6">
        <v>4.5999999999999996</v>
      </c>
      <c r="D194" t="s">
        <v>20</v>
      </c>
      <c r="E194" s="3">
        <v>3000</v>
      </c>
      <c r="F194" s="6">
        <v>4.8</v>
      </c>
      <c r="G194" t="s">
        <v>35</v>
      </c>
      <c r="H194" s="2">
        <v>0.9</v>
      </c>
      <c r="I194" s="3">
        <v>800</v>
      </c>
      <c r="J194" s="3" t="str">
        <f t="shared" ref="J194:J257" si="13">IF(I194&gt;5000, "High Price", IF(I194&gt;=1000, "Medium Price", IF(I194&lt;1000, "Low Price")))</f>
        <v>Low Price</v>
      </c>
      <c r="K194" t="s">
        <v>9</v>
      </c>
      <c r="L194" t="s">
        <v>33</v>
      </c>
      <c r="M194" t="s">
        <v>18</v>
      </c>
      <c r="N194">
        <v>1</v>
      </c>
      <c r="O194" t="str">
        <f t="shared" ref="O194:O257" si="14">IF(N194&gt;=0.8,"High",IF(N194&gt;=0.4,"Medium",IF(N194&lt;0.4,"Low")))</f>
        <v>High</v>
      </c>
      <c r="P194">
        <f t="shared" si="11"/>
        <v>9600</v>
      </c>
      <c r="Q194" s="2">
        <f t="shared" si="12"/>
        <v>0.5714285714285714</v>
      </c>
    </row>
    <row r="195" spans="1:17" x14ac:dyDescent="0.3">
      <c r="A195" s="3">
        <v>15</v>
      </c>
      <c r="B195" s="3">
        <v>9</v>
      </c>
      <c r="C195" s="6">
        <v>4</v>
      </c>
      <c r="D195" t="s">
        <v>13</v>
      </c>
      <c r="E195" s="3">
        <v>200</v>
      </c>
      <c r="F195" s="6">
        <v>4.2</v>
      </c>
      <c r="G195" t="s">
        <v>48</v>
      </c>
      <c r="H195" s="2">
        <v>0.7</v>
      </c>
      <c r="I195" s="3">
        <v>400</v>
      </c>
      <c r="J195" s="3" t="str">
        <f t="shared" si="13"/>
        <v>Low Price</v>
      </c>
      <c r="K195" t="s">
        <v>179</v>
      </c>
      <c r="L195" t="s">
        <v>17</v>
      </c>
      <c r="M195" t="s">
        <v>18</v>
      </c>
      <c r="N195">
        <v>0.8</v>
      </c>
      <c r="O195" t="str">
        <f t="shared" si="14"/>
        <v>High</v>
      </c>
      <c r="P195">
        <f t="shared" ref="P195:P258" si="15">I195*B195</f>
        <v>3600</v>
      </c>
      <c r="Q195" s="2">
        <f t="shared" ref="Q195:Q258" si="16">B195/A195</f>
        <v>0.6</v>
      </c>
    </row>
    <row r="196" spans="1:17" x14ac:dyDescent="0.3">
      <c r="A196" s="3">
        <v>26</v>
      </c>
      <c r="B196" s="3">
        <v>14</v>
      </c>
      <c r="C196" s="6">
        <v>4.7</v>
      </c>
      <c r="D196" t="s">
        <v>20</v>
      </c>
      <c r="E196" s="3">
        <v>800</v>
      </c>
      <c r="F196" s="6">
        <v>4.9000000000000004</v>
      </c>
      <c r="G196" t="s">
        <v>66</v>
      </c>
      <c r="H196" s="2">
        <v>0.9</v>
      </c>
      <c r="I196" s="3">
        <v>900</v>
      </c>
      <c r="J196" s="3" t="str">
        <f t="shared" si="13"/>
        <v>Low Price</v>
      </c>
      <c r="K196" t="s">
        <v>179</v>
      </c>
      <c r="L196" t="s">
        <v>17</v>
      </c>
      <c r="M196" t="s">
        <v>18</v>
      </c>
      <c r="N196">
        <v>1</v>
      </c>
      <c r="O196" t="str">
        <f t="shared" si="14"/>
        <v>High</v>
      </c>
      <c r="P196">
        <f t="shared" si="15"/>
        <v>12600</v>
      </c>
      <c r="Q196" s="2">
        <f t="shared" si="16"/>
        <v>0.53846153846153844</v>
      </c>
    </row>
    <row r="197" spans="1:17" x14ac:dyDescent="0.3">
      <c r="A197" s="3">
        <v>10</v>
      </c>
      <c r="B197" s="3">
        <v>6</v>
      </c>
      <c r="C197" s="6">
        <v>3.3</v>
      </c>
      <c r="D197" t="s">
        <v>13</v>
      </c>
      <c r="E197" s="3">
        <v>700</v>
      </c>
      <c r="F197" s="6">
        <v>3.5</v>
      </c>
      <c r="G197" t="s">
        <v>21</v>
      </c>
      <c r="H197" s="2">
        <v>0.1</v>
      </c>
      <c r="I197" s="3">
        <v>200</v>
      </c>
      <c r="J197" s="3" t="str">
        <f t="shared" si="13"/>
        <v>Low Price</v>
      </c>
      <c r="K197" t="s">
        <v>179</v>
      </c>
      <c r="L197" t="s">
        <v>33</v>
      </c>
      <c r="M197" t="s">
        <v>18</v>
      </c>
      <c r="N197">
        <v>0.4</v>
      </c>
      <c r="O197" t="str">
        <f t="shared" si="14"/>
        <v>Medium</v>
      </c>
      <c r="P197">
        <f t="shared" si="15"/>
        <v>1200</v>
      </c>
      <c r="Q197" s="2">
        <f t="shared" si="16"/>
        <v>0.6</v>
      </c>
    </row>
    <row r="198" spans="1:17" x14ac:dyDescent="0.3">
      <c r="A198" s="3">
        <v>18</v>
      </c>
      <c r="B198" s="3">
        <v>11</v>
      </c>
      <c r="C198" s="6">
        <v>4.5</v>
      </c>
      <c r="D198" t="s">
        <v>20</v>
      </c>
      <c r="E198" s="3">
        <v>4000</v>
      </c>
      <c r="F198" s="6">
        <v>4.7</v>
      </c>
      <c r="G198" t="s">
        <v>31</v>
      </c>
      <c r="H198" s="2">
        <v>0.8</v>
      </c>
      <c r="I198" s="3">
        <v>500</v>
      </c>
      <c r="J198" s="3" t="str">
        <f t="shared" si="13"/>
        <v>Low Price</v>
      </c>
      <c r="K198" t="s">
        <v>9</v>
      </c>
      <c r="L198" t="s">
        <v>17</v>
      </c>
      <c r="M198" t="s">
        <v>34</v>
      </c>
      <c r="N198">
        <v>1</v>
      </c>
      <c r="O198" t="str">
        <f t="shared" si="14"/>
        <v>High</v>
      </c>
      <c r="P198">
        <f t="shared" si="15"/>
        <v>5500</v>
      </c>
      <c r="Q198" s="2">
        <f t="shared" si="16"/>
        <v>0.61111111111111116</v>
      </c>
    </row>
    <row r="199" spans="1:17" x14ac:dyDescent="0.3">
      <c r="A199" s="3">
        <v>33</v>
      </c>
      <c r="B199" s="3">
        <v>18</v>
      </c>
      <c r="C199" s="6">
        <v>5</v>
      </c>
      <c r="D199" t="s">
        <v>13</v>
      </c>
      <c r="E199" s="3">
        <v>500</v>
      </c>
      <c r="F199" s="6">
        <v>5</v>
      </c>
      <c r="G199" t="s">
        <v>42</v>
      </c>
      <c r="H199" s="2">
        <v>0.9</v>
      </c>
      <c r="I199" s="3">
        <v>700</v>
      </c>
      <c r="J199" s="3" t="str">
        <f t="shared" si="13"/>
        <v>Low Price</v>
      </c>
      <c r="K199" t="s">
        <v>179</v>
      </c>
      <c r="L199" t="s">
        <v>17</v>
      </c>
      <c r="M199" t="s">
        <v>18</v>
      </c>
      <c r="N199">
        <v>1</v>
      </c>
      <c r="O199" t="str">
        <f t="shared" si="14"/>
        <v>High</v>
      </c>
      <c r="P199">
        <f t="shared" si="15"/>
        <v>12600</v>
      </c>
      <c r="Q199" s="2">
        <f t="shared" si="16"/>
        <v>0.54545454545454541</v>
      </c>
    </row>
    <row r="200" spans="1:17" x14ac:dyDescent="0.3">
      <c r="A200" s="3">
        <v>9</v>
      </c>
      <c r="B200" s="3">
        <v>6</v>
      </c>
      <c r="C200" s="6">
        <v>3.3</v>
      </c>
      <c r="D200" t="s">
        <v>20</v>
      </c>
      <c r="E200" s="3">
        <v>100</v>
      </c>
      <c r="F200" s="6">
        <v>3.5</v>
      </c>
      <c r="G200" t="s">
        <v>39</v>
      </c>
      <c r="H200" s="2">
        <v>0.2</v>
      </c>
      <c r="I200" s="3">
        <v>400</v>
      </c>
      <c r="J200" s="3" t="str">
        <f t="shared" si="13"/>
        <v>Low Price</v>
      </c>
      <c r="K200" t="s">
        <v>179</v>
      </c>
      <c r="L200" t="s">
        <v>33</v>
      </c>
      <c r="M200" t="s">
        <v>18</v>
      </c>
      <c r="N200">
        <v>0.5</v>
      </c>
      <c r="O200" t="str">
        <f t="shared" si="14"/>
        <v>Medium</v>
      </c>
      <c r="P200">
        <f t="shared" si="15"/>
        <v>2400</v>
      </c>
      <c r="Q200" s="2">
        <f t="shared" si="16"/>
        <v>0.66666666666666663</v>
      </c>
    </row>
    <row r="201" spans="1:17" x14ac:dyDescent="0.3">
      <c r="A201" s="3">
        <v>24</v>
      </c>
      <c r="B201" s="3">
        <v>13</v>
      </c>
      <c r="C201" s="6">
        <v>4.5999999999999996</v>
      </c>
      <c r="D201" t="s">
        <v>13</v>
      </c>
      <c r="E201" s="3">
        <v>2000</v>
      </c>
      <c r="F201" s="6">
        <v>4.8</v>
      </c>
      <c r="G201" t="s">
        <v>82</v>
      </c>
      <c r="H201" s="2">
        <v>-0.1</v>
      </c>
      <c r="I201" s="3">
        <v>600</v>
      </c>
      <c r="J201" s="3" t="str">
        <f t="shared" si="13"/>
        <v>Low Price</v>
      </c>
      <c r="K201" t="s">
        <v>9</v>
      </c>
      <c r="L201" t="s">
        <v>17</v>
      </c>
      <c r="M201" t="s">
        <v>18</v>
      </c>
      <c r="N201">
        <v>0.3</v>
      </c>
      <c r="O201" t="str">
        <f t="shared" si="14"/>
        <v>Low</v>
      </c>
      <c r="P201">
        <f t="shared" si="15"/>
        <v>7800</v>
      </c>
      <c r="Q201" s="2">
        <f t="shared" si="16"/>
        <v>0.54166666666666663</v>
      </c>
    </row>
    <row r="202" spans="1:17" x14ac:dyDescent="0.3">
      <c r="A202" s="3">
        <v>16</v>
      </c>
      <c r="B202" s="3">
        <v>10</v>
      </c>
      <c r="C202" s="6">
        <v>4.0999999999999996</v>
      </c>
      <c r="D202" t="s">
        <v>20</v>
      </c>
      <c r="E202" s="3">
        <v>6000</v>
      </c>
      <c r="F202" s="6">
        <v>4.3</v>
      </c>
      <c r="G202" t="s">
        <v>66</v>
      </c>
      <c r="H202" s="2">
        <v>0.8</v>
      </c>
      <c r="I202" s="3">
        <v>800</v>
      </c>
      <c r="J202" s="3" t="str">
        <f t="shared" si="13"/>
        <v>Low Price</v>
      </c>
      <c r="K202" t="s">
        <v>9</v>
      </c>
      <c r="L202" t="s">
        <v>33</v>
      </c>
      <c r="M202" t="s">
        <v>34</v>
      </c>
      <c r="N202">
        <v>0.9</v>
      </c>
      <c r="O202" t="str">
        <f t="shared" si="14"/>
        <v>High</v>
      </c>
      <c r="P202">
        <f t="shared" si="15"/>
        <v>8000</v>
      </c>
      <c r="Q202" s="2">
        <f t="shared" si="16"/>
        <v>0.625</v>
      </c>
    </row>
    <row r="203" spans="1:17" x14ac:dyDescent="0.3">
      <c r="A203" s="3">
        <v>29</v>
      </c>
      <c r="B203" s="3">
        <v>16</v>
      </c>
      <c r="C203" s="6">
        <v>4.9000000000000004</v>
      </c>
      <c r="D203" t="s">
        <v>13</v>
      </c>
      <c r="E203" s="3">
        <v>300</v>
      </c>
      <c r="F203" s="6">
        <v>5</v>
      </c>
      <c r="G203" t="s">
        <v>21</v>
      </c>
      <c r="H203" s="2">
        <v>0.8</v>
      </c>
      <c r="I203" s="3">
        <v>300</v>
      </c>
      <c r="J203" s="3" t="str">
        <f t="shared" si="13"/>
        <v>Low Price</v>
      </c>
      <c r="K203" t="s">
        <v>179</v>
      </c>
      <c r="L203" t="s">
        <v>33</v>
      </c>
      <c r="M203" t="s">
        <v>18</v>
      </c>
      <c r="N203">
        <v>1</v>
      </c>
      <c r="O203" t="str">
        <f t="shared" si="14"/>
        <v>High</v>
      </c>
      <c r="P203">
        <f t="shared" si="15"/>
        <v>4800</v>
      </c>
      <c r="Q203" s="2">
        <f t="shared" si="16"/>
        <v>0.55172413793103448</v>
      </c>
    </row>
    <row r="204" spans="1:17" x14ac:dyDescent="0.3">
      <c r="A204" s="3">
        <v>11</v>
      </c>
      <c r="B204" s="3">
        <v>7</v>
      </c>
      <c r="C204" s="6">
        <v>3.7</v>
      </c>
      <c r="D204" t="s">
        <v>20</v>
      </c>
      <c r="E204" s="3">
        <v>700</v>
      </c>
      <c r="F204" s="6">
        <v>3.9</v>
      </c>
      <c r="G204" t="s">
        <v>78</v>
      </c>
      <c r="H204" s="2">
        <v>0.5</v>
      </c>
      <c r="I204" s="3">
        <v>200</v>
      </c>
      <c r="J204" s="3" t="str">
        <f t="shared" si="13"/>
        <v>Low Price</v>
      </c>
      <c r="K204" t="s">
        <v>9</v>
      </c>
      <c r="L204" t="s">
        <v>24</v>
      </c>
      <c r="M204" t="s">
        <v>18</v>
      </c>
      <c r="N204">
        <v>0.7</v>
      </c>
      <c r="O204" t="str">
        <f t="shared" si="14"/>
        <v>Medium</v>
      </c>
      <c r="P204">
        <f t="shared" si="15"/>
        <v>1400</v>
      </c>
      <c r="Q204" s="2">
        <f t="shared" si="16"/>
        <v>0.63636363636363635</v>
      </c>
    </row>
    <row r="205" spans="1:17" x14ac:dyDescent="0.3">
      <c r="A205" s="3">
        <v>22</v>
      </c>
      <c r="B205" s="3">
        <v>13</v>
      </c>
      <c r="C205" s="6">
        <v>4.7</v>
      </c>
      <c r="D205" t="s">
        <v>13</v>
      </c>
      <c r="E205" s="3">
        <v>900</v>
      </c>
      <c r="F205" s="6">
        <v>4.9000000000000004</v>
      </c>
      <c r="G205" t="s">
        <v>60</v>
      </c>
      <c r="H205" s="2">
        <v>0.9</v>
      </c>
      <c r="I205" s="3">
        <v>800</v>
      </c>
      <c r="J205" s="3" t="str">
        <f t="shared" si="13"/>
        <v>Low Price</v>
      </c>
      <c r="K205" t="s">
        <v>179</v>
      </c>
      <c r="L205" t="s">
        <v>17</v>
      </c>
      <c r="M205" t="s">
        <v>25</v>
      </c>
      <c r="N205">
        <v>1</v>
      </c>
      <c r="O205" t="str">
        <f t="shared" si="14"/>
        <v>High</v>
      </c>
      <c r="P205">
        <f t="shared" si="15"/>
        <v>10400</v>
      </c>
      <c r="Q205" s="2">
        <f t="shared" si="16"/>
        <v>0.59090909090909094</v>
      </c>
    </row>
    <row r="206" spans="1:17" x14ac:dyDescent="0.3">
      <c r="A206" s="3">
        <v>17</v>
      </c>
      <c r="B206" s="3">
        <v>10</v>
      </c>
      <c r="C206" s="6">
        <v>4.4000000000000004</v>
      </c>
      <c r="D206" t="s">
        <v>20</v>
      </c>
      <c r="E206" s="3">
        <v>5000</v>
      </c>
      <c r="F206" s="6">
        <v>4.5999999999999996</v>
      </c>
      <c r="G206" t="s">
        <v>35</v>
      </c>
      <c r="H206" s="2">
        <v>0.8</v>
      </c>
      <c r="I206" s="3">
        <v>600</v>
      </c>
      <c r="J206" s="3" t="str">
        <f t="shared" si="13"/>
        <v>Low Price</v>
      </c>
      <c r="K206" t="s">
        <v>9</v>
      </c>
      <c r="L206" t="s">
        <v>33</v>
      </c>
      <c r="M206" t="s">
        <v>18</v>
      </c>
      <c r="N206">
        <v>0.9</v>
      </c>
      <c r="O206" t="str">
        <f t="shared" si="14"/>
        <v>High</v>
      </c>
      <c r="P206">
        <f t="shared" si="15"/>
        <v>6000</v>
      </c>
      <c r="Q206" s="2">
        <f t="shared" si="16"/>
        <v>0.58823529411764708</v>
      </c>
    </row>
    <row r="207" spans="1:17" x14ac:dyDescent="0.3">
      <c r="A207" s="3">
        <v>31</v>
      </c>
      <c r="B207" s="3">
        <v>17</v>
      </c>
      <c r="C207" s="6">
        <v>4.9000000000000004</v>
      </c>
      <c r="D207" t="s">
        <v>13</v>
      </c>
      <c r="E207" s="3">
        <v>200</v>
      </c>
      <c r="F207" s="6">
        <v>5</v>
      </c>
      <c r="G207" t="s">
        <v>82</v>
      </c>
      <c r="H207" s="2">
        <v>-0.1</v>
      </c>
      <c r="I207" s="3">
        <v>700</v>
      </c>
      <c r="J207" s="3" t="str">
        <f t="shared" si="13"/>
        <v>Low Price</v>
      </c>
      <c r="K207" t="s">
        <v>179</v>
      </c>
      <c r="L207" t="s">
        <v>17</v>
      </c>
      <c r="M207" t="s">
        <v>18</v>
      </c>
      <c r="N207">
        <v>1</v>
      </c>
      <c r="O207" t="str">
        <f t="shared" si="14"/>
        <v>High</v>
      </c>
      <c r="P207">
        <f t="shared" si="15"/>
        <v>11900</v>
      </c>
      <c r="Q207" s="2">
        <f t="shared" si="16"/>
        <v>0.54838709677419351</v>
      </c>
    </row>
    <row r="208" spans="1:17" x14ac:dyDescent="0.3">
      <c r="A208" s="3">
        <v>14</v>
      </c>
      <c r="B208" s="3">
        <v>9</v>
      </c>
      <c r="C208" s="6">
        <v>4</v>
      </c>
      <c r="D208" t="s">
        <v>20</v>
      </c>
      <c r="E208" s="3">
        <v>4000</v>
      </c>
      <c r="F208" s="6">
        <v>4.2</v>
      </c>
      <c r="G208" t="s">
        <v>66</v>
      </c>
      <c r="H208" s="2">
        <v>0.7</v>
      </c>
      <c r="I208" s="3">
        <v>800</v>
      </c>
      <c r="J208" s="3" t="str">
        <f t="shared" si="13"/>
        <v>Low Price</v>
      </c>
      <c r="K208" t="s">
        <v>9</v>
      </c>
      <c r="L208" t="s">
        <v>33</v>
      </c>
      <c r="M208" t="s">
        <v>34</v>
      </c>
      <c r="N208">
        <v>0.9</v>
      </c>
      <c r="O208" t="str">
        <f t="shared" si="14"/>
        <v>High</v>
      </c>
      <c r="P208">
        <f t="shared" si="15"/>
        <v>7200</v>
      </c>
      <c r="Q208" s="2">
        <f t="shared" si="16"/>
        <v>0.6428571428571429</v>
      </c>
    </row>
    <row r="209" spans="1:17" x14ac:dyDescent="0.3">
      <c r="A209" s="3">
        <v>28</v>
      </c>
      <c r="B209" s="3">
        <v>16</v>
      </c>
      <c r="C209" s="6">
        <v>4.9000000000000004</v>
      </c>
      <c r="D209" t="s">
        <v>13</v>
      </c>
      <c r="E209" s="3">
        <v>400</v>
      </c>
      <c r="F209" s="6">
        <v>5</v>
      </c>
      <c r="G209" t="s">
        <v>39</v>
      </c>
      <c r="H209" s="2">
        <v>0.9</v>
      </c>
      <c r="I209" s="3">
        <v>900</v>
      </c>
      <c r="J209" s="3" t="str">
        <f t="shared" si="13"/>
        <v>Low Price</v>
      </c>
      <c r="K209" t="s">
        <v>179</v>
      </c>
      <c r="L209" t="s">
        <v>33</v>
      </c>
      <c r="M209" t="s">
        <v>18</v>
      </c>
      <c r="N209">
        <v>1</v>
      </c>
      <c r="O209" t="str">
        <f t="shared" si="14"/>
        <v>High</v>
      </c>
      <c r="P209">
        <f t="shared" si="15"/>
        <v>14400</v>
      </c>
      <c r="Q209" s="2">
        <f t="shared" si="16"/>
        <v>0.5714285714285714</v>
      </c>
    </row>
    <row r="210" spans="1:17" x14ac:dyDescent="0.3">
      <c r="A210" s="3">
        <v>12</v>
      </c>
      <c r="B210" s="3">
        <v>7</v>
      </c>
      <c r="C210" s="6">
        <v>3.6</v>
      </c>
      <c r="D210" t="s">
        <v>20</v>
      </c>
      <c r="E210" s="3">
        <v>1000</v>
      </c>
      <c r="F210" s="6">
        <v>3.8</v>
      </c>
      <c r="G210" t="s">
        <v>55</v>
      </c>
      <c r="H210" s="2">
        <v>0.4</v>
      </c>
      <c r="I210" s="3">
        <v>200</v>
      </c>
      <c r="J210" s="3" t="str">
        <f t="shared" si="13"/>
        <v>Low Price</v>
      </c>
      <c r="K210" t="s">
        <v>9</v>
      </c>
      <c r="L210" t="s">
        <v>33</v>
      </c>
      <c r="M210" t="s">
        <v>34</v>
      </c>
      <c r="N210">
        <v>0.6</v>
      </c>
      <c r="O210" t="str">
        <f t="shared" si="14"/>
        <v>Medium</v>
      </c>
      <c r="P210">
        <f t="shared" si="15"/>
        <v>1400</v>
      </c>
      <c r="Q210" s="2">
        <f t="shared" si="16"/>
        <v>0.58333333333333337</v>
      </c>
    </row>
    <row r="211" spans="1:17" x14ac:dyDescent="0.3">
      <c r="A211" s="3">
        <v>25</v>
      </c>
      <c r="B211" s="3">
        <v>14</v>
      </c>
      <c r="C211" s="6">
        <v>4.8</v>
      </c>
      <c r="D211" t="s">
        <v>13</v>
      </c>
      <c r="E211" s="3">
        <v>800</v>
      </c>
      <c r="F211" s="6">
        <v>5</v>
      </c>
      <c r="G211" t="s">
        <v>66</v>
      </c>
      <c r="H211" s="2">
        <v>0.9</v>
      </c>
      <c r="I211" s="3">
        <v>1000</v>
      </c>
      <c r="J211" s="3" t="str">
        <f t="shared" si="13"/>
        <v>Medium Price</v>
      </c>
      <c r="K211" t="s">
        <v>9</v>
      </c>
      <c r="L211" t="s">
        <v>17</v>
      </c>
      <c r="M211" t="s">
        <v>18</v>
      </c>
      <c r="N211">
        <v>1</v>
      </c>
      <c r="O211" t="str">
        <f t="shared" si="14"/>
        <v>High</v>
      </c>
      <c r="P211">
        <f t="shared" si="15"/>
        <v>14000</v>
      </c>
      <c r="Q211" s="2">
        <f t="shared" si="16"/>
        <v>0.56000000000000005</v>
      </c>
    </row>
    <row r="212" spans="1:17" x14ac:dyDescent="0.3">
      <c r="A212" s="3">
        <v>8</v>
      </c>
      <c r="B212" s="3">
        <v>6</v>
      </c>
      <c r="C212" s="6">
        <v>3.4</v>
      </c>
      <c r="D212" t="s">
        <v>20</v>
      </c>
      <c r="E212" s="3">
        <v>2000</v>
      </c>
      <c r="F212" s="6">
        <v>3.6</v>
      </c>
      <c r="G212" t="s">
        <v>31</v>
      </c>
      <c r="H212" s="2">
        <v>0.3</v>
      </c>
      <c r="I212" s="3">
        <v>300</v>
      </c>
      <c r="J212" s="3" t="str">
        <f t="shared" si="13"/>
        <v>Low Price</v>
      </c>
      <c r="K212" t="s">
        <v>179</v>
      </c>
      <c r="L212" t="s">
        <v>33</v>
      </c>
      <c r="M212" t="s">
        <v>34</v>
      </c>
      <c r="N212">
        <v>0.6</v>
      </c>
      <c r="O212" t="str">
        <f t="shared" si="14"/>
        <v>Medium</v>
      </c>
      <c r="P212">
        <f t="shared" si="15"/>
        <v>1800</v>
      </c>
      <c r="Q212" s="2">
        <f t="shared" si="16"/>
        <v>0.75</v>
      </c>
    </row>
    <row r="213" spans="1:17" x14ac:dyDescent="0.3">
      <c r="A213" s="3">
        <v>21</v>
      </c>
      <c r="B213" s="3">
        <v>13</v>
      </c>
      <c r="C213" s="6">
        <v>4.7</v>
      </c>
      <c r="D213" t="s">
        <v>13</v>
      </c>
      <c r="E213" s="3">
        <v>300</v>
      </c>
      <c r="F213" s="6">
        <v>4.9000000000000004</v>
      </c>
      <c r="G213" t="s">
        <v>39</v>
      </c>
      <c r="H213" s="2">
        <v>0.9</v>
      </c>
      <c r="I213" s="3">
        <v>800</v>
      </c>
      <c r="J213" s="3" t="str">
        <f t="shared" si="13"/>
        <v>Low Price</v>
      </c>
      <c r="K213" t="s">
        <v>9</v>
      </c>
      <c r="L213" t="s">
        <v>17</v>
      </c>
      <c r="M213" t="s">
        <v>25</v>
      </c>
      <c r="N213">
        <v>1</v>
      </c>
      <c r="O213" t="str">
        <f t="shared" si="14"/>
        <v>High</v>
      </c>
      <c r="P213">
        <f t="shared" si="15"/>
        <v>10400</v>
      </c>
      <c r="Q213" s="2">
        <f t="shared" si="16"/>
        <v>0.61904761904761907</v>
      </c>
    </row>
    <row r="214" spans="1:17" x14ac:dyDescent="0.3">
      <c r="A214" s="3">
        <v>15</v>
      </c>
      <c r="B214" s="3">
        <v>10</v>
      </c>
      <c r="C214" s="6">
        <v>4.0999999999999996</v>
      </c>
      <c r="D214" t="s">
        <v>20</v>
      </c>
      <c r="E214" s="3">
        <v>7000</v>
      </c>
      <c r="F214" s="6">
        <v>4.3</v>
      </c>
      <c r="G214" t="s">
        <v>35</v>
      </c>
      <c r="H214" s="2">
        <v>0.8</v>
      </c>
      <c r="I214" s="3">
        <v>900</v>
      </c>
      <c r="J214" s="3" t="str">
        <f t="shared" si="13"/>
        <v>Low Price</v>
      </c>
      <c r="K214" t="s">
        <v>9</v>
      </c>
      <c r="L214" t="s">
        <v>33</v>
      </c>
      <c r="M214" t="s">
        <v>18</v>
      </c>
      <c r="N214">
        <v>0.9</v>
      </c>
      <c r="O214" t="str">
        <f t="shared" si="14"/>
        <v>High</v>
      </c>
      <c r="P214">
        <f t="shared" si="15"/>
        <v>9000</v>
      </c>
      <c r="Q214" s="2">
        <f t="shared" si="16"/>
        <v>0.66666666666666663</v>
      </c>
    </row>
    <row r="215" spans="1:17" x14ac:dyDescent="0.3">
      <c r="A215" s="3">
        <v>30</v>
      </c>
      <c r="B215" s="3">
        <v>17</v>
      </c>
      <c r="C215" s="6">
        <v>4.9000000000000004</v>
      </c>
      <c r="D215" t="s">
        <v>13</v>
      </c>
      <c r="E215" s="3">
        <v>400</v>
      </c>
      <c r="F215" s="6">
        <v>5</v>
      </c>
      <c r="G215" t="s">
        <v>21</v>
      </c>
      <c r="H215" s="2">
        <v>0.9</v>
      </c>
      <c r="I215" s="3">
        <v>300</v>
      </c>
      <c r="J215" s="3" t="str">
        <f t="shared" si="13"/>
        <v>Low Price</v>
      </c>
      <c r="K215" t="s">
        <v>179</v>
      </c>
      <c r="L215" t="s">
        <v>33</v>
      </c>
      <c r="M215" t="s">
        <v>18</v>
      </c>
      <c r="N215">
        <v>1</v>
      </c>
      <c r="O215" t="str">
        <f t="shared" si="14"/>
        <v>High</v>
      </c>
      <c r="P215">
        <f t="shared" si="15"/>
        <v>5100</v>
      </c>
      <c r="Q215" s="2">
        <f t="shared" si="16"/>
        <v>0.56666666666666665</v>
      </c>
    </row>
    <row r="216" spans="1:17" x14ac:dyDescent="0.3">
      <c r="A216" s="3">
        <v>10</v>
      </c>
      <c r="B216" s="3">
        <v>7</v>
      </c>
      <c r="C216" s="6">
        <v>3.4</v>
      </c>
      <c r="D216" t="s">
        <v>20</v>
      </c>
      <c r="E216" s="3">
        <v>100</v>
      </c>
      <c r="F216" s="6">
        <v>3.6</v>
      </c>
      <c r="G216" t="s">
        <v>60</v>
      </c>
      <c r="H216" s="2">
        <v>0.2</v>
      </c>
      <c r="I216" s="3">
        <v>400</v>
      </c>
      <c r="J216" s="3" t="str">
        <f t="shared" si="13"/>
        <v>Low Price</v>
      </c>
      <c r="K216" t="s">
        <v>179</v>
      </c>
      <c r="L216" t="s">
        <v>17</v>
      </c>
      <c r="M216" t="s">
        <v>18</v>
      </c>
      <c r="N216">
        <v>0.5</v>
      </c>
      <c r="O216" t="str">
        <f t="shared" si="14"/>
        <v>Medium</v>
      </c>
      <c r="P216">
        <f t="shared" si="15"/>
        <v>2800</v>
      </c>
      <c r="Q216" s="2">
        <f t="shared" si="16"/>
        <v>0.7</v>
      </c>
    </row>
    <row r="217" spans="1:17" x14ac:dyDescent="0.3">
      <c r="A217" s="3">
        <v>19</v>
      </c>
      <c r="B217" s="3">
        <v>12</v>
      </c>
      <c r="C217" s="6">
        <v>4.5999999999999996</v>
      </c>
      <c r="D217" t="s">
        <v>13</v>
      </c>
      <c r="E217" s="3">
        <v>2000</v>
      </c>
      <c r="F217" s="6">
        <v>4.8</v>
      </c>
      <c r="G217" t="s">
        <v>31</v>
      </c>
      <c r="H217" s="2">
        <v>0.9</v>
      </c>
      <c r="I217" s="3">
        <v>500</v>
      </c>
      <c r="J217" s="3" t="str">
        <f t="shared" si="13"/>
        <v>Low Price</v>
      </c>
      <c r="K217" t="s">
        <v>9</v>
      </c>
      <c r="L217" t="s">
        <v>17</v>
      </c>
      <c r="M217" t="s">
        <v>34</v>
      </c>
      <c r="N217">
        <v>1</v>
      </c>
      <c r="O217" t="str">
        <f t="shared" si="14"/>
        <v>High</v>
      </c>
      <c r="P217">
        <f t="shared" si="15"/>
        <v>6000</v>
      </c>
      <c r="Q217" s="2">
        <f t="shared" si="16"/>
        <v>0.63157894736842102</v>
      </c>
    </row>
    <row r="218" spans="1:17" x14ac:dyDescent="0.3">
      <c r="A218" s="3">
        <v>34</v>
      </c>
      <c r="B218" s="3">
        <v>19</v>
      </c>
      <c r="C218" s="6">
        <v>5</v>
      </c>
      <c r="D218" t="s">
        <v>20</v>
      </c>
      <c r="E218" s="3">
        <v>500</v>
      </c>
      <c r="F218" s="6">
        <v>5</v>
      </c>
      <c r="G218" t="s">
        <v>66</v>
      </c>
      <c r="H218" s="2">
        <v>0.9</v>
      </c>
      <c r="I218" s="3">
        <v>700</v>
      </c>
      <c r="J218" s="3" t="str">
        <f t="shared" si="13"/>
        <v>Low Price</v>
      </c>
      <c r="K218" t="s">
        <v>179</v>
      </c>
      <c r="L218" t="s">
        <v>17</v>
      </c>
      <c r="M218" t="s">
        <v>18</v>
      </c>
      <c r="N218">
        <v>1</v>
      </c>
      <c r="O218" t="str">
        <f t="shared" si="14"/>
        <v>High</v>
      </c>
      <c r="P218">
        <f t="shared" si="15"/>
        <v>13300</v>
      </c>
      <c r="Q218" s="2">
        <f t="shared" si="16"/>
        <v>0.55882352941176472</v>
      </c>
    </row>
    <row r="219" spans="1:17" x14ac:dyDescent="0.3">
      <c r="A219" s="3">
        <v>16</v>
      </c>
      <c r="B219" s="3">
        <v>11</v>
      </c>
      <c r="C219" s="6">
        <v>4.3</v>
      </c>
      <c r="D219" t="s">
        <v>13</v>
      </c>
      <c r="E219" s="3">
        <v>6000</v>
      </c>
      <c r="F219" s="6">
        <v>4.5</v>
      </c>
      <c r="G219" t="s">
        <v>42</v>
      </c>
      <c r="H219" s="2">
        <v>0.8</v>
      </c>
      <c r="I219" s="3">
        <v>800</v>
      </c>
      <c r="J219" s="3" t="str">
        <f t="shared" si="13"/>
        <v>Low Price</v>
      </c>
      <c r="K219" t="s">
        <v>9</v>
      </c>
      <c r="L219" t="s">
        <v>33</v>
      </c>
      <c r="M219" t="s">
        <v>34</v>
      </c>
      <c r="N219">
        <v>0.9</v>
      </c>
      <c r="O219" t="str">
        <f t="shared" si="14"/>
        <v>High</v>
      </c>
      <c r="P219">
        <f t="shared" si="15"/>
        <v>8800</v>
      </c>
      <c r="Q219" s="2">
        <f t="shared" si="16"/>
        <v>0.6875</v>
      </c>
    </row>
    <row r="220" spans="1:17" x14ac:dyDescent="0.3">
      <c r="A220" s="3">
        <v>29</v>
      </c>
      <c r="B220" s="3">
        <v>17</v>
      </c>
      <c r="C220" s="6">
        <v>4.9000000000000004</v>
      </c>
      <c r="D220" t="s">
        <v>20</v>
      </c>
      <c r="E220" s="3">
        <v>300</v>
      </c>
      <c r="F220" s="6">
        <v>5</v>
      </c>
      <c r="G220" t="s">
        <v>39</v>
      </c>
      <c r="H220" s="2">
        <v>0.9</v>
      </c>
      <c r="I220" s="3">
        <v>900</v>
      </c>
      <c r="J220" s="3" t="str">
        <f t="shared" si="13"/>
        <v>Low Price</v>
      </c>
      <c r="K220" t="s">
        <v>179</v>
      </c>
      <c r="L220" t="s">
        <v>33</v>
      </c>
      <c r="M220" t="s">
        <v>18</v>
      </c>
      <c r="N220">
        <v>1</v>
      </c>
      <c r="O220" t="str">
        <f t="shared" si="14"/>
        <v>High</v>
      </c>
      <c r="P220">
        <f t="shared" si="15"/>
        <v>15300</v>
      </c>
      <c r="Q220" s="2">
        <f t="shared" si="16"/>
        <v>0.58620689655172409</v>
      </c>
    </row>
    <row r="221" spans="1:17" x14ac:dyDescent="0.3">
      <c r="A221" s="3">
        <v>13</v>
      </c>
      <c r="B221" s="3">
        <v>8</v>
      </c>
      <c r="C221" s="6">
        <v>3.9</v>
      </c>
      <c r="D221" t="s">
        <v>13</v>
      </c>
      <c r="E221" s="3">
        <v>800</v>
      </c>
      <c r="F221" s="6">
        <v>4.0999999999999996</v>
      </c>
      <c r="G221" t="s">
        <v>48</v>
      </c>
      <c r="H221" s="2">
        <v>0.7</v>
      </c>
      <c r="I221" s="3">
        <v>200</v>
      </c>
      <c r="J221" s="3" t="str">
        <f t="shared" si="13"/>
        <v>Low Price</v>
      </c>
      <c r="K221" t="s">
        <v>9</v>
      </c>
      <c r="L221" t="s">
        <v>17</v>
      </c>
      <c r="M221" t="s">
        <v>18</v>
      </c>
      <c r="N221">
        <v>0.8</v>
      </c>
      <c r="O221" t="str">
        <f t="shared" si="14"/>
        <v>High</v>
      </c>
      <c r="P221">
        <f t="shared" si="15"/>
        <v>1600</v>
      </c>
      <c r="Q221" s="2">
        <f t="shared" si="16"/>
        <v>0.61538461538461542</v>
      </c>
    </row>
    <row r="222" spans="1:17" x14ac:dyDescent="0.3">
      <c r="A222" s="3">
        <v>22</v>
      </c>
      <c r="B222" s="3">
        <v>14</v>
      </c>
      <c r="C222" s="6">
        <v>4.8</v>
      </c>
      <c r="D222" t="s">
        <v>20</v>
      </c>
      <c r="E222" s="3">
        <v>1000</v>
      </c>
      <c r="F222" s="6">
        <v>5</v>
      </c>
      <c r="G222" t="s">
        <v>66</v>
      </c>
      <c r="H222" s="2">
        <v>0.9</v>
      </c>
      <c r="I222" s="3">
        <v>800</v>
      </c>
      <c r="J222" s="3" t="str">
        <f t="shared" si="13"/>
        <v>Low Price</v>
      </c>
      <c r="K222" t="s">
        <v>9</v>
      </c>
      <c r="L222" t="s">
        <v>33</v>
      </c>
      <c r="M222" t="s">
        <v>18</v>
      </c>
      <c r="N222">
        <v>1</v>
      </c>
      <c r="O222" t="str">
        <f t="shared" si="14"/>
        <v>High</v>
      </c>
      <c r="P222">
        <f t="shared" si="15"/>
        <v>11200</v>
      </c>
      <c r="Q222" s="2">
        <f t="shared" si="16"/>
        <v>0.63636363636363635</v>
      </c>
    </row>
    <row r="223" spans="1:17" x14ac:dyDescent="0.3">
      <c r="A223" s="3">
        <v>17</v>
      </c>
      <c r="B223" s="3">
        <v>11</v>
      </c>
      <c r="C223" s="6">
        <v>4.5</v>
      </c>
      <c r="D223" t="s">
        <v>13</v>
      </c>
      <c r="E223" s="3">
        <v>300</v>
      </c>
      <c r="F223" s="6">
        <v>4.7</v>
      </c>
      <c r="G223" t="s">
        <v>60</v>
      </c>
      <c r="H223" s="2">
        <v>0.8</v>
      </c>
      <c r="I223" s="3">
        <v>400</v>
      </c>
      <c r="J223" s="3" t="str">
        <f t="shared" si="13"/>
        <v>Low Price</v>
      </c>
      <c r="K223" t="s">
        <v>179</v>
      </c>
      <c r="L223" t="s">
        <v>17</v>
      </c>
      <c r="M223" t="s">
        <v>18</v>
      </c>
      <c r="N223">
        <v>0.9</v>
      </c>
      <c r="O223" t="str">
        <f t="shared" si="14"/>
        <v>High</v>
      </c>
      <c r="P223">
        <f t="shared" si="15"/>
        <v>4400</v>
      </c>
      <c r="Q223" s="2">
        <f t="shared" si="16"/>
        <v>0.6470588235294118</v>
      </c>
    </row>
    <row r="224" spans="1:17" x14ac:dyDescent="0.3">
      <c r="A224" s="3">
        <v>32</v>
      </c>
      <c r="B224" s="3">
        <v>18</v>
      </c>
      <c r="C224" s="6">
        <v>5</v>
      </c>
      <c r="D224" t="s">
        <v>20</v>
      </c>
      <c r="E224" s="3">
        <v>900</v>
      </c>
      <c r="F224" s="6">
        <v>5</v>
      </c>
      <c r="G224" t="s">
        <v>35</v>
      </c>
      <c r="H224" s="2">
        <v>0.9</v>
      </c>
      <c r="I224" s="3">
        <v>700</v>
      </c>
      <c r="J224" s="3" t="str">
        <f t="shared" si="13"/>
        <v>Low Price</v>
      </c>
      <c r="K224" t="s">
        <v>179</v>
      </c>
      <c r="L224" t="s">
        <v>17</v>
      </c>
      <c r="M224" t="s">
        <v>18</v>
      </c>
      <c r="N224">
        <v>1</v>
      </c>
      <c r="O224" t="str">
        <f t="shared" si="14"/>
        <v>High</v>
      </c>
      <c r="P224">
        <f t="shared" si="15"/>
        <v>12600</v>
      </c>
      <c r="Q224" s="2">
        <f t="shared" si="16"/>
        <v>0.5625</v>
      </c>
    </row>
    <row r="225" spans="1:17" x14ac:dyDescent="0.3">
      <c r="A225" s="3">
        <v>18</v>
      </c>
      <c r="B225" s="3">
        <v>12</v>
      </c>
      <c r="C225" s="6">
        <v>4.7</v>
      </c>
      <c r="D225" t="s">
        <v>13</v>
      </c>
      <c r="E225" s="3">
        <v>100</v>
      </c>
      <c r="F225" s="6">
        <v>4.9000000000000004</v>
      </c>
      <c r="G225" t="s">
        <v>82</v>
      </c>
      <c r="H225" s="2">
        <v>-0.1</v>
      </c>
      <c r="I225" s="3">
        <v>800</v>
      </c>
      <c r="J225" s="3" t="str">
        <f t="shared" si="13"/>
        <v>Low Price</v>
      </c>
      <c r="K225" t="s">
        <v>9</v>
      </c>
      <c r="L225" t="s">
        <v>17</v>
      </c>
      <c r="M225" t="s">
        <v>18</v>
      </c>
      <c r="N225">
        <v>0.3</v>
      </c>
      <c r="O225" t="str">
        <f t="shared" si="14"/>
        <v>Low</v>
      </c>
      <c r="P225">
        <f t="shared" si="15"/>
        <v>9600</v>
      </c>
      <c r="Q225" s="2">
        <f t="shared" si="16"/>
        <v>0.66666666666666663</v>
      </c>
    </row>
    <row r="226" spans="1:17" x14ac:dyDescent="0.3">
      <c r="A226" s="3">
        <v>26</v>
      </c>
      <c r="B226" s="3">
        <v>15</v>
      </c>
      <c r="C226" s="6">
        <v>4.8</v>
      </c>
      <c r="D226" t="s">
        <v>20</v>
      </c>
      <c r="E226" s="3">
        <v>2000</v>
      </c>
      <c r="F226" s="6">
        <v>5</v>
      </c>
      <c r="G226" t="s">
        <v>66</v>
      </c>
      <c r="H226" s="2">
        <v>0.9</v>
      </c>
      <c r="I226" s="3">
        <v>900</v>
      </c>
      <c r="J226" s="3" t="str">
        <f t="shared" si="13"/>
        <v>Low Price</v>
      </c>
      <c r="K226" t="s">
        <v>179</v>
      </c>
      <c r="L226" t="s">
        <v>17</v>
      </c>
      <c r="M226" t="s">
        <v>18</v>
      </c>
      <c r="N226">
        <v>1</v>
      </c>
      <c r="O226" t="str">
        <f t="shared" si="14"/>
        <v>High</v>
      </c>
      <c r="P226">
        <f t="shared" si="15"/>
        <v>13500</v>
      </c>
      <c r="Q226" s="2">
        <f t="shared" si="16"/>
        <v>0.57692307692307687</v>
      </c>
    </row>
    <row r="227" spans="1:17" x14ac:dyDescent="0.3">
      <c r="A227" s="3">
        <v>11</v>
      </c>
      <c r="B227" s="3">
        <v>8</v>
      </c>
      <c r="C227" s="6">
        <v>3.8</v>
      </c>
      <c r="D227" t="s">
        <v>13</v>
      </c>
      <c r="E227" s="3">
        <v>4000</v>
      </c>
      <c r="F227" s="6">
        <v>4</v>
      </c>
      <c r="G227" t="s">
        <v>78</v>
      </c>
      <c r="H227" s="2">
        <v>0.6</v>
      </c>
      <c r="I227" s="3">
        <v>200</v>
      </c>
      <c r="J227" s="3" t="str">
        <f t="shared" si="13"/>
        <v>Low Price</v>
      </c>
      <c r="K227" t="s">
        <v>9</v>
      </c>
      <c r="L227" t="s">
        <v>24</v>
      </c>
      <c r="M227" t="s">
        <v>18</v>
      </c>
      <c r="N227">
        <v>0.8</v>
      </c>
      <c r="O227" t="str">
        <f t="shared" si="14"/>
        <v>High</v>
      </c>
      <c r="P227">
        <f t="shared" si="15"/>
        <v>1600</v>
      </c>
      <c r="Q227" s="2">
        <f t="shared" si="16"/>
        <v>0.72727272727272729</v>
      </c>
    </row>
    <row r="228" spans="1:17" x14ac:dyDescent="0.3">
      <c r="A228" s="3">
        <v>20</v>
      </c>
      <c r="B228" s="3">
        <v>13</v>
      </c>
      <c r="C228" s="6">
        <v>4.5</v>
      </c>
      <c r="D228" t="s">
        <v>20</v>
      </c>
      <c r="E228" s="3">
        <v>500</v>
      </c>
      <c r="F228" s="6">
        <v>4.7</v>
      </c>
      <c r="G228" t="s">
        <v>21</v>
      </c>
      <c r="H228" s="2">
        <v>0.8</v>
      </c>
      <c r="I228" s="3">
        <v>300</v>
      </c>
      <c r="J228" s="3" t="str">
        <f t="shared" si="13"/>
        <v>Low Price</v>
      </c>
      <c r="K228" t="s">
        <v>179</v>
      </c>
      <c r="L228" t="s">
        <v>33</v>
      </c>
      <c r="M228" t="s">
        <v>18</v>
      </c>
      <c r="N228">
        <v>0.9</v>
      </c>
      <c r="O228" t="str">
        <f t="shared" si="14"/>
        <v>High</v>
      </c>
      <c r="P228">
        <f t="shared" si="15"/>
        <v>3900</v>
      </c>
      <c r="Q228" s="2">
        <f t="shared" si="16"/>
        <v>0.65</v>
      </c>
    </row>
    <row r="229" spans="1:17" x14ac:dyDescent="0.3">
      <c r="A229" s="3">
        <v>15</v>
      </c>
      <c r="B229" s="3">
        <v>11</v>
      </c>
      <c r="C229" s="6">
        <v>4.2</v>
      </c>
      <c r="D229" t="s">
        <v>13</v>
      </c>
      <c r="E229" s="3">
        <v>6000</v>
      </c>
      <c r="F229" s="6">
        <v>4.4000000000000004</v>
      </c>
      <c r="G229" t="s">
        <v>55</v>
      </c>
      <c r="H229" s="2">
        <v>0.8</v>
      </c>
      <c r="I229" s="3">
        <v>800</v>
      </c>
      <c r="J229" s="3" t="str">
        <f t="shared" si="13"/>
        <v>Low Price</v>
      </c>
      <c r="K229" t="s">
        <v>9</v>
      </c>
      <c r="L229" t="s">
        <v>33</v>
      </c>
      <c r="M229" t="s">
        <v>34</v>
      </c>
      <c r="N229">
        <v>0.9</v>
      </c>
      <c r="O229" t="str">
        <f t="shared" si="14"/>
        <v>High</v>
      </c>
      <c r="P229">
        <f t="shared" si="15"/>
        <v>8800</v>
      </c>
      <c r="Q229" s="2">
        <f t="shared" si="16"/>
        <v>0.73333333333333328</v>
      </c>
    </row>
    <row r="230" spans="1:17" x14ac:dyDescent="0.3">
      <c r="A230" s="3">
        <v>30</v>
      </c>
      <c r="B230" s="3">
        <v>18</v>
      </c>
      <c r="C230" s="6">
        <v>4.9000000000000004</v>
      </c>
      <c r="D230" t="s">
        <v>20</v>
      </c>
      <c r="E230" s="3">
        <v>700</v>
      </c>
      <c r="F230" s="6">
        <v>5</v>
      </c>
      <c r="G230" t="s">
        <v>66</v>
      </c>
      <c r="H230" s="2">
        <v>0.9</v>
      </c>
      <c r="I230" s="3">
        <v>1000</v>
      </c>
      <c r="J230" s="3" t="str">
        <f t="shared" si="13"/>
        <v>Medium Price</v>
      </c>
      <c r="K230" t="s">
        <v>179</v>
      </c>
      <c r="L230" t="s">
        <v>17</v>
      </c>
      <c r="M230" t="s">
        <v>18</v>
      </c>
      <c r="N230">
        <v>1</v>
      </c>
      <c r="O230" t="str">
        <f t="shared" si="14"/>
        <v>High</v>
      </c>
      <c r="P230">
        <f t="shared" si="15"/>
        <v>18000</v>
      </c>
      <c r="Q230" s="2">
        <f t="shared" si="16"/>
        <v>0.6</v>
      </c>
    </row>
    <row r="231" spans="1:17" x14ac:dyDescent="0.3">
      <c r="A231" s="3">
        <v>9</v>
      </c>
      <c r="B231" s="3">
        <v>7</v>
      </c>
      <c r="C231" s="6">
        <v>3.5</v>
      </c>
      <c r="D231" t="s">
        <v>13</v>
      </c>
      <c r="E231" s="3">
        <v>100</v>
      </c>
      <c r="F231" s="6">
        <v>3.7</v>
      </c>
      <c r="G231" t="s">
        <v>42</v>
      </c>
      <c r="H231" s="2">
        <v>0</v>
      </c>
      <c r="I231" s="3">
        <v>400</v>
      </c>
      <c r="J231" s="3" t="str">
        <f t="shared" si="13"/>
        <v>Low Price</v>
      </c>
      <c r="K231" t="s">
        <v>9</v>
      </c>
      <c r="L231" t="s">
        <v>17</v>
      </c>
      <c r="M231" t="s">
        <v>18</v>
      </c>
      <c r="N231">
        <v>0.1</v>
      </c>
      <c r="O231" t="str">
        <f t="shared" si="14"/>
        <v>Low</v>
      </c>
      <c r="P231">
        <f t="shared" si="15"/>
        <v>2800</v>
      </c>
      <c r="Q231" s="2">
        <f t="shared" si="16"/>
        <v>0.77777777777777779</v>
      </c>
    </row>
    <row r="232" spans="1:17" x14ac:dyDescent="0.3">
      <c r="A232" s="3">
        <v>24</v>
      </c>
      <c r="B232" s="3">
        <v>14</v>
      </c>
      <c r="C232" s="6">
        <v>4.7</v>
      </c>
      <c r="D232" t="s">
        <v>20</v>
      </c>
      <c r="E232" s="3">
        <v>3000</v>
      </c>
      <c r="F232" s="6">
        <v>4.9000000000000004</v>
      </c>
      <c r="G232" t="s">
        <v>39</v>
      </c>
      <c r="H232" s="2">
        <v>0.9</v>
      </c>
      <c r="I232" s="3">
        <v>900</v>
      </c>
      <c r="J232" s="3" t="str">
        <f t="shared" si="13"/>
        <v>Low Price</v>
      </c>
      <c r="K232" t="s">
        <v>9</v>
      </c>
      <c r="L232" t="s">
        <v>17</v>
      </c>
      <c r="M232" t="s">
        <v>18</v>
      </c>
      <c r="N232">
        <v>1</v>
      </c>
      <c r="O232" t="str">
        <f t="shared" si="14"/>
        <v>High</v>
      </c>
      <c r="P232">
        <f t="shared" si="15"/>
        <v>12600</v>
      </c>
      <c r="Q232" s="2">
        <f t="shared" si="16"/>
        <v>0.58333333333333337</v>
      </c>
    </row>
    <row r="233" spans="1:17" x14ac:dyDescent="0.3">
      <c r="A233" s="3">
        <v>16</v>
      </c>
      <c r="B233" s="3">
        <v>12</v>
      </c>
      <c r="C233" s="6">
        <v>4.4000000000000004</v>
      </c>
      <c r="D233" t="s">
        <v>13</v>
      </c>
      <c r="E233" s="3">
        <v>200</v>
      </c>
      <c r="F233" s="6">
        <v>4.5999999999999996</v>
      </c>
      <c r="G233" t="s">
        <v>48</v>
      </c>
      <c r="H233" s="2">
        <v>0.8</v>
      </c>
      <c r="I233" s="3">
        <v>500</v>
      </c>
      <c r="J233" s="3" t="str">
        <f t="shared" si="13"/>
        <v>Low Price</v>
      </c>
      <c r="K233" t="s">
        <v>9</v>
      </c>
      <c r="L233" t="s">
        <v>33</v>
      </c>
      <c r="M233" t="s">
        <v>18</v>
      </c>
      <c r="N233">
        <v>0.9</v>
      </c>
      <c r="O233" t="str">
        <f t="shared" si="14"/>
        <v>High</v>
      </c>
      <c r="P233">
        <f t="shared" si="15"/>
        <v>6000</v>
      </c>
      <c r="Q233" s="2">
        <f t="shared" si="16"/>
        <v>0.75</v>
      </c>
    </row>
    <row r="234" spans="1:17" x14ac:dyDescent="0.3">
      <c r="A234" s="3">
        <v>31</v>
      </c>
      <c r="B234" s="3">
        <v>18</v>
      </c>
      <c r="C234" s="6">
        <v>4.9000000000000004</v>
      </c>
      <c r="D234" t="s">
        <v>20</v>
      </c>
      <c r="E234" s="3">
        <v>5000</v>
      </c>
      <c r="F234" s="6">
        <v>5</v>
      </c>
      <c r="G234" t="s">
        <v>66</v>
      </c>
      <c r="H234" s="2">
        <v>0.9</v>
      </c>
      <c r="I234" s="3">
        <v>700</v>
      </c>
      <c r="J234" s="3" t="str">
        <f t="shared" si="13"/>
        <v>Low Price</v>
      </c>
      <c r="K234" t="s">
        <v>179</v>
      </c>
      <c r="L234" t="s">
        <v>17</v>
      </c>
      <c r="M234" t="s">
        <v>18</v>
      </c>
      <c r="N234">
        <v>1</v>
      </c>
      <c r="O234" t="str">
        <f t="shared" si="14"/>
        <v>High</v>
      </c>
      <c r="P234">
        <f t="shared" si="15"/>
        <v>12600</v>
      </c>
      <c r="Q234" s="2">
        <f t="shared" si="16"/>
        <v>0.58064516129032262</v>
      </c>
    </row>
    <row r="235" spans="1:17" x14ac:dyDescent="0.3">
      <c r="A235" s="3">
        <v>14</v>
      </c>
      <c r="B235" s="3">
        <v>10</v>
      </c>
      <c r="C235" s="6">
        <v>4.2</v>
      </c>
      <c r="D235" t="s">
        <v>13</v>
      </c>
      <c r="E235" s="3">
        <v>300</v>
      </c>
      <c r="F235" s="6">
        <v>4.4000000000000004</v>
      </c>
      <c r="G235" t="s">
        <v>31</v>
      </c>
      <c r="H235" s="2">
        <v>0.8</v>
      </c>
      <c r="I235" s="3">
        <v>400</v>
      </c>
      <c r="J235" s="3" t="str">
        <f t="shared" si="13"/>
        <v>Low Price</v>
      </c>
      <c r="K235" t="s">
        <v>179</v>
      </c>
      <c r="L235" t="s">
        <v>33</v>
      </c>
      <c r="M235" t="s">
        <v>18</v>
      </c>
      <c r="N235">
        <v>0.9</v>
      </c>
      <c r="O235" t="str">
        <f t="shared" si="14"/>
        <v>High</v>
      </c>
      <c r="P235">
        <f t="shared" si="15"/>
        <v>4000</v>
      </c>
      <c r="Q235" s="2">
        <f t="shared" si="16"/>
        <v>0.7142857142857143</v>
      </c>
    </row>
    <row r="236" spans="1:17" x14ac:dyDescent="0.3">
      <c r="A236" s="3">
        <v>28</v>
      </c>
      <c r="B236" s="3">
        <v>17</v>
      </c>
      <c r="C236" s="6">
        <v>4.9000000000000004</v>
      </c>
      <c r="D236" t="s">
        <v>20</v>
      </c>
      <c r="E236" s="3">
        <v>700</v>
      </c>
      <c r="F236" s="6">
        <v>5</v>
      </c>
      <c r="G236" t="s">
        <v>35</v>
      </c>
      <c r="H236" s="2">
        <v>0.9</v>
      </c>
      <c r="I236" s="3">
        <v>900</v>
      </c>
      <c r="J236" s="3" t="str">
        <f t="shared" si="13"/>
        <v>Low Price</v>
      </c>
      <c r="K236" t="s">
        <v>179</v>
      </c>
      <c r="L236" t="s">
        <v>33</v>
      </c>
      <c r="M236" t="s">
        <v>18</v>
      </c>
      <c r="N236">
        <v>1</v>
      </c>
      <c r="O236" t="str">
        <f t="shared" si="14"/>
        <v>High</v>
      </c>
      <c r="P236">
        <f t="shared" si="15"/>
        <v>15300</v>
      </c>
      <c r="Q236" s="2">
        <f t="shared" si="16"/>
        <v>0.6071428571428571</v>
      </c>
    </row>
    <row r="237" spans="1:17" x14ac:dyDescent="0.3">
      <c r="A237" s="3">
        <v>12</v>
      </c>
      <c r="B237" s="3">
        <v>8</v>
      </c>
      <c r="C237" s="6">
        <v>3.7</v>
      </c>
      <c r="D237" t="s">
        <v>13</v>
      </c>
      <c r="E237" s="3">
        <v>1000</v>
      </c>
      <c r="F237" s="6">
        <v>3.9</v>
      </c>
      <c r="G237" t="s">
        <v>60</v>
      </c>
      <c r="H237" s="2">
        <v>0.5</v>
      </c>
      <c r="I237" s="3">
        <v>200</v>
      </c>
      <c r="J237" s="3" t="str">
        <f t="shared" si="13"/>
        <v>Low Price</v>
      </c>
      <c r="K237" t="s">
        <v>179</v>
      </c>
      <c r="L237" t="s">
        <v>17</v>
      </c>
      <c r="M237" t="s">
        <v>18</v>
      </c>
      <c r="N237">
        <v>0.8</v>
      </c>
      <c r="O237" t="str">
        <f t="shared" si="14"/>
        <v>High</v>
      </c>
      <c r="P237">
        <f t="shared" si="15"/>
        <v>1600</v>
      </c>
      <c r="Q237" s="2">
        <f t="shared" si="16"/>
        <v>0.66666666666666663</v>
      </c>
    </row>
    <row r="238" spans="1:17" x14ac:dyDescent="0.3">
      <c r="A238" s="3">
        <v>25</v>
      </c>
      <c r="B238" s="3">
        <v>15</v>
      </c>
      <c r="C238" s="6">
        <v>4.9000000000000004</v>
      </c>
      <c r="D238" t="s">
        <v>20</v>
      </c>
      <c r="E238" s="3">
        <v>800</v>
      </c>
      <c r="F238" s="6">
        <v>5</v>
      </c>
      <c r="G238" t="s">
        <v>39</v>
      </c>
      <c r="H238" s="2">
        <v>0.9</v>
      </c>
      <c r="I238" s="3">
        <v>400</v>
      </c>
      <c r="J238" s="3" t="str">
        <f t="shared" si="13"/>
        <v>Low Price</v>
      </c>
      <c r="K238" t="s">
        <v>179</v>
      </c>
      <c r="L238" t="s">
        <v>33</v>
      </c>
      <c r="M238" t="s">
        <v>18</v>
      </c>
      <c r="N238">
        <v>1</v>
      </c>
      <c r="O238" t="str">
        <f t="shared" si="14"/>
        <v>High</v>
      </c>
      <c r="P238">
        <f t="shared" si="15"/>
        <v>6000</v>
      </c>
      <c r="Q238" s="2">
        <f t="shared" si="16"/>
        <v>0.6</v>
      </c>
    </row>
    <row r="239" spans="1:17" x14ac:dyDescent="0.3">
      <c r="A239" s="3">
        <v>8</v>
      </c>
      <c r="B239" s="3">
        <v>7</v>
      </c>
      <c r="C239" s="6">
        <v>3.6</v>
      </c>
      <c r="D239" t="s">
        <v>13</v>
      </c>
      <c r="E239" s="3">
        <v>2000</v>
      </c>
      <c r="F239" s="6">
        <v>3.8</v>
      </c>
      <c r="G239" t="s">
        <v>82</v>
      </c>
      <c r="H239" s="2">
        <v>-0.1</v>
      </c>
      <c r="I239" s="3">
        <v>500</v>
      </c>
      <c r="J239" s="3" t="str">
        <f t="shared" si="13"/>
        <v>Low Price</v>
      </c>
      <c r="K239" t="s">
        <v>9</v>
      </c>
      <c r="L239" t="s">
        <v>17</v>
      </c>
      <c r="M239" t="s">
        <v>18</v>
      </c>
      <c r="N239">
        <v>0.3</v>
      </c>
      <c r="O239" t="str">
        <f t="shared" si="14"/>
        <v>Low</v>
      </c>
      <c r="P239">
        <f t="shared" si="15"/>
        <v>3500</v>
      </c>
      <c r="Q239" s="2">
        <f t="shared" si="16"/>
        <v>0.875</v>
      </c>
    </row>
    <row r="240" spans="1:17" x14ac:dyDescent="0.3">
      <c r="A240" s="3">
        <v>21</v>
      </c>
      <c r="B240" s="3">
        <v>14</v>
      </c>
      <c r="C240" s="6">
        <v>4.8</v>
      </c>
      <c r="D240" t="s">
        <v>20</v>
      </c>
      <c r="E240" s="3">
        <v>300</v>
      </c>
      <c r="F240" s="6">
        <v>5</v>
      </c>
      <c r="G240" t="s">
        <v>55</v>
      </c>
      <c r="H240" s="2">
        <v>0.9</v>
      </c>
      <c r="I240" s="3">
        <v>800</v>
      </c>
      <c r="J240" s="3" t="str">
        <f t="shared" si="13"/>
        <v>Low Price</v>
      </c>
      <c r="K240" t="s">
        <v>9</v>
      </c>
      <c r="L240" t="s">
        <v>33</v>
      </c>
      <c r="M240" t="s">
        <v>18</v>
      </c>
      <c r="N240">
        <v>1</v>
      </c>
      <c r="O240" t="str">
        <f t="shared" si="14"/>
        <v>High</v>
      </c>
      <c r="P240">
        <f t="shared" si="15"/>
        <v>11200</v>
      </c>
      <c r="Q240" s="2">
        <f t="shared" si="16"/>
        <v>0.66666666666666663</v>
      </c>
    </row>
    <row r="241" spans="1:17" x14ac:dyDescent="0.3">
      <c r="A241" s="3">
        <v>15</v>
      </c>
      <c r="B241" s="3">
        <v>12</v>
      </c>
      <c r="C241" s="6">
        <v>4.3</v>
      </c>
      <c r="D241" t="s">
        <v>13</v>
      </c>
      <c r="E241" s="3">
        <v>7000</v>
      </c>
      <c r="F241" s="6">
        <v>4.5</v>
      </c>
      <c r="G241" t="s">
        <v>66</v>
      </c>
      <c r="H241" s="2">
        <v>0.8</v>
      </c>
      <c r="I241" s="3">
        <v>900</v>
      </c>
      <c r="J241" s="3" t="str">
        <f t="shared" si="13"/>
        <v>Low Price</v>
      </c>
      <c r="K241" t="s">
        <v>9</v>
      </c>
      <c r="L241" t="s">
        <v>33</v>
      </c>
      <c r="M241" t="s">
        <v>34</v>
      </c>
      <c r="N241">
        <v>0.9</v>
      </c>
      <c r="O241" t="str">
        <f t="shared" si="14"/>
        <v>High</v>
      </c>
      <c r="P241">
        <f t="shared" si="15"/>
        <v>10800</v>
      </c>
      <c r="Q241" s="2">
        <f t="shared" si="16"/>
        <v>0.8</v>
      </c>
    </row>
    <row r="242" spans="1:17" x14ac:dyDescent="0.3">
      <c r="A242" s="3">
        <v>30</v>
      </c>
      <c r="B242" s="3">
        <v>19</v>
      </c>
      <c r="C242" s="6">
        <v>5</v>
      </c>
      <c r="D242" t="s">
        <v>20</v>
      </c>
      <c r="E242" s="3">
        <v>100</v>
      </c>
      <c r="F242" s="6">
        <v>5</v>
      </c>
      <c r="G242" t="s">
        <v>39</v>
      </c>
      <c r="H242" s="2">
        <v>0.9</v>
      </c>
      <c r="I242" s="3">
        <v>1000</v>
      </c>
      <c r="J242" s="3" t="str">
        <f t="shared" si="13"/>
        <v>Medium Price</v>
      </c>
      <c r="K242" t="s">
        <v>179</v>
      </c>
      <c r="L242" t="s">
        <v>33</v>
      </c>
      <c r="M242" t="s">
        <v>18</v>
      </c>
      <c r="N242">
        <v>1</v>
      </c>
      <c r="O242" t="str">
        <f t="shared" si="14"/>
        <v>High</v>
      </c>
      <c r="P242">
        <f t="shared" si="15"/>
        <v>19000</v>
      </c>
      <c r="Q242" s="2">
        <f t="shared" si="16"/>
        <v>0.6333333333333333</v>
      </c>
    </row>
    <row r="243" spans="1:17" x14ac:dyDescent="0.3">
      <c r="A243" s="3">
        <v>10</v>
      </c>
      <c r="B243" s="3">
        <v>8</v>
      </c>
      <c r="C243" s="6">
        <v>3.6</v>
      </c>
      <c r="D243" t="s">
        <v>13</v>
      </c>
      <c r="E243" s="3">
        <v>1000</v>
      </c>
      <c r="F243" s="6">
        <v>3.8</v>
      </c>
      <c r="G243" t="s">
        <v>21</v>
      </c>
      <c r="H243" s="2">
        <v>0.1</v>
      </c>
      <c r="I243" s="3">
        <v>300</v>
      </c>
      <c r="J243" s="3" t="str">
        <f t="shared" si="13"/>
        <v>Low Price</v>
      </c>
      <c r="K243" t="s">
        <v>179</v>
      </c>
      <c r="L243" t="s">
        <v>33</v>
      </c>
      <c r="M243" t="s">
        <v>18</v>
      </c>
      <c r="N243">
        <v>0.4</v>
      </c>
      <c r="O243" t="str">
        <f t="shared" si="14"/>
        <v>Medium</v>
      </c>
      <c r="P243">
        <f t="shared" si="15"/>
        <v>2400</v>
      </c>
      <c r="Q243" s="2">
        <f t="shared" si="16"/>
        <v>0.8</v>
      </c>
    </row>
    <row r="244" spans="1:17" x14ac:dyDescent="0.3">
      <c r="A244" s="3">
        <v>19</v>
      </c>
      <c r="B244" s="3">
        <v>13</v>
      </c>
      <c r="C244" s="6">
        <v>4.5999999999999996</v>
      </c>
      <c r="D244" t="s">
        <v>20</v>
      </c>
      <c r="E244" s="3">
        <v>2000</v>
      </c>
      <c r="F244" s="6">
        <v>4.8</v>
      </c>
      <c r="G244" t="s">
        <v>31</v>
      </c>
      <c r="H244" s="2">
        <v>0.9</v>
      </c>
      <c r="I244" s="3">
        <v>500</v>
      </c>
      <c r="J244" s="3" t="str">
        <f t="shared" si="13"/>
        <v>Low Price</v>
      </c>
      <c r="K244" t="s">
        <v>9</v>
      </c>
      <c r="L244" t="s">
        <v>17</v>
      </c>
      <c r="M244" t="s">
        <v>34</v>
      </c>
      <c r="N244">
        <v>1</v>
      </c>
      <c r="O244" t="str">
        <f t="shared" si="14"/>
        <v>High</v>
      </c>
      <c r="P244">
        <f t="shared" si="15"/>
        <v>6500</v>
      </c>
      <c r="Q244" s="2">
        <f t="shared" si="16"/>
        <v>0.68421052631578949</v>
      </c>
    </row>
    <row r="245" spans="1:17" x14ac:dyDescent="0.3">
      <c r="A245" s="3">
        <v>34</v>
      </c>
      <c r="B245" s="3">
        <v>20</v>
      </c>
      <c r="C245" s="6">
        <v>5</v>
      </c>
      <c r="D245" t="s">
        <v>13</v>
      </c>
      <c r="E245" s="3">
        <v>300</v>
      </c>
      <c r="F245" s="6">
        <v>5</v>
      </c>
      <c r="G245" t="s">
        <v>42</v>
      </c>
      <c r="H245" s="2">
        <v>0.9</v>
      </c>
      <c r="I245" s="3">
        <v>700</v>
      </c>
      <c r="J245" s="3" t="str">
        <f t="shared" si="13"/>
        <v>Low Price</v>
      </c>
      <c r="K245" t="s">
        <v>179</v>
      </c>
      <c r="L245" t="s">
        <v>17</v>
      </c>
      <c r="M245" t="s">
        <v>18</v>
      </c>
      <c r="N245">
        <v>1</v>
      </c>
      <c r="O245" t="str">
        <f t="shared" si="14"/>
        <v>High</v>
      </c>
      <c r="P245">
        <f t="shared" si="15"/>
        <v>14000</v>
      </c>
      <c r="Q245" s="2">
        <f t="shared" si="16"/>
        <v>0.58823529411764708</v>
      </c>
    </row>
    <row r="246" spans="1:17" x14ac:dyDescent="0.3">
      <c r="A246" s="3">
        <v>16</v>
      </c>
      <c r="B246" s="3">
        <v>13</v>
      </c>
      <c r="C246" s="6">
        <v>4.5</v>
      </c>
      <c r="D246" t="s">
        <v>20</v>
      </c>
      <c r="E246" s="3">
        <v>6000</v>
      </c>
      <c r="F246" s="6">
        <v>4.7</v>
      </c>
      <c r="G246" t="s">
        <v>66</v>
      </c>
      <c r="H246" s="2">
        <v>0.8</v>
      </c>
      <c r="I246" s="3">
        <v>800</v>
      </c>
      <c r="J246" s="3" t="str">
        <f t="shared" si="13"/>
        <v>Low Price</v>
      </c>
      <c r="K246" t="s">
        <v>9</v>
      </c>
      <c r="L246" t="s">
        <v>33</v>
      </c>
      <c r="M246" t="s">
        <v>34</v>
      </c>
      <c r="N246">
        <v>0.9</v>
      </c>
      <c r="O246" t="str">
        <f t="shared" si="14"/>
        <v>High</v>
      </c>
      <c r="P246">
        <f t="shared" si="15"/>
        <v>10400</v>
      </c>
      <c r="Q246" s="2">
        <f t="shared" si="16"/>
        <v>0.8125</v>
      </c>
    </row>
    <row r="247" spans="1:17" x14ac:dyDescent="0.3">
      <c r="A247" s="3">
        <v>29</v>
      </c>
      <c r="B247" s="3">
        <v>18</v>
      </c>
      <c r="C247" s="6">
        <v>4.9000000000000004</v>
      </c>
      <c r="D247" t="s">
        <v>13</v>
      </c>
      <c r="E247" s="3">
        <v>400</v>
      </c>
      <c r="F247" s="6">
        <v>5</v>
      </c>
      <c r="G247" t="s">
        <v>21</v>
      </c>
      <c r="H247" s="2">
        <v>0.9</v>
      </c>
      <c r="I247" s="3">
        <v>300</v>
      </c>
      <c r="J247" s="3" t="str">
        <f t="shared" si="13"/>
        <v>Low Price</v>
      </c>
      <c r="K247" t="s">
        <v>179</v>
      </c>
      <c r="L247" t="s">
        <v>33</v>
      </c>
      <c r="M247" t="s">
        <v>18</v>
      </c>
      <c r="N247">
        <v>1</v>
      </c>
      <c r="O247" t="str">
        <f t="shared" si="14"/>
        <v>High</v>
      </c>
      <c r="P247">
        <f t="shared" si="15"/>
        <v>5400</v>
      </c>
      <c r="Q247" s="2">
        <f t="shared" si="16"/>
        <v>0.62068965517241381</v>
      </c>
    </row>
    <row r="248" spans="1:17" x14ac:dyDescent="0.3">
      <c r="A248" s="3">
        <v>13</v>
      </c>
      <c r="B248" s="3">
        <v>9</v>
      </c>
      <c r="C248" s="6">
        <v>4</v>
      </c>
      <c r="D248" t="s">
        <v>20</v>
      </c>
      <c r="E248" s="3">
        <v>900</v>
      </c>
      <c r="F248" s="6">
        <v>4.2</v>
      </c>
      <c r="G248" t="s">
        <v>78</v>
      </c>
      <c r="H248" s="2">
        <v>0.7</v>
      </c>
      <c r="I248" s="3">
        <v>200</v>
      </c>
      <c r="J248" s="3" t="str">
        <f t="shared" si="13"/>
        <v>Low Price</v>
      </c>
      <c r="K248" t="s">
        <v>9</v>
      </c>
      <c r="L248" t="s">
        <v>17</v>
      </c>
      <c r="M248" t="s">
        <v>18</v>
      </c>
      <c r="N248">
        <v>0.8</v>
      </c>
      <c r="O248" t="str">
        <f t="shared" si="14"/>
        <v>High</v>
      </c>
      <c r="P248">
        <f t="shared" si="15"/>
        <v>1800</v>
      </c>
      <c r="Q248" s="2">
        <f t="shared" si="16"/>
        <v>0.69230769230769229</v>
      </c>
    </row>
    <row r="249" spans="1:17" x14ac:dyDescent="0.3">
      <c r="A249" s="3">
        <v>22</v>
      </c>
      <c r="B249" s="3">
        <v>15</v>
      </c>
      <c r="C249" s="6">
        <v>4.9000000000000004</v>
      </c>
      <c r="D249" t="s">
        <v>13</v>
      </c>
      <c r="E249" s="3">
        <v>1000</v>
      </c>
      <c r="F249" s="6">
        <v>5</v>
      </c>
      <c r="G249" t="s">
        <v>60</v>
      </c>
      <c r="H249" s="2">
        <v>0.9</v>
      </c>
      <c r="I249" s="3">
        <v>800</v>
      </c>
      <c r="J249" s="3" t="str">
        <f t="shared" si="13"/>
        <v>Low Price</v>
      </c>
      <c r="K249" t="s">
        <v>179</v>
      </c>
      <c r="L249" t="s">
        <v>17</v>
      </c>
      <c r="M249" t="s">
        <v>25</v>
      </c>
      <c r="N249">
        <v>1</v>
      </c>
      <c r="O249" t="str">
        <f t="shared" si="14"/>
        <v>High</v>
      </c>
      <c r="P249">
        <f t="shared" si="15"/>
        <v>12000</v>
      </c>
      <c r="Q249" s="2">
        <f t="shared" si="16"/>
        <v>0.68181818181818177</v>
      </c>
    </row>
    <row r="250" spans="1:17" x14ac:dyDescent="0.3">
      <c r="A250" s="3">
        <v>17</v>
      </c>
      <c r="B250" s="3">
        <v>12</v>
      </c>
      <c r="C250" s="6">
        <v>4.5999999999999996</v>
      </c>
      <c r="D250" t="s">
        <v>20</v>
      </c>
      <c r="E250" s="3">
        <v>400</v>
      </c>
      <c r="F250" s="6">
        <v>4.8</v>
      </c>
      <c r="G250" t="s">
        <v>35</v>
      </c>
      <c r="H250" s="2">
        <v>0.8</v>
      </c>
      <c r="I250" s="3">
        <v>400</v>
      </c>
      <c r="J250" s="3" t="str">
        <f t="shared" si="13"/>
        <v>Low Price</v>
      </c>
      <c r="K250" t="s">
        <v>9</v>
      </c>
      <c r="L250" t="s">
        <v>33</v>
      </c>
      <c r="M250" t="s">
        <v>18</v>
      </c>
      <c r="N250">
        <v>0.9</v>
      </c>
      <c r="O250" t="str">
        <f t="shared" si="14"/>
        <v>High</v>
      </c>
      <c r="P250">
        <f t="shared" si="15"/>
        <v>4800</v>
      </c>
      <c r="Q250" s="2">
        <f t="shared" si="16"/>
        <v>0.70588235294117652</v>
      </c>
    </row>
    <row r="251" spans="1:17" x14ac:dyDescent="0.3">
      <c r="A251" s="3">
        <v>32</v>
      </c>
      <c r="B251" s="3">
        <v>19</v>
      </c>
      <c r="C251" s="6">
        <v>5</v>
      </c>
      <c r="D251" t="s">
        <v>13</v>
      </c>
      <c r="E251" s="3">
        <v>700</v>
      </c>
      <c r="F251" s="6">
        <v>5</v>
      </c>
      <c r="G251" t="s">
        <v>66</v>
      </c>
      <c r="H251" s="2">
        <v>0.9</v>
      </c>
      <c r="I251" s="3">
        <v>700</v>
      </c>
      <c r="J251" s="3" t="str">
        <f t="shared" si="13"/>
        <v>Low Price</v>
      </c>
      <c r="K251" t="s">
        <v>179</v>
      </c>
      <c r="L251" t="s">
        <v>17</v>
      </c>
      <c r="M251" t="s">
        <v>18</v>
      </c>
      <c r="N251">
        <v>1</v>
      </c>
      <c r="O251" t="str">
        <f t="shared" si="14"/>
        <v>High</v>
      </c>
      <c r="P251">
        <f t="shared" si="15"/>
        <v>13300</v>
      </c>
      <c r="Q251" s="2">
        <f t="shared" si="16"/>
        <v>0.59375</v>
      </c>
    </row>
    <row r="252" spans="1:17" x14ac:dyDescent="0.3">
      <c r="A252" s="3">
        <v>18</v>
      </c>
      <c r="B252" s="3">
        <v>13</v>
      </c>
      <c r="C252" s="6">
        <v>4.7</v>
      </c>
      <c r="D252" t="s">
        <v>20</v>
      </c>
      <c r="E252" s="3">
        <v>800</v>
      </c>
      <c r="F252" s="6">
        <v>4.9000000000000004</v>
      </c>
      <c r="G252" t="s">
        <v>39</v>
      </c>
      <c r="H252" s="2">
        <v>0.9</v>
      </c>
      <c r="I252" s="3">
        <v>900</v>
      </c>
      <c r="J252" s="3" t="str">
        <f t="shared" si="13"/>
        <v>Low Price</v>
      </c>
      <c r="K252" t="s">
        <v>9</v>
      </c>
      <c r="L252" t="s">
        <v>17</v>
      </c>
      <c r="M252" t="s">
        <v>18</v>
      </c>
      <c r="N252">
        <v>1</v>
      </c>
      <c r="O252" t="str">
        <f t="shared" si="14"/>
        <v>High</v>
      </c>
      <c r="P252">
        <f t="shared" si="15"/>
        <v>11700</v>
      </c>
      <c r="Q252" s="2">
        <f t="shared" si="16"/>
        <v>0.72222222222222221</v>
      </c>
    </row>
    <row r="253" spans="1:17" x14ac:dyDescent="0.3">
      <c r="A253" s="3">
        <v>26</v>
      </c>
      <c r="B253" s="3">
        <v>16</v>
      </c>
      <c r="C253" s="6">
        <v>4.9000000000000004</v>
      </c>
      <c r="D253" t="s">
        <v>13</v>
      </c>
      <c r="E253" s="3">
        <v>200</v>
      </c>
      <c r="F253" s="6">
        <v>5</v>
      </c>
      <c r="G253" t="s">
        <v>66</v>
      </c>
      <c r="H253" s="2">
        <v>0.9</v>
      </c>
      <c r="I253" s="3">
        <v>1000</v>
      </c>
      <c r="J253" s="3" t="str">
        <f t="shared" si="13"/>
        <v>Medium Price</v>
      </c>
      <c r="K253" t="s">
        <v>9</v>
      </c>
      <c r="L253" t="s">
        <v>17</v>
      </c>
      <c r="M253" t="s">
        <v>18</v>
      </c>
      <c r="N253">
        <v>1</v>
      </c>
      <c r="O253" t="str">
        <f t="shared" si="14"/>
        <v>High</v>
      </c>
      <c r="P253">
        <f t="shared" si="15"/>
        <v>16000</v>
      </c>
      <c r="Q253" s="2">
        <f t="shared" si="16"/>
        <v>0.61538461538461542</v>
      </c>
    </row>
    <row r="254" spans="1:17" x14ac:dyDescent="0.3">
      <c r="A254" s="3">
        <v>11</v>
      </c>
      <c r="B254" s="3">
        <v>9</v>
      </c>
      <c r="C254" s="6">
        <v>3.9</v>
      </c>
      <c r="D254" t="s">
        <v>20</v>
      </c>
      <c r="E254" s="3">
        <v>5000</v>
      </c>
      <c r="F254" s="6">
        <v>4.0999999999999996</v>
      </c>
      <c r="G254" t="s">
        <v>42</v>
      </c>
      <c r="H254" s="2">
        <v>0.7</v>
      </c>
      <c r="I254" s="3">
        <v>300</v>
      </c>
      <c r="J254" s="3" t="str">
        <f t="shared" si="13"/>
        <v>Low Price</v>
      </c>
      <c r="K254" t="s">
        <v>9</v>
      </c>
      <c r="L254" t="s">
        <v>33</v>
      </c>
      <c r="M254" t="s">
        <v>18</v>
      </c>
      <c r="N254">
        <v>0.9</v>
      </c>
      <c r="O254" t="str">
        <f t="shared" si="14"/>
        <v>High</v>
      </c>
      <c r="P254">
        <f t="shared" si="15"/>
        <v>2700</v>
      </c>
      <c r="Q254" s="2">
        <f t="shared" si="16"/>
        <v>0.81818181818181823</v>
      </c>
    </row>
    <row r="255" spans="1:17" x14ac:dyDescent="0.3">
      <c r="A255" s="3">
        <v>20</v>
      </c>
      <c r="B255" s="3">
        <v>14</v>
      </c>
      <c r="C255" s="6">
        <v>4.5999999999999996</v>
      </c>
      <c r="D255" t="s">
        <v>13</v>
      </c>
      <c r="E255" s="3">
        <v>300</v>
      </c>
      <c r="F255" s="6">
        <v>4.8</v>
      </c>
      <c r="G255" t="s">
        <v>21</v>
      </c>
      <c r="H255" s="2">
        <v>0.8</v>
      </c>
      <c r="I255" s="3">
        <v>500</v>
      </c>
      <c r="J255" s="3" t="str">
        <f t="shared" si="13"/>
        <v>Low Price</v>
      </c>
      <c r="K255" t="s">
        <v>9</v>
      </c>
      <c r="L255" t="s">
        <v>33</v>
      </c>
      <c r="M255" t="s">
        <v>18</v>
      </c>
      <c r="N255">
        <v>0.9</v>
      </c>
      <c r="O255" t="str">
        <f t="shared" si="14"/>
        <v>High</v>
      </c>
      <c r="P255">
        <f t="shared" si="15"/>
        <v>7000</v>
      </c>
      <c r="Q255" s="2">
        <f t="shared" si="16"/>
        <v>0.7</v>
      </c>
    </row>
    <row r="256" spans="1:17" x14ac:dyDescent="0.3">
      <c r="A256" s="3">
        <v>15</v>
      </c>
      <c r="B256" s="3">
        <v>13</v>
      </c>
      <c r="C256" s="6">
        <v>4.4000000000000004</v>
      </c>
      <c r="D256" t="s">
        <v>20</v>
      </c>
      <c r="E256" s="3">
        <v>7000</v>
      </c>
      <c r="F256" s="6">
        <v>4.5999999999999996</v>
      </c>
      <c r="G256" t="s">
        <v>66</v>
      </c>
      <c r="H256" s="2">
        <v>0.8</v>
      </c>
      <c r="I256" s="3">
        <v>900</v>
      </c>
      <c r="J256" s="3" t="str">
        <f t="shared" si="13"/>
        <v>Low Price</v>
      </c>
      <c r="K256" t="s">
        <v>9</v>
      </c>
      <c r="L256" t="s">
        <v>33</v>
      </c>
      <c r="M256" t="s">
        <v>34</v>
      </c>
      <c r="N256">
        <v>0.9</v>
      </c>
      <c r="O256" t="str">
        <f t="shared" si="14"/>
        <v>High</v>
      </c>
      <c r="P256">
        <f t="shared" si="15"/>
        <v>11700</v>
      </c>
      <c r="Q256" s="2">
        <f t="shared" si="16"/>
        <v>0.8666666666666667</v>
      </c>
    </row>
    <row r="257" spans="1:17" x14ac:dyDescent="0.3">
      <c r="A257" s="3">
        <v>30</v>
      </c>
      <c r="B257" s="3">
        <v>20</v>
      </c>
      <c r="C257" s="6">
        <v>5</v>
      </c>
      <c r="D257" t="s">
        <v>13</v>
      </c>
      <c r="E257" s="3">
        <v>100</v>
      </c>
      <c r="F257" s="6">
        <v>5</v>
      </c>
      <c r="G257" t="s">
        <v>39</v>
      </c>
      <c r="H257" s="2">
        <v>0.9</v>
      </c>
      <c r="I257" s="3">
        <v>1000</v>
      </c>
      <c r="J257" s="3" t="str">
        <f t="shared" si="13"/>
        <v>Medium Price</v>
      </c>
      <c r="K257" t="s">
        <v>179</v>
      </c>
      <c r="L257" t="s">
        <v>33</v>
      </c>
      <c r="M257" t="s">
        <v>18</v>
      </c>
      <c r="N257">
        <v>1</v>
      </c>
      <c r="O257" t="str">
        <f t="shared" si="14"/>
        <v>High</v>
      </c>
      <c r="P257">
        <f t="shared" si="15"/>
        <v>20000</v>
      </c>
      <c r="Q257" s="2">
        <f t="shared" si="16"/>
        <v>0.66666666666666663</v>
      </c>
    </row>
    <row r="258" spans="1:17" x14ac:dyDescent="0.3">
      <c r="A258" s="3">
        <v>9</v>
      </c>
      <c r="B258" s="3">
        <v>8</v>
      </c>
      <c r="C258" s="6">
        <v>3.7</v>
      </c>
      <c r="D258" t="s">
        <v>20</v>
      </c>
      <c r="E258" s="3">
        <v>2000</v>
      </c>
      <c r="F258" s="6">
        <v>3.9</v>
      </c>
      <c r="G258" t="s">
        <v>31</v>
      </c>
      <c r="H258" s="2">
        <v>0.4</v>
      </c>
      <c r="I258" s="3">
        <v>400</v>
      </c>
      <c r="J258" s="3" t="str">
        <f t="shared" ref="J258:J321" si="17">IF(I258&gt;5000, "High Price", IF(I258&gt;=1000, "Medium Price", IF(I258&lt;1000, "Low Price")))</f>
        <v>Low Price</v>
      </c>
      <c r="K258" t="s">
        <v>9</v>
      </c>
      <c r="L258" t="s">
        <v>33</v>
      </c>
      <c r="M258" t="s">
        <v>34</v>
      </c>
      <c r="N258">
        <v>0.7</v>
      </c>
      <c r="O258" t="str">
        <f t="shared" ref="O258:O321" si="18">IF(N258&gt;=0.8,"High",IF(N258&gt;=0.4,"Medium",IF(N258&lt;0.4,"Low")))</f>
        <v>Medium</v>
      </c>
      <c r="P258">
        <f t="shared" si="15"/>
        <v>3200</v>
      </c>
      <c r="Q258" s="2">
        <f t="shared" si="16"/>
        <v>0.88888888888888884</v>
      </c>
    </row>
    <row r="259" spans="1:17" x14ac:dyDescent="0.3">
      <c r="A259" s="3">
        <v>24</v>
      </c>
      <c r="B259" s="3">
        <v>15</v>
      </c>
      <c r="C259" s="6">
        <v>4.8</v>
      </c>
      <c r="D259" t="s">
        <v>13</v>
      </c>
      <c r="E259" s="3">
        <v>400</v>
      </c>
      <c r="F259" s="6">
        <v>5</v>
      </c>
      <c r="G259" t="s">
        <v>60</v>
      </c>
      <c r="H259" s="2">
        <v>0.9</v>
      </c>
      <c r="I259" s="3">
        <v>800</v>
      </c>
      <c r="J259" s="3" t="str">
        <f t="shared" si="17"/>
        <v>Low Price</v>
      </c>
      <c r="K259" t="s">
        <v>179</v>
      </c>
      <c r="L259" t="s">
        <v>17</v>
      </c>
      <c r="M259" t="s">
        <v>25</v>
      </c>
      <c r="N259">
        <v>1</v>
      </c>
      <c r="O259" t="str">
        <f t="shared" si="18"/>
        <v>High</v>
      </c>
      <c r="P259">
        <f t="shared" ref="P259:P322" si="19">I259*B259</f>
        <v>12000</v>
      </c>
      <c r="Q259" s="2">
        <f t="shared" ref="Q259:Q322" si="20">B259/A259</f>
        <v>0.625</v>
      </c>
    </row>
    <row r="260" spans="1:17" x14ac:dyDescent="0.3">
      <c r="A260" s="3">
        <v>16</v>
      </c>
      <c r="B260" s="3">
        <v>14</v>
      </c>
      <c r="C260" s="6">
        <v>4.5999999999999996</v>
      </c>
      <c r="D260" t="s">
        <v>20</v>
      </c>
      <c r="E260" s="3">
        <v>6000</v>
      </c>
      <c r="F260" s="6">
        <v>4.8</v>
      </c>
      <c r="G260" t="s">
        <v>66</v>
      </c>
      <c r="H260" s="2">
        <v>0.8</v>
      </c>
      <c r="I260" s="3">
        <v>800</v>
      </c>
      <c r="J260" s="3" t="str">
        <f t="shared" si="17"/>
        <v>Low Price</v>
      </c>
      <c r="K260" t="s">
        <v>9</v>
      </c>
      <c r="L260" t="s">
        <v>33</v>
      </c>
      <c r="M260" t="s">
        <v>34</v>
      </c>
      <c r="N260">
        <v>0.9</v>
      </c>
      <c r="O260" t="str">
        <f t="shared" si="18"/>
        <v>High</v>
      </c>
      <c r="P260">
        <f t="shared" si="19"/>
        <v>11200</v>
      </c>
      <c r="Q260" s="2">
        <f t="shared" si="20"/>
        <v>0.875</v>
      </c>
    </row>
    <row r="261" spans="1:17" x14ac:dyDescent="0.3">
      <c r="A261" s="3">
        <v>11</v>
      </c>
      <c r="B261" s="3">
        <v>10</v>
      </c>
      <c r="C261" s="6">
        <v>4</v>
      </c>
      <c r="D261" t="s">
        <v>13</v>
      </c>
      <c r="E261" s="3">
        <v>300</v>
      </c>
      <c r="F261" s="6">
        <v>4.2</v>
      </c>
      <c r="G261" t="s">
        <v>27</v>
      </c>
      <c r="H261" s="2">
        <v>0.7</v>
      </c>
      <c r="I261" s="3">
        <v>500</v>
      </c>
      <c r="J261" s="3" t="str">
        <f t="shared" si="17"/>
        <v>Low Price</v>
      </c>
      <c r="K261" t="s">
        <v>9</v>
      </c>
      <c r="L261" t="s">
        <v>33</v>
      </c>
      <c r="M261" t="s">
        <v>34</v>
      </c>
      <c r="N261">
        <v>0.9</v>
      </c>
      <c r="O261" t="str">
        <f t="shared" si="18"/>
        <v>High</v>
      </c>
      <c r="P261">
        <f t="shared" si="19"/>
        <v>5000</v>
      </c>
      <c r="Q261" s="2">
        <f t="shared" si="20"/>
        <v>0.90909090909090906</v>
      </c>
    </row>
    <row r="262" spans="1:17" x14ac:dyDescent="0.3">
      <c r="A262" s="3">
        <v>29</v>
      </c>
      <c r="B262" s="3">
        <v>19</v>
      </c>
      <c r="C262" s="6">
        <v>4.9000000000000004</v>
      </c>
      <c r="D262" t="s">
        <v>20</v>
      </c>
      <c r="E262" s="3">
        <v>700</v>
      </c>
      <c r="F262" s="6">
        <v>5</v>
      </c>
      <c r="G262" t="s">
        <v>39</v>
      </c>
      <c r="H262" s="2">
        <v>0.9</v>
      </c>
      <c r="I262" s="3">
        <v>1000</v>
      </c>
      <c r="J262" s="3" t="str">
        <f t="shared" si="17"/>
        <v>Medium Price</v>
      </c>
      <c r="K262" t="s">
        <v>179</v>
      </c>
      <c r="L262" t="s">
        <v>33</v>
      </c>
      <c r="M262" t="s">
        <v>18</v>
      </c>
      <c r="N262">
        <v>1</v>
      </c>
      <c r="O262" t="str">
        <f t="shared" si="18"/>
        <v>High</v>
      </c>
      <c r="P262">
        <f t="shared" si="19"/>
        <v>19000</v>
      </c>
      <c r="Q262" s="2">
        <f t="shared" si="20"/>
        <v>0.65517241379310343</v>
      </c>
    </row>
    <row r="263" spans="1:17" x14ac:dyDescent="0.3">
      <c r="A263" s="3">
        <v>13</v>
      </c>
      <c r="B263" s="3">
        <v>10</v>
      </c>
      <c r="C263" s="6">
        <v>3.8</v>
      </c>
      <c r="D263" t="s">
        <v>13</v>
      </c>
      <c r="E263" s="3">
        <v>900</v>
      </c>
      <c r="F263" s="6">
        <v>4</v>
      </c>
      <c r="G263" t="s">
        <v>78</v>
      </c>
      <c r="H263" s="2">
        <v>0.7</v>
      </c>
      <c r="I263" s="3">
        <v>200</v>
      </c>
      <c r="J263" s="3" t="str">
        <f t="shared" si="17"/>
        <v>Low Price</v>
      </c>
      <c r="K263" t="s">
        <v>9</v>
      </c>
      <c r="L263" t="s">
        <v>17</v>
      </c>
      <c r="M263" t="s">
        <v>18</v>
      </c>
      <c r="N263">
        <v>0.8</v>
      </c>
      <c r="O263" t="str">
        <f t="shared" si="18"/>
        <v>High</v>
      </c>
      <c r="P263">
        <f t="shared" si="19"/>
        <v>2000</v>
      </c>
      <c r="Q263" s="2">
        <f t="shared" si="20"/>
        <v>0.76923076923076927</v>
      </c>
    </row>
    <row r="264" spans="1:17" x14ac:dyDescent="0.3">
      <c r="A264" s="3">
        <v>22</v>
      </c>
      <c r="B264" s="3">
        <v>16</v>
      </c>
      <c r="C264" s="6">
        <v>5</v>
      </c>
      <c r="D264" t="s">
        <v>20</v>
      </c>
      <c r="E264" s="3">
        <v>1000</v>
      </c>
      <c r="F264" s="6">
        <v>5</v>
      </c>
      <c r="G264" t="s">
        <v>60</v>
      </c>
      <c r="H264" s="2">
        <v>0.9</v>
      </c>
      <c r="I264" s="3">
        <v>800</v>
      </c>
      <c r="J264" s="3" t="str">
        <f t="shared" si="17"/>
        <v>Low Price</v>
      </c>
      <c r="K264" t="s">
        <v>179</v>
      </c>
      <c r="L264" t="s">
        <v>17</v>
      </c>
      <c r="M264" t="s">
        <v>25</v>
      </c>
      <c r="N264">
        <v>1</v>
      </c>
      <c r="O264" t="str">
        <f t="shared" si="18"/>
        <v>High</v>
      </c>
      <c r="P264">
        <f t="shared" si="19"/>
        <v>12800</v>
      </c>
      <c r="Q264" s="2">
        <f t="shared" si="20"/>
        <v>0.72727272727272729</v>
      </c>
    </row>
    <row r="265" spans="1:17" x14ac:dyDescent="0.3">
      <c r="A265" s="3">
        <v>17</v>
      </c>
      <c r="B265" s="3">
        <v>13</v>
      </c>
      <c r="C265" s="6">
        <v>4.7</v>
      </c>
      <c r="D265" t="s">
        <v>20</v>
      </c>
      <c r="E265" s="3">
        <v>400</v>
      </c>
      <c r="F265" s="6">
        <v>4.9000000000000004</v>
      </c>
      <c r="G265" t="s">
        <v>35</v>
      </c>
      <c r="H265" s="2">
        <v>0.9</v>
      </c>
      <c r="I265" s="3">
        <v>500</v>
      </c>
      <c r="J265" s="3" t="str">
        <f t="shared" si="17"/>
        <v>Low Price</v>
      </c>
      <c r="K265" t="s">
        <v>9</v>
      </c>
      <c r="L265" t="s">
        <v>33</v>
      </c>
      <c r="M265" t="s">
        <v>18</v>
      </c>
      <c r="N265">
        <v>1</v>
      </c>
      <c r="O265" t="str">
        <f t="shared" si="18"/>
        <v>High</v>
      </c>
      <c r="P265">
        <f t="shared" si="19"/>
        <v>6500</v>
      </c>
      <c r="Q265" s="2">
        <f t="shared" si="20"/>
        <v>0.76470588235294112</v>
      </c>
    </row>
    <row r="266" spans="1:17" x14ac:dyDescent="0.3">
      <c r="A266" s="3">
        <v>32</v>
      </c>
      <c r="B266" s="3">
        <v>20</v>
      </c>
      <c r="C266" s="6">
        <v>5</v>
      </c>
      <c r="D266" t="s">
        <v>13</v>
      </c>
      <c r="E266" s="3">
        <v>700</v>
      </c>
      <c r="F266" s="6">
        <v>5</v>
      </c>
      <c r="G266" t="s">
        <v>66</v>
      </c>
      <c r="H266" s="2">
        <v>0.9</v>
      </c>
      <c r="I266" s="3">
        <v>700</v>
      </c>
      <c r="J266" s="3" t="str">
        <f t="shared" si="17"/>
        <v>Low Price</v>
      </c>
      <c r="K266" t="s">
        <v>179</v>
      </c>
      <c r="L266" t="s">
        <v>17</v>
      </c>
      <c r="M266" t="s">
        <v>18</v>
      </c>
      <c r="N266">
        <v>1</v>
      </c>
      <c r="O266" t="str">
        <f t="shared" si="18"/>
        <v>High</v>
      </c>
      <c r="P266">
        <f t="shared" si="19"/>
        <v>14000</v>
      </c>
      <c r="Q266" s="2">
        <f t="shared" si="20"/>
        <v>0.625</v>
      </c>
    </row>
    <row r="267" spans="1:17" x14ac:dyDescent="0.3">
      <c r="A267" s="3">
        <v>18</v>
      </c>
      <c r="B267" s="3">
        <v>14</v>
      </c>
      <c r="C267" s="6">
        <v>4.8</v>
      </c>
      <c r="D267" t="s">
        <v>20</v>
      </c>
      <c r="E267" s="3">
        <v>800</v>
      </c>
      <c r="F267" s="6">
        <v>5</v>
      </c>
      <c r="G267" t="s">
        <v>39</v>
      </c>
      <c r="H267" s="2">
        <v>0.9</v>
      </c>
      <c r="I267" s="3">
        <v>900</v>
      </c>
      <c r="J267" s="3" t="str">
        <f t="shared" si="17"/>
        <v>Low Price</v>
      </c>
      <c r="K267" t="s">
        <v>9</v>
      </c>
      <c r="L267" t="s">
        <v>17</v>
      </c>
      <c r="M267" t="s">
        <v>18</v>
      </c>
      <c r="N267">
        <v>1</v>
      </c>
      <c r="O267" t="str">
        <f t="shared" si="18"/>
        <v>High</v>
      </c>
      <c r="P267">
        <f t="shared" si="19"/>
        <v>12600</v>
      </c>
      <c r="Q267" s="2">
        <f t="shared" si="20"/>
        <v>0.77777777777777779</v>
      </c>
    </row>
    <row r="268" spans="1:17" x14ac:dyDescent="0.3">
      <c r="A268" s="3">
        <v>26</v>
      </c>
      <c r="B268" s="3">
        <v>17</v>
      </c>
      <c r="C268" s="6">
        <v>5</v>
      </c>
      <c r="D268" t="s">
        <v>13</v>
      </c>
      <c r="E268" s="3">
        <v>200</v>
      </c>
      <c r="F268" s="6">
        <v>5</v>
      </c>
      <c r="G268" t="s">
        <v>66</v>
      </c>
      <c r="H268" s="2">
        <v>0.9</v>
      </c>
      <c r="I268" s="3">
        <v>1000</v>
      </c>
      <c r="J268" s="3" t="str">
        <f t="shared" si="17"/>
        <v>Medium Price</v>
      </c>
      <c r="K268" t="s">
        <v>9</v>
      </c>
      <c r="L268" t="s">
        <v>17</v>
      </c>
      <c r="M268" t="s">
        <v>18</v>
      </c>
      <c r="N268">
        <v>1</v>
      </c>
      <c r="O268" t="str">
        <f t="shared" si="18"/>
        <v>High</v>
      </c>
      <c r="P268">
        <f t="shared" si="19"/>
        <v>17000</v>
      </c>
      <c r="Q268" s="2">
        <f t="shared" si="20"/>
        <v>0.65384615384615385</v>
      </c>
    </row>
    <row r="269" spans="1:17" x14ac:dyDescent="0.3">
      <c r="A269" s="3">
        <v>11</v>
      </c>
      <c r="B269" s="3">
        <v>11</v>
      </c>
      <c r="C269" s="6">
        <v>4.0999999999999996</v>
      </c>
      <c r="D269" t="s">
        <v>20</v>
      </c>
      <c r="E269" s="3">
        <v>5000</v>
      </c>
      <c r="F269" s="6">
        <v>4.3</v>
      </c>
      <c r="G269" t="s">
        <v>42</v>
      </c>
      <c r="H269" s="2">
        <v>0.8</v>
      </c>
      <c r="I269" s="3">
        <v>300</v>
      </c>
      <c r="J269" s="3" t="str">
        <f t="shared" si="17"/>
        <v>Low Price</v>
      </c>
      <c r="K269" t="s">
        <v>9</v>
      </c>
      <c r="L269" t="s">
        <v>33</v>
      </c>
      <c r="M269" t="s">
        <v>18</v>
      </c>
      <c r="N269">
        <v>0.9</v>
      </c>
      <c r="O269" t="str">
        <f t="shared" si="18"/>
        <v>High</v>
      </c>
      <c r="P269">
        <f t="shared" si="19"/>
        <v>3300</v>
      </c>
      <c r="Q269" s="2">
        <f t="shared" si="20"/>
        <v>1</v>
      </c>
    </row>
    <row r="270" spans="1:17" x14ac:dyDescent="0.3">
      <c r="A270" s="3">
        <v>20</v>
      </c>
      <c r="B270" s="3">
        <v>15</v>
      </c>
      <c r="C270" s="6">
        <v>4.7</v>
      </c>
      <c r="D270" t="s">
        <v>13</v>
      </c>
      <c r="E270" s="3">
        <v>300</v>
      </c>
      <c r="F270" s="6">
        <v>4.9000000000000004</v>
      </c>
      <c r="G270" t="s">
        <v>21</v>
      </c>
      <c r="H270" s="2">
        <v>0.8</v>
      </c>
      <c r="I270" s="3">
        <v>500</v>
      </c>
      <c r="J270" s="3" t="str">
        <f t="shared" si="17"/>
        <v>Low Price</v>
      </c>
      <c r="K270" t="s">
        <v>9</v>
      </c>
      <c r="L270" t="s">
        <v>33</v>
      </c>
      <c r="M270" t="s">
        <v>18</v>
      </c>
      <c r="N270">
        <v>0.9</v>
      </c>
      <c r="O270" t="str">
        <f t="shared" si="18"/>
        <v>High</v>
      </c>
      <c r="P270">
        <f t="shared" si="19"/>
        <v>7500</v>
      </c>
      <c r="Q270" s="2">
        <f t="shared" si="20"/>
        <v>0.75</v>
      </c>
    </row>
    <row r="271" spans="1:17" x14ac:dyDescent="0.3">
      <c r="A271" s="3">
        <v>15</v>
      </c>
      <c r="B271" s="3">
        <v>14</v>
      </c>
      <c r="C271" s="6">
        <v>4.5</v>
      </c>
      <c r="D271" t="s">
        <v>20</v>
      </c>
      <c r="E271" s="3">
        <v>7000</v>
      </c>
      <c r="F271" s="6">
        <v>4.7</v>
      </c>
      <c r="G271" t="s">
        <v>66</v>
      </c>
      <c r="H271" s="2">
        <v>0.8</v>
      </c>
      <c r="I271" s="3">
        <v>900</v>
      </c>
      <c r="J271" s="3" t="str">
        <f t="shared" si="17"/>
        <v>Low Price</v>
      </c>
      <c r="K271" t="s">
        <v>9</v>
      </c>
      <c r="L271" t="s">
        <v>33</v>
      </c>
      <c r="M271" t="s">
        <v>34</v>
      </c>
      <c r="N271">
        <v>0.9</v>
      </c>
      <c r="O271" t="str">
        <f t="shared" si="18"/>
        <v>High</v>
      </c>
      <c r="P271">
        <f t="shared" si="19"/>
        <v>12600</v>
      </c>
      <c r="Q271" s="2">
        <f t="shared" si="20"/>
        <v>0.93333333333333335</v>
      </c>
    </row>
    <row r="272" spans="1:17" x14ac:dyDescent="0.3">
      <c r="A272" s="3">
        <v>30</v>
      </c>
      <c r="B272" s="3">
        <v>21</v>
      </c>
      <c r="C272" s="6">
        <v>5</v>
      </c>
      <c r="D272" t="s">
        <v>13</v>
      </c>
      <c r="E272" s="3">
        <v>100</v>
      </c>
      <c r="F272" s="6">
        <v>5</v>
      </c>
      <c r="G272" t="s">
        <v>39</v>
      </c>
      <c r="H272" s="2">
        <v>0.9</v>
      </c>
      <c r="I272" s="3">
        <v>1000</v>
      </c>
      <c r="J272" s="3" t="str">
        <f t="shared" si="17"/>
        <v>Medium Price</v>
      </c>
      <c r="K272" t="s">
        <v>179</v>
      </c>
      <c r="L272" t="s">
        <v>33</v>
      </c>
      <c r="M272" t="s">
        <v>18</v>
      </c>
      <c r="N272">
        <v>1</v>
      </c>
      <c r="O272" t="str">
        <f t="shared" si="18"/>
        <v>High</v>
      </c>
      <c r="P272">
        <f t="shared" si="19"/>
        <v>21000</v>
      </c>
      <c r="Q272" s="2">
        <f t="shared" si="20"/>
        <v>0.7</v>
      </c>
    </row>
    <row r="273" spans="1:17" x14ac:dyDescent="0.3">
      <c r="A273" s="3">
        <v>9</v>
      </c>
      <c r="B273" s="3">
        <v>9</v>
      </c>
      <c r="C273" s="6">
        <v>3.8</v>
      </c>
      <c r="D273" t="s">
        <v>20</v>
      </c>
      <c r="E273" s="3">
        <v>2000</v>
      </c>
      <c r="F273" s="6">
        <v>4</v>
      </c>
      <c r="G273" t="s">
        <v>31</v>
      </c>
      <c r="H273" s="2">
        <v>0.4</v>
      </c>
      <c r="I273" s="3">
        <v>400</v>
      </c>
      <c r="J273" s="3" t="str">
        <f t="shared" si="17"/>
        <v>Low Price</v>
      </c>
      <c r="K273" t="s">
        <v>9</v>
      </c>
      <c r="L273" t="s">
        <v>33</v>
      </c>
      <c r="M273" t="s">
        <v>34</v>
      </c>
      <c r="N273">
        <v>0.7</v>
      </c>
      <c r="O273" t="str">
        <f t="shared" si="18"/>
        <v>Medium</v>
      </c>
      <c r="P273">
        <f t="shared" si="19"/>
        <v>3600</v>
      </c>
      <c r="Q273" s="2">
        <f t="shared" si="20"/>
        <v>1</v>
      </c>
    </row>
    <row r="274" spans="1:17" x14ac:dyDescent="0.3">
      <c r="A274" s="3">
        <v>24</v>
      </c>
      <c r="B274" s="3">
        <v>16</v>
      </c>
      <c r="C274" s="6">
        <v>4.9000000000000004</v>
      </c>
      <c r="D274" t="s">
        <v>13</v>
      </c>
      <c r="E274" s="3">
        <v>400</v>
      </c>
      <c r="F274" s="6">
        <v>5</v>
      </c>
      <c r="G274" t="s">
        <v>60</v>
      </c>
      <c r="H274" s="2">
        <v>0.9</v>
      </c>
      <c r="I274" s="3">
        <v>800</v>
      </c>
      <c r="J274" s="3" t="str">
        <f t="shared" si="17"/>
        <v>Low Price</v>
      </c>
      <c r="K274" t="s">
        <v>179</v>
      </c>
      <c r="L274" t="s">
        <v>17</v>
      </c>
      <c r="M274" t="s">
        <v>25</v>
      </c>
      <c r="N274">
        <v>1</v>
      </c>
      <c r="O274" t="str">
        <f t="shared" si="18"/>
        <v>High</v>
      </c>
      <c r="P274">
        <f t="shared" si="19"/>
        <v>12800</v>
      </c>
      <c r="Q274" s="2">
        <f t="shared" si="20"/>
        <v>0.66666666666666663</v>
      </c>
    </row>
    <row r="275" spans="1:17" x14ac:dyDescent="0.3">
      <c r="A275" s="3">
        <v>16</v>
      </c>
      <c r="B275" s="3">
        <v>15</v>
      </c>
      <c r="C275" s="6">
        <v>4.7</v>
      </c>
      <c r="D275" t="s">
        <v>20</v>
      </c>
      <c r="E275" s="3">
        <v>6000</v>
      </c>
      <c r="F275" s="6">
        <v>4.9000000000000004</v>
      </c>
      <c r="G275" t="s">
        <v>66</v>
      </c>
      <c r="H275" s="2">
        <v>0.8</v>
      </c>
      <c r="I275" s="3">
        <v>800</v>
      </c>
      <c r="J275" s="3" t="str">
        <f t="shared" si="17"/>
        <v>Low Price</v>
      </c>
      <c r="K275" t="s">
        <v>9</v>
      </c>
      <c r="L275" t="s">
        <v>33</v>
      </c>
      <c r="M275" t="s">
        <v>34</v>
      </c>
      <c r="N275">
        <v>0.9</v>
      </c>
      <c r="O275" t="str">
        <f t="shared" si="18"/>
        <v>High</v>
      </c>
      <c r="P275">
        <f t="shared" si="19"/>
        <v>12000</v>
      </c>
      <c r="Q275" s="2">
        <f t="shared" si="20"/>
        <v>0.9375</v>
      </c>
    </row>
    <row r="276" spans="1:17" x14ac:dyDescent="0.3">
      <c r="A276" s="3">
        <v>11</v>
      </c>
      <c r="B276" s="3">
        <v>12</v>
      </c>
      <c r="C276" s="6">
        <v>4.2</v>
      </c>
      <c r="D276" t="s">
        <v>13</v>
      </c>
      <c r="E276" s="3">
        <v>300</v>
      </c>
      <c r="F276" s="6">
        <v>4.4000000000000004</v>
      </c>
      <c r="G276" t="s">
        <v>27</v>
      </c>
      <c r="H276" s="2">
        <v>0.8</v>
      </c>
      <c r="I276" s="3">
        <v>500</v>
      </c>
      <c r="J276" s="3" t="str">
        <f t="shared" si="17"/>
        <v>Low Price</v>
      </c>
      <c r="K276" t="s">
        <v>9</v>
      </c>
      <c r="L276" t="s">
        <v>33</v>
      </c>
      <c r="M276" t="s">
        <v>34</v>
      </c>
      <c r="N276">
        <v>0.9</v>
      </c>
      <c r="O276" t="str">
        <f t="shared" si="18"/>
        <v>High</v>
      </c>
      <c r="P276">
        <f t="shared" si="19"/>
        <v>6000</v>
      </c>
      <c r="Q276" s="2">
        <f t="shared" si="20"/>
        <v>1.0909090909090908</v>
      </c>
    </row>
    <row r="277" spans="1:17" x14ac:dyDescent="0.3">
      <c r="A277" s="3">
        <v>29</v>
      </c>
      <c r="B277" s="3">
        <v>20</v>
      </c>
      <c r="C277" s="6">
        <v>4.9000000000000004</v>
      </c>
      <c r="D277" t="s">
        <v>20</v>
      </c>
      <c r="E277" s="3">
        <v>700</v>
      </c>
      <c r="F277" s="6">
        <v>5</v>
      </c>
      <c r="G277" t="s">
        <v>39</v>
      </c>
      <c r="H277" s="2">
        <v>0.9</v>
      </c>
      <c r="I277" s="3">
        <v>1000</v>
      </c>
      <c r="J277" s="3" t="str">
        <f t="shared" si="17"/>
        <v>Medium Price</v>
      </c>
      <c r="K277" t="s">
        <v>179</v>
      </c>
      <c r="L277" t="s">
        <v>33</v>
      </c>
      <c r="M277" t="s">
        <v>18</v>
      </c>
      <c r="N277">
        <v>1</v>
      </c>
      <c r="O277" t="str">
        <f t="shared" si="18"/>
        <v>High</v>
      </c>
      <c r="P277">
        <f t="shared" si="19"/>
        <v>20000</v>
      </c>
      <c r="Q277" s="2">
        <f t="shared" si="20"/>
        <v>0.68965517241379315</v>
      </c>
    </row>
    <row r="278" spans="1:17" x14ac:dyDescent="0.3">
      <c r="A278" s="3">
        <v>13</v>
      </c>
      <c r="B278" s="3">
        <v>11</v>
      </c>
      <c r="C278" s="6">
        <v>3.9</v>
      </c>
      <c r="D278" t="s">
        <v>13</v>
      </c>
      <c r="E278" s="3">
        <v>900</v>
      </c>
      <c r="F278" s="6">
        <v>4.0999999999999996</v>
      </c>
      <c r="G278" t="s">
        <v>78</v>
      </c>
      <c r="H278" s="2">
        <v>0.7</v>
      </c>
      <c r="I278" s="3">
        <v>200</v>
      </c>
      <c r="J278" s="3" t="str">
        <f t="shared" si="17"/>
        <v>Low Price</v>
      </c>
      <c r="K278" t="s">
        <v>9</v>
      </c>
      <c r="L278" t="s">
        <v>17</v>
      </c>
      <c r="M278" t="s">
        <v>18</v>
      </c>
      <c r="N278">
        <v>0.8</v>
      </c>
      <c r="O278" t="str">
        <f t="shared" si="18"/>
        <v>High</v>
      </c>
      <c r="P278">
        <f t="shared" si="19"/>
        <v>2200</v>
      </c>
      <c r="Q278" s="2">
        <f t="shared" si="20"/>
        <v>0.84615384615384615</v>
      </c>
    </row>
    <row r="279" spans="1:17" x14ac:dyDescent="0.3">
      <c r="A279" s="3">
        <v>22</v>
      </c>
      <c r="B279" s="3">
        <v>17</v>
      </c>
      <c r="C279" s="6">
        <v>5</v>
      </c>
      <c r="D279" t="s">
        <v>20</v>
      </c>
      <c r="E279" s="3">
        <v>1000</v>
      </c>
      <c r="F279" s="6">
        <v>5</v>
      </c>
      <c r="G279" t="s">
        <v>60</v>
      </c>
      <c r="H279" s="2">
        <v>0.9</v>
      </c>
      <c r="I279" s="3">
        <v>800</v>
      </c>
      <c r="J279" s="3" t="str">
        <f t="shared" si="17"/>
        <v>Low Price</v>
      </c>
      <c r="K279" t="s">
        <v>179</v>
      </c>
      <c r="L279" t="s">
        <v>17</v>
      </c>
      <c r="M279" t="s">
        <v>25</v>
      </c>
      <c r="N279">
        <v>1</v>
      </c>
      <c r="O279" t="str">
        <f t="shared" si="18"/>
        <v>High</v>
      </c>
      <c r="P279">
        <f t="shared" si="19"/>
        <v>13600</v>
      </c>
      <c r="Q279" s="2">
        <f t="shared" si="20"/>
        <v>0.77272727272727271</v>
      </c>
    </row>
    <row r="280" spans="1:17" x14ac:dyDescent="0.3">
      <c r="A280" s="3">
        <v>17</v>
      </c>
      <c r="B280" s="3">
        <v>14</v>
      </c>
      <c r="C280" s="6">
        <v>4.8</v>
      </c>
      <c r="D280" t="s">
        <v>20</v>
      </c>
      <c r="E280" s="3">
        <v>400</v>
      </c>
      <c r="F280" s="6">
        <v>5</v>
      </c>
      <c r="G280" t="s">
        <v>35</v>
      </c>
      <c r="H280" s="2">
        <v>0.9</v>
      </c>
      <c r="I280" s="3">
        <v>500</v>
      </c>
      <c r="J280" s="3" t="str">
        <f t="shared" si="17"/>
        <v>Low Price</v>
      </c>
      <c r="K280" t="s">
        <v>9</v>
      </c>
      <c r="L280" t="s">
        <v>33</v>
      </c>
      <c r="M280" t="s">
        <v>18</v>
      </c>
      <c r="N280">
        <v>1</v>
      </c>
      <c r="O280" t="str">
        <f t="shared" si="18"/>
        <v>High</v>
      </c>
      <c r="P280">
        <f t="shared" si="19"/>
        <v>7000</v>
      </c>
      <c r="Q280" s="2">
        <f t="shared" si="20"/>
        <v>0.82352941176470584</v>
      </c>
    </row>
    <row r="281" spans="1:17" x14ac:dyDescent="0.3">
      <c r="A281" s="3">
        <v>32</v>
      </c>
      <c r="B281" s="3">
        <v>21</v>
      </c>
      <c r="C281" s="6">
        <v>5</v>
      </c>
      <c r="D281" t="s">
        <v>13</v>
      </c>
      <c r="E281" s="3">
        <v>700</v>
      </c>
      <c r="F281" s="6">
        <v>5</v>
      </c>
      <c r="G281" t="s">
        <v>66</v>
      </c>
      <c r="H281" s="2">
        <v>0.9</v>
      </c>
      <c r="I281" s="3">
        <v>700</v>
      </c>
      <c r="J281" s="3" t="str">
        <f t="shared" si="17"/>
        <v>Low Price</v>
      </c>
      <c r="K281" t="s">
        <v>179</v>
      </c>
      <c r="L281" t="s">
        <v>17</v>
      </c>
      <c r="M281" t="s">
        <v>18</v>
      </c>
      <c r="N281">
        <v>1</v>
      </c>
      <c r="O281" t="str">
        <f t="shared" si="18"/>
        <v>High</v>
      </c>
      <c r="P281">
        <f t="shared" si="19"/>
        <v>14700</v>
      </c>
      <c r="Q281" s="2">
        <f t="shared" si="20"/>
        <v>0.65625</v>
      </c>
    </row>
    <row r="282" spans="1:17" x14ac:dyDescent="0.3">
      <c r="A282" s="3">
        <v>18</v>
      </c>
      <c r="B282" s="3">
        <v>15</v>
      </c>
      <c r="C282" s="6">
        <v>4.9000000000000004</v>
      </c>
      <c r="D282" t="s">
        <v>20</v>
      </c>
      <c r="E282" s="3">
        <v>800</v>
      </c>
      <c r="F282" s="6">
        <v>5</v>
      </c>
      <c r="G282" t="s">
        <v>39</v>
      </c>
      <c r="H282" s="2">
        <v>0.9</v>
      </c>
      <c r="I282" s="3">
        <v>900</v>
      </c>
      <c r="J282" s="3" t="str">
        <f t="shared" si="17"/>
        <v>Low Price</v>
      </c>
      <c r="K282" t="s">
        <v>9</v>
      </c>
      <c r="L282" t="s">
        <v>17</v>
      </c>
      <c r="M282" t="s">
        <v>18</v>
      </c>
      <c r="N282">
        <v>1</v>
      </c>
      <c r="O282" t="str">
        <f t="shared" si="18"/>
        <v>High</v>
      </c>
      <c r="P282">
        <f t="shared" si="19"/>
        <v>13500</v>
      </c>
      <c r="Q282" s="2">
        <f t="shared" si="20"/>
        <v>0.83333333333333337</v>
      </c>
    </row>
    <row r="283" spans="1:17" x14ac:dyDescent="0.3">
      <c r="A283" s="3">
        <v>26</v>
      </c>
      <c r="B283" s="3">
        <v>18</v>
      </c>
      <c r="C283" s="6">
        <v>5</v>
      </c>
      <c r="D283" t="s">
        <v>13</v>
      </c>
      <c r="E283" s="3">
        <v>200</v>
      </c>
      <c r="F283" s="6">
        <v>5</v>
      </c>
      <c r="G283" t="s">
        <v>66</v>
      </c>
      <c r="H283" s="2">
        <v>0.9</v>
      </c>
      <c r="I283" s="3">
        <v>1000</v>
      </c>
      <c r="J283" s="3" t="str">
        <f t="shared" si="17"/>
        <v>Medium Price</v>
      </c>
      <c r="K283" t="s">
        <v>9</v>
      </c>
      <c r="L283" t="s">
        <v>17</v>
      </c>
      <c r="M283" t="s">
        <v>18</v>
      </c>
      <c r="N283">
        <v>1</v>
      </c>
      <c r="O283" t="str">
        <f t="shared" si="18"/>
        <v>High</v>
      </c>
      <c r="P283">
        <f t="shared" si="19"/>
        <v>18000</v>
      </c>
      <c r="Q283" s="2">
        <f t="shared" si="20"/>
        <v>0.69230769230769229</v>
      </c>
    </row>
    <row r="284" spans="1:17" x14ac:dyDescent="0.3">
      <c r="A284" s="3">
        <v>11</v>
      </c>
      <c r="B284" s="3">
        <v>13</v>
      </c>
      <c r="C284" s="6">
        <v>4.3</v>
      </c>
      <c r="D284" t="s">
        <v>20</v>
      </c>
      <c r="E284" s="3">
        <v>5000</v>
      </c>
      <c r="F284" s="6">
        <v>4.5</v>
      </c>
      <c r="G284" t="s">
        <v>42</v>
      </c>
      <c r="H284" s="2">
        <v>0.8</v>
      </c>
      <c r="I284" s="3">
        <v>300</v>
      </c>
      <c r="J284" s="3" t="str">
        <f t="shared" si="17"/>
        <v>Low Price</v>
      </c>
      <c r="K284" t="s">
        <v>9</v>
      </c>
      <c r="L284" t="s">
        <v>33</v>
      </c>
      <c r="M284" t="s">
        <v>18</v>
      </c>
      <c r="N284">
        <v>0.9</v>
      </c>
      <c r="O284" t="str">
        <f t="shared" si="18"/>
        <v>High</v>
      </c>
      <c r="P284">
        <f t="shared" si="19"/>
        <v>3900</v>
      </c>
      <c r="Q284" s="2">
        <f t="shared" si="20"/>
        <v>1.1818181818181819</v>
      </c>
    </row>
    <row r="285" spans="1:17" x14ac:dyDescent="0.3">
      <c r="A285" s="3">
        <v>20</v>
      </c>
      <c r="B285" s="3">
        <v>16</v>
      </c>
      <c r="C285" s="6">
        <v>4.8</v>
      </c>
      <c r="D285" t="s">
        <v>13</v>
      </c>
      <c r="E285" s="3">
        <v>300</v>
      </c>
      <c r="F285" s="6">
        <v>5</v>
      </c>
      <c r="G285" t="s">
        <v>21</v>
      </c>
      <c r="H285" s="2">
        <v>0.8</v>
      </c>
      <c r="I285" s="3">
        <v>500</v>
      </c>
      <c r="J285" s="3" t="str">
        <f t="shared" si="17"/>
        <v>Low Price</v>
      </c>
      <c r="K285" t="s">
        <v>9</v>
      </c>
      <c r="L285" t="s">
        <v>33</v>
      </c>
      <c r="M285" t="s">
        <v>18</v>
      </c>
      <c r="N285">
        <v>1</v>
      </c>
      <c r="O285" t="str">
        <f t="shared" si="18"/>
        <v>High</v>
      </c>
      <c r="P285">
        <f t="shared" si="19"/>
        <v>8000</v>
      </c>
      <c r="Q285" s="2">
        <f t="shared" si="20"/>
        <v>0.8</v>
      </c>
    </row>
    <row r="286" spans="1:17" x14ac:dyDescent="0.3">
      <c r="A286" s="3">
        <v>15</v>
      </c>
      <c r="B286" s="3">
        <v>15</v>
      </c>
      <c r="C286" s="6">
        <v>4.5999999999999996</v>
      </c>
      <c r="D286" t="s">
        <v>20</v>
      </c>
      <c r="E286" s="3">
        <v>7000</v>
      </c>
      <c r="F286" s="6">
        <v>4.8</v>
      </c>
      <c r="G286" t="s">
        <v>66</v>
      </c>
      <c r="H286" s="2">
        <v>0.8</v>
      </c>
      <c r="I286" s="3">
        <v>900</v>
      </c>
      <c r="J286" s="3" t="str">
        <f t="shared" si="17"/>
        <v>Low Price</v>
      </c>
      <c r="K286" t="s">
        <v>9</v>
      </c>
      <c r="L286" t="s">
        <v>33</v>
      </c>
      <c r="M286" t="s">
        <v>34</v>
      </c>
      <c r="N286">
        <v>0.9</v>
      </c>
      <c r="O286" t="str">
        <f t="shared" si="18"/>
        <v>High</v>
      </c>
      <c r="P286">
        <f t="shared" si="19"/>
        <v>13500</v>
      </c>
      <c r="Q286" s="2">
        <f t="shared" si="20"/>
        <v>1</v>
      </c>
    </row>
    <row r="287" spans="1:17" x14ac:dyDescent="0.3">
      <c r="A287" s="3">
        <v>23</v>
      </c>
      <c r="B287" s="3">
        <v>10</v>
      </c>
      <c r="C287" s="6">
        <v>4.2</v>
      </c>
      <c r="D287" t="s">
        <v>13</v>
      </c>
      <c r="E287" s="3">
        <v>700</v>
      </c>
      <c r="F287" s="6">
        <v>4.3</v>
      </c>
      <c r="G287" t="s">
        <v>42</v>
      </c>
      <c r="H287" s="2">
        <v>0.75</v>
      </c>
      <c r="I287" s="3">
        <v>500</v>
      </c>
      <c r="J287" s="3" t="str">
        <f t="shared" si="17"/>
        <v>Low Price</v>
      </c>
      <c r="K287" t="s">
        <v>179</v>
      </c>
      <c r="L287" t="s">
        <v>33</v>
      </c>
      <c r="M287" t="s">
        <v>18</v>
      </c>
      <c r="N287">
        <v>0.85</v>
      </c>
      <c r="O287" t="str">
        <f t="shared" si="18"/>
        <v>High</v>
      </c>
      <c r="P287">
        <f t="shared" si="19"/>
        <v>5000</v>
      </c>
      <c r="Q287" s="2">
        <f t="shared" si="20"/>
        <v>0.43478260869565216</v>
      </c>
    </row>
    <row r="288" spans="1:17" x14ac:dyDescent="0.3">
      <c r="A288" s="3">
        <v>15</v>
      </c>
      <c r="B288" s="3">
        <v>5</v>
      </c>
      <c r="C288" s="6">
        <v>3.8</v>
      </c>
      <c r="D288" t="s">
        <v>20</v>
      </c>
      <c r="E288" s="3">
        <v>400</v>
      </c>
      <c r="F288" s="6">
        <v>3.9</v>
      </c>
      <c r="G288" t="s">
        <v>75</v>
      </c>
      <c r="H288" s="2">
        <v>0.62</v>
      </c>
      <c r="I288" s="3">
        <v>300</v>
      </c>
      <c r="J288" s="3" t="str">
        <f t="shared" si="17"/>
        <v>Low Price</v>
      </c>
      <c r="K288" t="s">
        <v>179</v>
      </c>
      <c r="L288" t="s">
        <v>17</v>
      </c>
      <c r="M288" t="s">
        <v>18</v>
      </c>
      <c r="N288">
        <v>0.65</v>
      </c>
      <c r="O288" t="str">
        <f t="shared" si="18"/>
        <v>Medium</v>
      </c>
      <c r="P288">
        <f t="shared" si="19"/>
        <v>1500</v>
      </c>
      <c r="Q288" s="2">
        <f t="shared" si="20"/>
        <v>0.33333333333333331</v>
      </c>
    </row>
    <row r="289" spans="1:17" x14ac:dyDescent="0.3">
      <c r="A289" s="3">
        <v>8</v>
      </c>
      <c r="B289" s="3">
        <v>2</v>
      </c>
      <c r="C289" s="6">
        <v>4.5</v>
      </c>
      <c r="D289" t="s">
        <v>13</v>
      </c>
      <c r="E289" s="3">
        <v>3000</v>
      </c>
      <c r="F289" s="6">
        <v>4.7</v>
      </c>
      <c r="G289" t="s">
        <v>14</v>
      </c>
      <c r="H289" s="2">
        <v>0.85</v>
      </c>
      <c r="I289" s="3">
        <v>2000</v>
      </c>
      <c r="J289" s="3" t="str">
        <f t="shared" si="17"/>
        <v>Medium Price</v>
      </c>
      <c r="K289" t="s">
        <v>179</v>
      </c>
      <c r="L289" t="s">
        <v>33</v>
      </c>
      <c r="M289" t="s">
        <v>25</v>
      </c>
      <c r="N289">
        <v>0.92</v>
      </c>
      <c r="O289" t="str">
        <f t="shared" si="18"/>
        <v>High</v>
      </c>
      <c r="P289">
        <f t="shared" si="19"/>
        <v>4000</v>
      </c>
      <c r="Q289" s="2">
        <f t="shared" si="20"/>
        <v>0.25</v>
      </c>
    </row>
    <row r="290" spans="1:17" x14ac:dyDescent="0.3">
      <c r="A290" s="3">
        <v>45</v>
      </c>
      <c r="B290" s="3">
        <v>18</v>
      </c>
      <c r="C290" s="6">
        <v>4.7</v>
      </c>
      <c r="D290" t="s">
        <v>20</v>
      </c>
      <c r="E290" s="3">
        <v>2000</v>
      </c>
      <c r="F290" s="6">
        <v>4.8</v>
      </c>
      <c r="G290" t="s">
        <v>27</v>
      </c>
      <c r="H290" s="2">
        <v>0.9</v>
      </c>
      <c r="I290" s="3">
        <v>1800</v>
      </c>
      <c r="J290" s="3" t="str">
        <f t="shared" si="17"/>
        <v>Medium Price</v>
      </c>
      <c r="K290" t="s">
        <v>9</v>
      </c>
      <c r="L290" t="s">
        <v>17</v>
      </c>
      <c r="M290" t="s">
        <v>18</v>
      </c>
      <c r="N290">
        <v>0.88</v>
      </c>
      <c r="O290" t="str">
        <f t="shared" si="18"/>
        <v>High</v>
      </c>
      <c r="P290">
        <f t="shared" si="19"/>
        <v>32400</v>
      </c>
      <c r="Q290" s="2">
        <f t="shared" si="20"/>
        <v>0.4</v>
      </c>
    </row>
    <row r="291" spans="1:17" x14ac:dyDescent="0.3">
      <c r="A291" s="3">
        <v>32</v>
      </c>
      <c r="B291" s="3">
        <v>12</v>
      </c>
      <c r="C291" s="6">
        <v>4.0999999999999996</v>
      </c>
      <c r="D291" t="s">
        <v>13</v>
      </c>
      <c r="E291" s="3">
        <v>500</v>
      </c>
      <c r="F291" s="6">
        <v>4.2</v>
      </c>
      <c r="G291" t="s">
        <v>31</v>
      </c>
      <c r="H291" s="2">
        <v>0.78</v>
      </c>
      <c r="I291" s="3">
        <v>400</v>
      </c>
      <c r="J291" s="3" t="str">
        <f t="shared" si="17"/>
        <v>Low Price</v>
      </c>
      <c r="K291" t="s">
        <v>179</v>
      </c>
      <c r="L291" t="s">
        <v>24</v>
      </c>
      <c r="M291" t="s">
        <v>34</v>
      </c>
      <c r="N291">
        <v>0.7</v>
      </c>
      <c r="O291" t="str">
        <f t="shared" si="18"/>
        <v>Medium</v>
      </c>
      <c r="P291">
        <f t="shared" si="19"/>
        <v>4800</v>
      </c>
      <c r="Q291" s="2">
        <f t="shared" si="20"/>
        <v>0.375</v>
      </c>
    </row>
    <row r="292" spans="1:17" x14ac:dyDescent="0.3">
      <c r="A292" s="3">
        <v>10</v>
      </c>
      <c r="B292" s="3">
        <v>3</v>
      </c>
      <c r="C292" s="6">
        <v>3.9</v>
      </c>
      <c r="D292" t="s">
        <v>13</v>
      </c>
      <c r="E292" s="3">
        <v>900</v>
      </c>
      <c r="F292" s="6">
        <v>3.7</v>
      </c>
      <c r="G292" t="s">
        <v>71</v>
      </c>
      <c r="H292" s="2">
        <v>-0.15</v>
      </c>
      <c r="I292" s="3">
        <v>700</v>
      </c>
      <c r="J292" s="3" t="str">
        <f t="shared" si="17"/>
        <v>Low Price</v>
      </c>
      <c r="K292" t="s">
        <v>179</v>
      </c>
      <c r="L292" t="s">
        <v>33</v>
      </c>
      <c r="M292" t="s">
        <v>18</v>
      </c>
      <c r="N292">
        <v>0.4</v>
      </c>
      <c r="O292" t="str">
        <f t="shared" si="18"/>
        <v>Medium</v>
      </c>
      <c r="P292">
        <f t="shared" si="19"/>
        <v>2100</v>
      </c>
      <c r="Q292" s="2">
        <f t="shared" si="20"/>
        <v>0.3</v>
      </c>
    </row>
    <row r="293" spans="1:17" x14ac:dyDescent="0.3">
      <c r="A293" s="3">
        <v>5</v>
      </c>
      <c r="B293" s="3">
        <v>1</v>
      </c>
      <c r="C293" s="6">
        <v>3.2</v>
      </c>
      <c r="D293" t="s">
        <v>20</v>
      </c>
      <c r="E293" s="3">
        <v>6000</v>
      </c>
      <c r="F293" s="6">
        <v>3.4</v>
      </c>
      <c r="G293" t="s">
        <v>60</v>
      </c>
      <c r="H293" s="2">
        <v>0.45</v>
      </c>
      <c r="I293" s="3">
        <v>600</v>
      </c>
      <c r="J293" s="3" t="str">
        <f t="shared" si="17"/>
        <v>Low Price</v>
      </c>
      <c r="K293" t="s">
        <v>9</v>
      </c>
      <c r="L293" t="s">
        <v>17</v>
      </c>
      <c r="M293" t="s">
        <v>25</v>
      </c>
      <c r="N293">
        <v>0.55000000000000004</v>
      </c>
      <c r="O293" t="str">
        <f t="shared" si="18"/>
        <v>Medium</v>
      </c>
      <c r="P293">
        <f t="shared" si="19"/>
        <v>600</v>
      </c>
      <c r="Q293" s="2">
        <f t="shared" si="20"/>
        <v>0.2</v>
      </c>
    </row>
    <row r="294" spans="1:17" x14ac:dyDescent="0.3">
      <c r="A294" s="3">
        <v>28</v>
      </c>
      <c r="B294" s="3">
        <v>9</v>
      </c>
      <c r="C294" s="6">
        <v>4</v>
      </c>
      <c r="D294" t="s">
        <v>20</v>
      </c>
      <c r="E294" s="3">
        <v>1000</v>
      </c>
      <c r="F294" s="6">
        <v>4.2</v>
      </c>
      <c r="G294" t="s">
        <v>66</v>
      </c>
      <c r="H294" s="2">
        <v>0.8</v>
      </c>
      <c r="I294" s="3">
        <v>900</v>
      </c>
      <c r="J294" s="3" t="str">
        <f t="shared" si="17"/>
        <v>Low Price</v>
      </c>
      <c r="K294" t="s">
        <v>179</v>
      </c>
      <c r="L294" t="s">
        <v>33</v>
      </c>
      <c r="M294" t="s">
        <v>18</v>
      </c>
      <c r="N294">
        <v>0.78</v>
      </c>
      <c r="O294" t="str">
        <f t="shared" si="18"/>
        <v>Medium</v>
      </c>
      <c r="P294">
        <f t="shared" si="19"/>
        <v>8100</v>
      </c>
      <c r="Q294" s="2">
        <f t="shared" si="20"/>
        <v>0.32142857142857145</v>
      </c>
    </row>
    <row r="295" spans="1:17" x14ac:dyDescent="0.3">
      <c r="A295" s="3">
        <v>19</v>
      </c>
      <c r="B295" s="3">
        <v>7</v>
      </c>
      <c r="C295" s="6">
        <v>4.3</v>
      </c>
      <c r="D295" t="s">
        <v>13</v>
      </c>
      <c r="E295" s="3">
        <v>1500</v>
      </c>
      <c r="F295" s="6">
        <v>4.5999999999999996</v>
      </c>
      <c r="G295" t="s">
        <v>72</v>
      </c>
      <c r="H295" s="2">
        <v>0.88</v>
      </c>
      <c r="I295" s="3">
        <v>1400</v>
      </c>
      <c r="J295" s="3" t="str">
        <f t="shared" si="17"/>
        <v>Medium Price</v>
      </c>
      <c r="K295" t="s">
        <v>179</v>
      </c>
      <c r="L295" t="s">
        <v>17</v>
      </c>
      <c r="M295" t="s">
        <v>25</v>
      </c>
      <c r="N295">
        <v>0.9</v>
      </c>
      <c r="O295" t="str">
        <f t="shared" si="18"/>
        <v>High</v>
      </c>
      <c r="P295">
        <f t="shared" si="19"/>
        <v>9800</v>
      </c>
      <c r="Q295" s="2">
        <f t="shared" si="20"/>
        <v>0.36842105263157893</v>
      </c>
    </row>
    <row r="296" spans="1:17" x14ac:dyDescent="0.3">
      <c r="A296" s="3">
        <v>38</v>
      </c>
      <c r="B296" s="3">
        <v>15</v>
      </c>
      <c r="C296" s="6">
        <v>4.5999999999999996</v>
      </c>
      <c r="D296" t="s">
        <v>20</v>
      </c>
      <c r="E296" s="3">
        <v>200</v>
      </c>
      <c r="F296" s="6">
        <v>4.5</v>
      </c>
      <c r="G296" t="s">
        <v>39</v>
      </c>
      <c r="H296" s="2">
        <v>0.92</v>
      </c>
      <c r="I296" s="3">
        <v>180</v>
      </c>
      <c r="J296" s="3" t="str">
        <f t="shared" si="17"/>
        <v>Low Price</v>
      </c>
      <c r="K296" t="s">
        <v>9</v>
      </c>
      <c r="L296" t="s">
        <v>24</v>
      </c>
      <c r="M296" t="s">
        <v>34</v>
      </c>
      <c r="N296">
        <v>0.95</v>
      </c>
      <c r="O296" t="str">
        <f t="shared" si="18"/>
        <v>High</v>
      </c>
      <c r="P296">
        <f t="shared" si="19"/>
        <v>2700</v>
      </c>
      <c r="Q296" s="2">
        <f t="shared" si="20"/>
        <v>0.39473684210526316</v>
      </c>
    </row>
    <row r="297" spans="1:17" x14ac:dyDescent="0.3">
      <c r="A297" s="3">
        <v>12</v>
      </c>
      <c r="B297" s="3">
        <v>4</v>
      </c>
      <c r="C297" s="6">
        <v>3.5</v>
      </c>
      <c r="D297" t="s">
        <v>20</v>
      </c>
      <c r="E297" s="3">
        <v>400</v>
      </c>
      <c r="F297" s="6">
        <v>3.6</v>
      </c>
      <c r="G297" t="s">
        <v>47</v>
      </c>
      <c r="H297" s="2">
        <v>0.55000000000000004</v>
      </c>
      <c r="I297" s="3">
        <v>300</v>
      </c>
      <c r="J297" s="3" t="str">
        <f t="shared" si="17"/>
        <v>Low Price</v>
      </c>
      <c r="K297" t="s">
        <v>179</v>
      </c>
      <c r="L297" t="s">
        <v>17</v>
      </c>
      <c r="M297" t="s">
        <v>18</v>
      </c>
      <c r="N297">
        <v>0.6</v>
      </c>
      <c r="O297" t="str">
        <f t="shared" si="18"/>
        <v>Medium</v>
      </c>
      <c r="P297">
        <f t="shared" si="19"/>
        <v>1200</v>
      </c>
      <c r="Q297" s="2">
        <f t="shared" si="20"/>
        <v>0.33333333333333331</v>
      </c>
    </row>
    <row r="298" spans="1:17" x14ac:dyDescent="0.3">
      <c r="A298" s="3">
        <v>20</v>
      </c>
      <c r="B298" s="3">
        <v>6</v>
      </c>
      <c r="C298" s="6">
        <v>3.7</v>
      </c>
      <c r="D298" t="s">
        <v>13</v>
      </c>
      <c r="E298" s="3">
        <v>700</v>
      </c>
      <c r="F298" s="6">
        <v>3.9</v>
      </c>
      <c r="G298" t="s">
        <v>21</v>
      </c>
      <c r="H298" s="2">
        <v>0.7</v>
      </c>
      <c r="I298" s="3">
        <v>600</v>
      </c>
      <c r="J298" s="3" t="str">
        <f t="shared" si="17"/>
        <v>Low Price</v>
      </c>
      <c r="K298" t="s">
        <v>9</v>
      </c>
      <c r="L298" t="s">
        <v>33</v>
      </c>
      <c r="M298" t="s">
        <v>18</v>
      </c>
      <c r="N298">
        <v>0.72</v>
      </c>
      <c r="O298" t="str">
        <f t="shared" si="18"/>
        <v>Medium</v>
      </c>
      <c r="P298">
        <f t="shared" si="19"/>
        <v>3600</v>
      </c>
      <c r="Q298" s="2">
        <f t="shared" si="20"/>
        <v>0.3</v>
      </c>
    </row>
    <row r="299" spans="1:17" x14ac:dyDescent="0.3">
      <c r="A299" s="3">
        <v>7</v>
      </c>
      <c r="B299" s="3">
        <v>2</v>
      </c>
      <c r="C299" s="6">
        <v>4.8</v>
      </c>
      <c r="D299" t="s">
        <v>13</v>
      </c>
      <c r="E299" s="3">
        <v>2000</v>
      </c>
      <c r="F299" s="6">
        <v>4.9000000000000004</v>
      </c>
      <c r="G299" t="s">
        <v>65</v>
      </c>
      <c r="H299" s="2">
        <v>0.85</v>
      </c>
      <c r="I299" s="3">
        <v>1900</v>
      </c>
      <c r="J299" s="3" t="str">
        <f t="shared" si="17"/>
        <v>Medium Price</v>
      </c>
      <c r="K299" t="s">
        <v>179</v>
      </c>
      <c r="L299" t="s">
        <v>24</v>
      </c>
      <c r="M299" t="s">
        <v>25</v>
      </c>
      <c r="N299">
        <v>0.78</v>
      </c>
      <c r="O299" t="str">
        <f t="shared" si="18"/>
        <v>Medium</v>
      </c>
      <c r="P299">
        <f t="shared" si="19"/>
        <v>3800</v>
      </c>
      <c r="Q299" s="2">
        <f t="shared" si="20"/>
        <v>0.2857142857142857</v>
      </c>
    </row>
    <row r="300" spans="1:17" x14ac:dyDescent="0.3">
      <c r="A300" s="3">
        <v>42</v>
      </c>
      <c r="B300" s="3">
        <v>17</v>
      </c>
      <c r="C300" s="6">
        <v>4.9000000000000004</v>
      </c>
      <c r="D300" t="s">
        <v>20</v>
      </c>
      <c r="E300" s="3">
        <v>3000</v>
      </c>
      <c r="F300" s="6">
        <v>4.7</v>
      </c>
      <c r="G300" t="s">
        <v>69</v>
      </c>
      <c r="H300" s="2">
        <v>0.82</v>
      </c>
      <c r="I300" s="3">
        <v>2500</v>
      </c>
      <c r="J300" s="3" t="str">
        <f t="shared" si="17"/>
        <v>Medium Price</v>
      </c>
      <c r="K300" t="s">
        <v>9</v>
      </c>
      <c r="L300" t="s">
        <v>17</v>
      </c>
      <c r="M300" t="s">
        <v>18</v>
      </c>
      <c r="N300">
        <v>0.8</v>
      </c>
      <c r="O300" t="str">
        <f t="shared" si="18"/>
        <v>High</v>
      </c>
      <c r="P300">
        <f t="shared" si="19"/>
        <v>42500</v>
      </c>
      <c r="Q300" s="2">
        <f t="shared" si="20"/>
        <v>0.40476190476190477</v>
      </c>
    </row>
    <row r="301" spans="1:17" x14ac:dyDescent="0.3">
      <c r="A301" s="3">
        <v>25</v>
      </c>
      <c r="B301" s="3">
        <v>8</v>
      </c>
      <c r="C301" s="6">
        <v>4.4000000000000004</v>
      </c>
      <c r="D301" t="s">
        <v>20</v>
      </c>
      <c r="E301" s="3">
        <v>800</v>
      </c>
      <c r="F301" s="6">
        <v>4.5</v>
      </c>
      <c r="G301" t="s">
        <v>55</v>
      </c>
      <c r="H301" s="2">
        <v>0.75</v>
      </c>
      <c r="I301" s="3">
        <v>700</v>
      </c>
      <c r="J301" s="3" t="str">
        <f t="shared" si="17"/>
        <v>Low Price</v>
      </c>
      <c r="K301" t="s">
        <v>179</v>
      </c>
      <c r="L301" t="s">
        <v>33</v>
      </c>
      <c r="M301" t="s">
        <v>18</v>
      </c>
      <c r="N301">
        <v>0.68</v>
      </c>
      <c r="O301" t="str">
        <f t="shared" si="18"/>
        <v>Medium</v>
      </c>
      <c r="P301">
        <f t="shared" si="19"/>
        <v>5600</v>
      </c>
      <c r="Q301" s="2">
        <f t="shared" si="20"/>
        <v>0.32</v>
      </c>
    </row>
    <row r="302" spans="1:17" x14ac:dyDescent="0.3">
      <c r="A302" s="3">
        <v>30</v>
      </c>
      <c r="B302" s="3">
        <v>11</v>
      </c>
      <c r="C302" s="6">
        <v>4.3</v>
      </c>
      <c r="D302" t="s">
        <v>13</v>
      </c>
      <c r="E302" s="3">
        <v>1000</v>
      </c>
      <c r="F302" s="6">
        <v>4.4000000000000004</v>
      </c>
      <c r="G302" t="s">
        <v>48</v>
      </c>
      <c r="H302" s="2">
        <v>0.68</v>
      </c>
      <c r="I302" s="3">
        <v>900</v>
      </c>
      <c r="J302" s="3" t="str">
        <f t="shared" si="17"/>
        <v>Low Price</v>
      </c>
      <c r="K302" t="s">
        <v>9</v>
      </c>
      <c r="L302" t="s">
        <v>17</v>
      </c>
      <c r="M302" t="s">
        <v>25</v>
      </c>
      <c r="N302">
        <v>0.7</v>
      </c>
      <c r="O302" t="str">
        <f t="shared" si="18"/>
        <v>Medium</v>
      </c>
      <c r="P302">
        <f t="shared" si="19"/>
        <v>9900</v>
      </c>
      <c r="Q302" s="2">
        <f t="shared" si="20"/>
        <v>0.36666666666666664</v>
      </c>
    </row>
    <row r="303" spans="1:17" x14ac:dyDescent="0.3">
      <c r="A303" s="3">
        <v>14</v>
      </c>
      <c r="B303" s="3">
        <v>5</v>
      </c>
      <c r="C303" s="6">
        <v>3.6</v>
      </c>
      <c r="D303" t="s">
        <v>13</v>
      </c>
      <c r="E303" s="3">
        <v>500</v>
      </c>
      <c r="F303" s="6">
        <v>3.5</v>
      </c>
      <c r="G303" t="s">
        <v>77</v>
      </c>
      <c r="H303" s="2">
        <v>0.6</v>
      </c>
      <c r="I303" s="3">
        <v>400</v>
      </c>
      <c r="J303" s="3" t="str">
        <f t="shared" si="17"/>
        <v>Low Price</v>
      </c>
      <c r="K303" t="s">
        <v>179</v>
      </c>
      <c r="L303" t="s">
        <v>24</v>
      </c>
      <c r="M303" t="s">
        <v>34</v>
      </c>
      <c r="N303">
        <v>0.5</v>
      </c>
      <c r="O303" t="str">
        <f t="shared" si="18"/>
        <v>Medium</v>
      </c>
      <c r="P303">
        <f t="shared" si="19"/>
        <v>2000</v>
      </c>
      <c r="Q303" s="2">
        <f t="shared" si="20"/>
        <v>0.35714285714285715</v>
      </c>
    </row>
    <row r="304" spans="1:17" x14ac:dyDescent="0.3">
      <c r="A304" s="3">
        <v>6</v>
      </c>
      <c r="B304" s="3">
        <v>2</v>
      </c>
      <c r="C304" s="6">
        <v>3</v>
      </c>
      <c r="D304" t="s">
        <v>20</v>
      </c>
      <c r="E304" s="3">
        <v>6000</v>
      </c>
      <c r="F304" s="6">
        <v>3.1</v>
      </c>
      <c r="G304" t="s">
        <v>95</v>
      </c>
      <c r="H304" s="2">
        <v>0.4</v>
      </c>
      <c r="I304" s="3">
        <v>500</v>
      </c>
      <c r="J304" s="3" t="str">
        <f t="shared" si="17"/>
        <v>Low Price</v>
      </c>
      <c r="K304" t="s">
        <v>9</v>
      </c>
      <c r="L304" t="s">
        <v>17</v>
      </c>
      <c r="M304" t="s">
        <v>25</v>
      </c>
      <c r="N304">
        <v>0.45</v>
      </c>
      <c r="O304" t="str">
        <f t="shared" si="18"/>
        <v>Medium</v>
      </c>
      <c r="P304">
        <f t="shared" si="19"/>
        <v>1000</v>
      </c>
      <c r="Q304" s="2">
        <f t="shared" si="20"/>
        <v>0.33333333333333331</v>
      </c>
    </row>
    <row r="305" spans="1:17" x14ac:dyDescent="0.3">
      <c r="A305" s="3">
        <v>35</v>
      </c>
      <c r="B305" s="3">
        <v>14</v>
      </c>
      <c r="C305" s="6">
        <v>4.5</v>
      </c>
      <c r="D305" t="s">
        <v>20</v>
      </c>
      <c r="E305" s="3">
        <v>300</v>
      </c>
      <c r="F305" s="6">
        <v>4.5999999999999996</v>
      </c>
      <c r="G305" t="s">
        <v>74</v>
      </c>
      <c r="H305" s="2">
        <v>0.88</v>
      </c>
      <c r="I305" s="3">
        <v>250</v>
      </c>
      <c r="J305" s="3" t="str">
        <f t="shared" si="17"/>
        <v>Low Price</v>
      </c>
      <c r="K305" t="s">
        <v>179</v>
      </c>
      <c r="L305" t="s">
        <v>33</v>
      </c>
      <c r="M305" t="s">
        <v>18</v>
      </c>
      <c r="N305">
        <v>0.82</v>
      </c>
      <c r="O305" t="str">
        <f t="shared" si="18"/>
        <v>High</v>
      </c>
      <c r="P305">
        <f t="shared" si="19"/>
        <v>3500</v>
      </c>
      <c r="Q305" s="2">
        <f t="shared" si="20"/>
        <v>0.4</v>
      </c>
    </row>
    <row r="306" spans="1:17" x14ac:dyDescent="0.3">
      <c r="A306" s="3">
        <v>18</v>
      </c>
      <c r="B306" s="3">
        <v>7</v>
      </c>
      <c r="C306" s="6">
        <v>4.0999999999999996</v>
      </c>
      <c r="D306" t="s">
        <v>13</v>
      </c>
      <c r="E306" s="3">
        <v>900</v>
      </c>
      <c r="F306" s="6">
        <v>4.3</v>
      </c>
      <c r="G306" t="s">
        <v>96</v>
      </c>
      <c r="H306" s="2">
        <v>0.65</v>
      </c>
      <c r="I306" s="3">
        <v>800</v>
      </c>
      <c r="J306" s="3" t="str">
        <f t="shared" si="17"/>
        <v>Low Price</v>
      </c>
      <c r="K306" t="s">
        <v>179</v>
      </c>
      <c r="L306" t="s">
        <v>17</v>
      </c>
      <c r="M306" t="s">
        <v>18</v>
      </c>
      <c r="N306">
        <v>0.7</v>
      </c>
      <c r="O306" t="str">
        <f t="shared" si="18"/>
        <v>Medium</v>
      </c>
      <c r="P306">
        <f t="shared" si="19"/>
        <v>5600</v>
      </c>
      <c r="Q306" s="2">
        <f t="shared" si="20"/>
        <v>0.3888888888888889</v>
      </c>
    </row>
    <row r="307" spans="1:17" x14ac:dyDescent="0.3">
      <c r="A307" s="3">
        <v>9</v>
      </c>
      <c r="B307" s="3">
        <v>3</v>
      </c>
      <c r="C307" s="6">
        <v>4.7</v>
      </c>
      <c r="D307" t="s">
        <v>20</v>
      </c>
      <c r="E307" s="3">
        <v>1500</v>
      </c>
      <c r="F307" s="6">
        <v>4.8</v>
      </c>
      <c r="G307" t="s">
        <v>97</v>
      </c>
      <c r="H307" s="2">
        <v>0.9</v>
      </c>
      <c r="I307" s="3">
        <v>1300</v>
      </c>
      <c r="J307" s="3" t="str">
        <f t="shared" si="17"/>
        <v>Medium Price</v>
      </c>
      <c r="K307" t="s">
        <v>9</v>
      </c>
      <c r="L307" t="s">
        <v>33</v>
      </c>
      <c r="M307" t="s">
        <v>25</v>
      </c>
      <c r="N307">
        <v>0.85</v>
      </c>
      <c r="O307" t="str">
        <f t="shared" si="18"/>
        <v>High</v>
      </c>
      <c r="P307">
        <f t="shared" si="19"/>
        <v>3900</v>
      </c>
      <c r="Q307" s="2">
        <f t="shared" si="20"/>
        <v>0.33333333333333331</v>
      </c>
    </row>
    <row r="308" spans="1:17" x14ac:dyDescent="0.3">
      <c r="A308" s="3">
        <v>22</v>
      </c>
      <c r="B308" s="3">
        <v>9</v>
      </c>
      <c r="C308" s="6">
        <v>4</v>
      </c>
      <c r="D308" t="s">
        <v>13</v>
      </c>
      <c r="E308" s="3">
        <v>400</v>
      </c>
      <c r="F308" s="6">
        <v>4.0999999999999996</v>
      </c>
      <c r="G308" t="s">
        <v>35</v>
      </c>
      <c r="H308" s="2">
        <v>0.72</v>
      </c>
      <c r="I308" s="3">
        <v>300</v>
      </c>
      <c r="J308" s="3" t="str">
        <f t="shared" si="17"/>
        <v>Low Price</v>
      </c>
      <c r="K308" t="s">
        <v>179</v>
      </c>
      <c r="L308" t="s">
        <v>24</v>
      </c>
      <c r="M308" t="s">
        <v>34</v>
      </c>
      <c r="N308">
        <v>0.65</v>
      </c>
      <c r="O308" t="str">
        <f t="shared" si="18"/>
        <v>Medium</v>
      </c>
      <c r="P308">
        <f t="shared" si="19"/>
        <v>2700</v>
      </c>
      <c r="Q308" s="2">
        <f t="shared" si="20"/>
        <v>0.40909090909090912</v>
      </c>
    </row>
    <row r="309" spans="1:17" x14ac:dyDescent="0.3">
      <c r="A309" s="3">
        <v>11</v>
      </c>
      <c r="B309" s="3">
        <v>4</v>
      </c>
      <c r="C309" s="6">
        <v>3.8</v>
      </c>
      <c r="D309" t="s">
        <v>20</v>
      </c>
      <c r="E309" s="3">
        <v>700</v>
      </c>
      <c r="F309" s="6">
        <v>3.7</v>
      </c>
      <c r="G309" t="s">
        <v>98</v>
      </c>
      <c r="H309" s="2">
        <v>0.5</v>
      </c>
      <c r="I309" s="3">
        <v>600</v>
      </c>
      <c r="J309" s="3" t="str">
        <f t="shared" si="17"/>
        <v>Low Price</v>
      </c>
      <c r="K309" t="s">
        <v>9</v>
      </c>
      <c r="L309" t="s">
        <v>17</v>
      </c>
      <c r="M309" t="s">
        <v>25</v>
      </c>
      <c r="N309">
        <v>0.55000000000000004</v>
      </c>
      <c r="O309" t="str">
        <f t="shared" si="18"/>
        <v>Medium</v>
      </c>
      <c r="P309">
        <f t="shared" si="19"/>
        <v>2400</v>
      </c>
      <c r="Q309" s="2">
        <f t="shared" si="20"/>
        <v>0.36363636363636365</v>
      </c>
    </row>
    <row r="310" spans="1:17" x14ac:dyDescent="0.3">
      <c r="A310" s="3">
        <v>16</v>
      </c>
      <c r="B310" s="3">
        <v>6</v>
      </c>
      <c r="C310" s="6">
        <v>4.2</v>
      </c>
      <c r="D310" t="s">
        <v>20</v>
      </c>
      <c r="E310" s="3">
        <v>2000</v>
      </c>
      <c r="F310" s="6">
        <v>4.4000000000000004</v>
      </c>
      <c r="G310" t="s">
        <v>57</v>
      </c>
      <c r="H310" s="2">
        <v>0.78</v>
      </c>
      <c r="I310" s="3">
        <v>1800</v>
      </c>
      <c r="J310" s="3" t="str">
        <f t="shared" si="17"/>
        <v>Medium Price</v>
      </c>
      <c r="K310" t="s">
        <v>179</v>
      </c>
      <c r="L310" t="s">
        <v>33</v>
      </c>
      <c r="M310" t="s">
        <v>18</v>
      </c>
      <c r="N310">
        <v>0.75</v>
      </c>
      <c r="O310" t="str">
        <f t="shared" si="18"/>
        <v>Medium</v>
      </c>
      <c r="P310">
        <f t="shared" si="19"/>
        <v>10800</v>
      </c>
      <c r="Q310" s="2">
        <f t="shared" si="20"/>
        <v>0.375</v>
      </c>
    </row>
    <row r="311" spans="1:17" x14ac:dyDescent="0.3">
      <c r="A311" s="3">
        <v>40</v>
      </c>
      <c r="B311" s="3">
        <v>16</v>
      </c>
      <c r="C311" s="6">
        <v>4.4000000000000004</v>
      </c>
      <c r="D311" t="s">
        <v>13</v>
      </c>
      <c r="E311" s="3">
        <v>100</v>
      </c>
      <c r="F311" s="6">
        <v>4.3</v>
      </c>
      <c r="G311" t="s">
        <v>99</v>
      </c>
      <c r="H311" s="2">
        <v>0.82</v>
      </c>
      <c r="I311" s="3">
        <v>90</v>
      </c>
      <c r="J311" s="3" t="str">
        <f t="shared" si="17"/>
        <v>Low Price</v>
      </c>
      <c r="K311" t="s">
        <v>179</v>
      </c>
      <c r="L311" t="s">
        <v>24</v>
      </c>
      <c r="M311" t="s">
        <v>34</v>
      </c>
      <c r="N311">
        <v>0.75</v>
      </c>
      <c r="O311" t="str">
        <f t="shared" si="18"/>
        <v>Medium</v>
      </c>
      <c r="P311">
        <f t="shared" si="19"/>
        <v>1440</v>
      </c>
      <c r="Q311" s="2">
        <f t="shared" si="20"/>
        <v>0.4</v>
      </c>
    </row>
    <row r="312" spans="1:17" x14ac:dyDescent="0.3">
      <c r="A312" s="3">
        <v>29</v>
      </c>
      <c r="B312" s="3">
        <v>11</v>
      </c>
      <c r="C312" s="6">
        <v>4.3</v>
      </c>
      <c r="D312" t="s">
        <v>13</v>
      </c>
      <c r="E312" s="3">
        <v>600</v>
      </c>
      <c r="F312" s="6">
        <v>4.5</v>
      </c>
      <c r="G312" t="s">
        <v>31</v>
      </c>
      <c r="H312" s="2">
        <v>0.7</v>
      </c>
      <c r="I312" s="3">
        <v>500</v>
      </c>
      <c r="J312" s="3" t="str">
        <f t="shared" si="17"/>
        <v>Low Price</v>
      </c>
      <c r="K312" t="s">
        <v>179</v>
      </c>
      <c r="L312" t="s">
        <v>33</v>
      </c>
      <c r="M312" t="s">
        <v>18</v>
      </c>
      <c r="N312">
        <v>0.68</v>
      </c>
      <c r="O312" t="str">
        <f t="shared" si="18"/>
        <v>Medium</v>
      </c>
      <c r="P312">
        <f t="shared" si="19"/>
        <v>5500</v>
      </c>
      <c r="Q312" s="2">
        <f t="shared" si="20"/>
        <v>0.37931034482758619</v>
      </c>
    </row>
    <row r="313" spans="1:17" x14ac:dyDescent="0.3">
      <c r="A313" s="3">
        <v>13</v>
      </c>
      <c r="B313" s="3">
        <v>5</v>
      </c>
      <c r="C313" s="6">
        <v>3.7</v>
      </c>
      <c r="D313" t="s">
        <v>20</v>
      </c>
      <c r="E313" s="3">
        <v>5000</v>
      </c>
      <c r="F313" s="6">
        <v>3.9</v>
      </c>
      <c r="G313" t="s">
        <v>42</v>
      </c>
      <c r="H313" s="2">
        <v>0.6</v>
      </c>
      <c r="I313" s="3">
        <v>4500</v>
      </c>
      <c r="J313" s="3" t="str">
        <f t="shared" si="17"/>
        <v>Medium Price</v>
      </c>
      <c r="K313" t="s">
        <v>9</v>
      </c>
      <c r="L313" t="s">
        <v>17</v>
      </c>
      <c r="M313" t="s">
        <v>25</v>
      </c>
      <c r="N313">
        <v>0.65</v>
      </c>
      <c r="O313" t="str">
        <f t="shared" si="18"/>
        <v>Medium</v>
      </c>
      <c r="P313">
        <f t="shared" si="19"/>
        <v>22500</v>
      </c>
      <c r="Q313" s="2">
        <f t="shared" si="20"/>
        <v>0.38461538461538464</v>
      </c>
    </row>
    <row r="314" spans="1:17" x14ac:dyDescent="0.3">
      <c r="A314" s="3">
        <v>8</v>
      </c>
      <c r="B314" s="3">
        <v>3</v>
      </c>
      <c r="C314" s="6">
        <v>4.5999999999999996</v>
      </c>
      <c r="D314" t="s">
        <v>20</v>
      </c>
      <c r="E314" s="3">
        <v>800</v>
      </c>
      <c r="F314" s="6">
        <v>4.7</v>
      </c>
      <c r="G314" t="s">
        <v>83</v>
      </c>
      <c r="H314" s="2">
        <v>0.85</v>
      </c>
      <c r="I314" s="3">
        <v>700</v>
      </c>
      <c r="J314" s="3" t="str">
        <f t="shared" si="17"/>
        <v>Low Price</v>
      </c>
      <c r="K314" t="s">
        <v>179</v>
      </c>
      <c r="L314" t="s">
        <v>33</v>
      </c>
      <c r="M314" t="s">
        <v>18</v>
      </c>
      <c r="N314">
        <v>0.82</v>
      </c>
      <c r="O314" t="str">
        <f t="shared" si="18"/>
        <v>High</v>
      </c>
      <c r="P314">
        <f t="shared" si="19"/>
        <v>2100</v>
      </c>
      <c r="Q314" s="2">
        <f t="shared" si="20"/>
        <v>0.375</v>
      </c>
    </row>
    <row r="315" spans="1:17" x14ac:dyDescent="0.3">
      <c r="A315" s="3">
        <v>36</v>
      </c>
      <c r="B315" s="3">
        <v>14</v>
      </c>
      <c r="C315" s="6">
        <v>4.5</v>
      </c>
      <c r="D315" t="s">
        <v>13</v>
      </c>
      <c r="E315" s="3">
        <v>3000</v>
      </c>
      <c r="F315" s="6">
        <v>4.8</v>
      </c>
      <c r="G315" t="s">
        <v>66</v>
      </c>
      <c r="H315" s="2">
        <v>0.92</v>
      </c>
      <c r="I315" s="3">
        <v>2700</v>
      </c>
      <c r="J315" s="3" t="str">
        <f t="shared" si="17"/>
        <v>Medium Price</v>
      </c>
      <c r="K315" t="s">
        <v>9</v>
      </c>
      <c r="L315" t="s">
        <v>17</v>
      </c>
      <c r="M315" t="s">
        <v>25</v>
      </c>
      <c r="N315">
        <v>0.88</v>
      </c>
      <c r="O315" t="str">
        <f t="shared" si="18"/>
        <v>High</v>
      </c>
      <c r="P315">
        <f t="shared" si="19"/>
        <v>37800</v>
      </c>
      <c r="Q315" s="2">
        <f t="shared" si="20"/>
        <v>0.3888888888888889</v>
      </c>
    </row>
    <row r="316" spans="1:17" x14ac:dyDescent="0.3">
      <c r="A316" s="3">
        <v>21</v>
      </c>
      <c r="B316" s="3">
        <v>8</v>
      </c>
      <c r="C316" s="6">
        <v>4.2</v>
      </c>
      <c r="D316" t="s">
        <v>20</v>
      </c>
      <c r="E316" s="3">
        <v>700</v>
      </c>
      <c r="F316" s="6">
        <v>4.3</v>
      </c>
      <c r="G316" t="s">
        <v>39</v>
      </c>
      <c r="H316" s="2">
        <v>0.78</v>
      </c>
      <c r="I316" s="3">
        <v>600</v>
      </c>
      <c r="J316" s="3" t="str">
        <f t="shared" si="17"/>
        <v>Low Price</v>
      </c>
      <c r="K316" t="s">
        <v>179</v>
      </c>
      <c r="L316" t="s">
        <v>33</v>
      </c>
      <c r="M316" t="s">
        <v>18</v>
      </c>
      <c r="N316">
        <v>0.72</v>
      </c>
      <c r="O316" t="str">
        <f t="shared" si="18"/>
        <v>Medium</v>
      </c>
      <c r="P316">
        <f t="shared" si="19"/>
        <v>4800</v>
      </c>
      <c r="Q316" s="2">
        <f t="shared" si="20"/>
        <v>0.38095238095238093</v>
      </c>
    </row>
    <row r="317" spans="1:17" x14ac:dyDescent="0.3">
      <c r="A317" s="3">
        <v>45</v>
      </c>
      <c r="B317" s="3">
        <v>18</v>
      </c>
      <c r="C317" s="6">
        <v>4.8</v>
      </c>
      <c r="D317" t="s">
        <v>13</v>
      </c>
      <c r="E317" s="3">
        <v>2000</v>
      </c>
      <c r="F317" s="6">
        <v>4.7</v>
      </c>
      <c r="G317" t="s">
        <v>21</v>
      </c>
      <c r="H317" s="2">
        <v>0.8</v>
      </c>
      <c r="I317" s="3">
        <v>1800</v>
      </c>
      <c r="J317" s="3" t="str">
        <f t="shared" si="17"/>
        <v>Medium Price</v>
      </c>
      <c r="K317" t="s">
        <v>179</v>
      </c>
      <c r="L317" t="s">
        <v>17</v>
      </c>
      <c r="M317" t="s">
        <v>18</v>
      </c>
      <c r="N317">
        <v>0.75</v>
      </c>
      <c r="O317" t="str">
        <f t="shared" si="18"/>
        <v>Medium</v>
      </c>
      <c r="P317">
        <f t="shared" si="19"/>
        <v>32400</v>
      </c>
      <c r="Q317" s="2">
        <f t="shared" si="20"/>
        <v>0.4</v>
      </c>
    </row>
    <row r="318" spans="1:17" x14ac:dyDescent="0.3">
      <c r="A318" s="3">
        <v>10</v>
      </c>
      <c r="B318" s="3">
        <v>4</v>
      </c>
      <c r="C318" s="6">
        <v>3.9</v>
      </c>
      <c r="D318" t="s">
        <v>13</v>
      </c>
      <c r="E318" s="3">
        <v>400</v>
      </c>
      <c r="F318" s="6">
        <v>3.8</v>
      </c>
      <c r="G318" t="s">
        <v>78</v>
      </c>
      <c r="H318" s="2">
        <v>0.45</v>
      </c>
      <c r="I318" s="3">
        <v>300</v>
      </c>
      <c r="J318" s="3" t="str">
        <f t="shared" si="17"/>
        <v>Low Price</v>
      </c>
      <c r="K318" t="s">
        <v>9</v>
      </c>
      <c r="L318" t="s">
        <v>33</v>
      </c>
      <c r="M318" t="s">
        <v>18</v>
      </c>
      <c r="N318">
        <v>0.4</v>
      </c>
      <c r="O318" t="str">
        <f t="shared" si="18"/>
        <v>Medium</v>
      </c>
      <c r="P318">
        <f t="shared" si="19"/>
        <v>1200</v>
      </c>
      <c r="Q318" s="2">
        <f t="shared" si="20"/>
        <v>0.4</v>
      </c>
    </row>
    <row r="319" spans="1:17" x14ac:dyDescent="0.3">
      <c r="A319" s="3">
        <v>27</v>
      </c>
      <c r="B319" s="3">
        <v>10</v>
      </c>
      <c r="C319" s="6">
        <v>4.0999999999999996</v>
      </c>
      <c r="D319" t="s">
        <v>20</v>
      </c>
      <c r="E319" s="3">
        <v>1000</v>
      </c>
      <c r="F319" s="6">
        <v>4.2</v>
      </c>
      <c r="G319" t="s">
        <v>57</v>
      </c>
      <c r="H319" s="2">
        <v>0.68</v>
      </c>
      <c r="I319" s="3">
        <v>900</v>
      </c>
      <c r="J319" s="3" t="str">
        <f t="shared" si="17"/>
        <v>Low Price</v>
      </c>
      <c r="K319" t="s">
        <v>179</v>
      </c>
      <c r="L319" t="s">
        <v>17</v>
      </c>
      <c r="M319" t="s">
        <v>25</v>
      </c>
      <c r="N319">
        <v>0.62</v>
      </c>
      <c r="O319" t="str">
        <f t="shared" si="18"/>
        <v>Medium</v>
      </c>
      <c r="P319">
        <f t="shared" si="19"/>
        <v>9000</v>
      </c>
      <c r="Q319" s="2">
        <f t="shared" si="20"/>
        <v>0.37037037037037035</v>
      </c>
    </row>
    <row r="320" spans="1:17" x14ac:dyDescent="0.3">
      <c r="A320" s="3">
        <v>17</v>
      </c>
      <c r="B320" s="3">
        <v>7</v>
      </c>
      <c r="C320" s="6">
        <v>3.5</v>
      </c>
      <c r="D320" t="s">
        <v>13</v>
      </c>
      <c r="E320" s="3">
        <v>900</v>
      </c>
      <c r="F320" s="6">
        <v>3.7</v>
      </c>
      <c r="G320" t="s">
        <v>53</v>
      </c>
      <c r="H320" s="2">
        <v>0.55000000000000004</v>
      </c>
      <c r="I320" s="3">
        <v>800</v>
      </c>
      <c r="J320" s="3" t="str">
        <f t="shared" si="17"/>
        <v>Low Price</v>
      </c>
      <c r="K320" t="s">
        <v>9</v>
      </c>
      <c r="L320" t="s">
        <v>33</v>
      </c>
      <c r="M320" t="s">
        <v>18</v>
      </c>
      <c r="N320">
        <v>0.5</v>
      </c>
      <c r="O320" t="str">
        <f t="shared" si="18"/>
        <v>Medium</v>
      </c>
      <c r="P320">
        <f t="shared" si="19"/>
        <v>5600</v>
      </c>
      <c r="Q320" s="2">
        <f t="shared" si="20"/>
        <v>0.41176470588235292</v>
      </c>
    </row>
    <row r="321" spans="1:17" x14ac:dyDescent="0.3">
      <c r="A321" s="3">
        <v>33</v>
      </c>
      <c r="B321" s="3">
        <v>13</v>
      </c>
      <c r="C321" s="6">
        <v>4.5999999999999996</v>
      </c>
      <c r="D321" t="s">
        <v>20</v>
      </c>
      <c r="E321" s="3">
        <v>1500</v>
      </c>
      <c r="F321" s="6">
        <v>4.5</v>
      </c>
      <c r="G321" t="s">
        <v>65</v>
      </c>
      <c r="H321" s="2">
        <v>0.75</v>
      </c>
      <c r="I321" s="3">
        <v>1400</v>
      </c>
      <c r="J321" s="3" t="str">
        <f t="shared" si="17"/>
        <v>Medium Price</v>
      </c>
      <c r="K321" t="s">
        <v>179</v>
      </c>
      <c r="L321" t="s">
        <v>24</v>
      </c>
      <c r="M321" t="s">
        <v>34</v>
      </c>
      <c r="N321">
        <v>0.78</v>
      </c>
      <c r="O321" t="str">
        <f t="shared" si="18"/>
        <v>Medium</v>
      </c>
      <c r="P321">
        <f t="shared" si="19"/>
        <v>18200</v>
      </c>
      <c r="Q321" s="2">
        <f t="shared" si="20"/>
        <v>0.39393939393939392</v>
      </c>
    </row>
    <row r="322" spans="1:17" x14ac:dyDescent="0.3">
      <c r="A322" s="3">
        <v>5</v>
      </c>
      <c r="B322" s="3">
        <v>2</v>
      </c>
      <c r="C322" s="6">
        <v>3.2</v>
      </c>
      <c r="D322" t="s">
        <v>13</v>
      </c>
      <c r="E322" s="3">
        <v>600</v>
      </c>
      <c r="F322" s="6">
        <v>3.3</v>
      </c>
      <c r="G322" t="s">
        <v>74</v>
      </c>
      <c r="H322" s="2">
        <v>0.4</v>
      </c>
      <c r="I322" s="3">
        <v>500</v>
      </c>
      <c r="J322" s="3" t="str">
        <f t="shared" ref="J322:J385" si="21">IF(I322&gt;5000, "High Price", IF(I322&gt;=1000, "Medium Price", IF(I322&lt;1000, "Low Price")))</f>
        <v>Low Price</v>
      </c>
      <c r="K322" t="s">
        <v>9</v>
      </c>
      <c r="L322" t="s">
        <v>17</v>
      </c>
      <c r="M322" t="s">
        <v>25</v>
      </c>
      <c r="N322">
        <v>0.45</v>
      </c>
      <c r="O322" t="str">
        <f t="shared" ref="O322:O385" si="22">IF(N322&gt;=0.8,"High",IF(N322&gt;=0.4,"Medium",IF(N322&lt;0.4,"Low")))</f>
        <v>Medium</v>
      </c>
      <c r="P322">
        <f t="shared" si="19"/>
        <v>1000</v>
      </c>
      <c r="Q322" s="2">
        <f t="shared" si="20"/>
        <v>0.4</v>
      </c>
    </row>
    <row r="323" spans="1:17" x14ac:dyDescent="0.3">
      <c r="A323" s="3">
        <v>39</v>
      </c>
      <c r="B323" s="3">
        <v>15</v>
      </c>
      <c r="C323" s="6">
        <v>4.7</v>
      </c>
      <c r="D323" t="s">
        <v>13</v>
      </c>
      <c r="E323" s="3">
        <v>100</v>
      </c>
      <c r="F323" s="6">
        <v>4.5999999999999996</v>
      </c>
      <c r="G323" t="s">
        <v>71</v>
      </c>
      <c r="H323" s="2">
        <v>0.85</v>
      </c>
      <c r="I323" s="3">
        <v>90</v>
      </c>
      <c r="J323" s="3" t="str">
        <f t="shared" si="21"/>
        <v>Low Price</v>
      </c>
      <c r="K323" t="s">
        <v>179</v>
      </c>
      <c r="L323" t="s">
        <v>33</v>
      </c>
      <c r="M323" t="s">
        <v>18</v>
      </c>
      <c r="N323">
        <v>0.82</v>
      </c>
      <c r="O323" t="str">
        <f t="shared" si="22"/>
        <v>High</v>
      </c>
      <c r="P323">
        <f t="shared" ref="P323:P386" si="23">I323*B323</f>
        <v>1350</v>
      </c>
      <c r="Q323" s="2">
        <f t="shared" ref="Q323:Q386" si="24">B323/A323</f>
        <v>0.38461538461538464</v>
      </c>
    </row>
    <row r="324" spans="1:17" x14ac:dyDescent="0.3">
      <c r="A324" s="3">
        <v>24</v>
      </c>
      <c r="B324" s="3">
        <v>9</v>
      </c>
      <c r="C324" s="6">
        <v>4.4000000000000004</v>
      </c>
      <c r="D324" t="s">
        <v>20</v>
      </c>
      <c r="E324" s="3">
        <v>2000</v>
      </c>
      <c r="F324" s="6">
        <v>4.5</v>
      </c>
      <c r="G324" t="s">
        <v>27</v>
      </c>
      <c r="H324" s="2">
        <v>0.9</v>
      </c>
      <c r="I324" s="3">
        <v>1800</v>
      </c>
      <c r="J324" s="3" t="str">
        <f t="shared" si="21"/>
        <v>Medium Price</v>
      </c>
      <c r="K324" t="s">
        <v>9</v>
      </c>
      <c r="L324" t="s">
        <v>17</v>
      </c>
      <c r="M324" t="s">
        <v>18</v>
      </c>
      <c r="N324">
        <v>0.88</v>
      </c>
      <c r="O324" t="str">
        <f t="shared" si="22"/>
        <v>High</v>
      </c>
      <c r="P324">
        <f t="shared" si="23"/>
        <v>16200</v>
      </c>
      <c r="Q324" s="2">
        <f t="shared" si="24"/>
        <v>0.375</v>
      </c>
    </row>
    <row r="325" spans="1:17" x14ac:dyDescent="0.3">
      <c r="A325" s="3">
        <v>12</v>
      </c>
      <c r="B325" s="3">
        <v>4</v>
      </c>
      <c r="C325" s="6">
        <v>3.8</v>
      </c>
      <c r="D325" t="s">
        <v>13</v>
      </c>
      <c r="E325" s="3">
        <v>500</v>
      </c>
      <c r="F325" s="6">
        <v>3.7</v>
      </c>
      <c r="G325" t="s">
        <v>47</v>
      </c>
      <c r="H325" s="2">
        <v>0.62</v>
      </c>
      <c r="I325" s="3">
        <v>400</v>
      </c>
      <c r="J325" s="3" t="str">
        <f t="shared" si="21"/>
        <v>Low Price</v>
      </c>
      <c r="K325" t="s">
        <v>179</v>
      </c>
      <c r="L325" t="s">
        <v>33</v>
      </c>
      <c r="M325" t="s">
        <v>18</v>
      </c>
      <c r="N325">
        <v>0.6</v>
      </c>
      <c r="O325" t="str">
        <f t="shared" si="22"/>
        <v>Medium</v>
      </c>
      <c r="P325">
        <f t="shared" si="23"/>
        <v>1600</v>
      </c>
      <c r="Q325" s="2">
        <f t="shared" si="24"/>
        <v>0.33333333333333331</v>
      </c>
    </row>
    <row r="326" spans="1:17" x14ac:dyDescent="0.3">
      <c r="A326" s="3">
        <v>41</v>
      </c>
      <c r="B326" s="3">
        <v>16</v>
      </c>
      <c r="C326" s="6">
        <v>4.3</v>
      </c>
      <c r="D326" t="s">
        <v>20</v>
      </c>
      <c r="E326" s="3">
        <v>3000</v>
      </c>
      <c r="F326" s="6">
        <v>4.4000000000000004</v>
      </c>
      <c r="G326" t="s">
        <v>35</v>
      </c>
      <c r="H326" s="2">
        <v>0.72</v>
      </c>
      <c r="I326" s="3">
        <v>2800</v>
      </c>
      <c r="J326" s="3" t="str">
        <f t="shared" si="21"/>
        <v>Medium Price</v>
      </c>
      <c r="K326" t="s">
        <v>9</v>
      </c>
      <c r="L326" t="s">
        <v>17</v>
      </c>
      <c r="M326" t="s">
        <v>25</v>
      </c>
      <c r="N326">
        <v>0.75</v>
      </c>
      <c r="O326" t="str">
        <f t="shared" si="22"/>
        <v>Medium</v>
      </c>
      <c r="P326">
        <f t="shared" si="23"/>
        <v>44800</v>
      </c>
      <c r="Q326" s="2">
        <f t="shared" si="24"/>
        <v>0.3902439024390244</v>
      </c>
    </row>
    <row r="327" spans="1:17" x14ac:dyDescent="0.3">
      <c r="A327" s="3">
        <v>19</v>
      </c>
      <c r="B327" s="3">
        <v>7</v>
      </c>
      <c r="C327" s="6">
        <v>3.9</v>
      </c>
      <c r="D327" t="s">
        <v>13</v>
      </c>
      <c r="E327" s="3">
        <v>800</v>
      </c>
      <c r="F327" s="6">
        <v>4</v>
      </c>
      <c r="G327" t="s">
        <v>100</v>
      </c>
      <c r="H327" s="2">
        <v>0.5</v>
      </c>
      <c r="I327" s="3">
        <v>700</v>
      </c>
      <c r="J327" s="3" t="str">
        <f t="shared" si="21"/>
        <v>Low Price</v>
      </c>
      <c r="K327" t="s">
        <v>179</v>
      </c>
      <c r="L327" t="s">
        <v>33</v>
      </c>
      <c r="M327" t="s">
        <v>18</v>
      </c>
      <c r="N327">
        <v>0.45</v>
      </c>
      <c r="O327" t="str">
        <f t="shared" si="22"/>
        <v>Medium</v>
      </c>
      <c r="P327">
        <f t="shared" si="23"/>
        <v>4900</v>
      </c>
      <c r="Q327" s="2">
        <f t="shared" si="24"/>
        <v>0.36842105263157893</v>
      </c>
    </row>
    <row r="328" spans="1:17" x14ac:dyDescent="0.3">
      <c r="A328" s="3">
        <v>30</v>
      </c>
      <c r="B328" s="3">
        <v>11</v>
      </c>
      <c r="C328" s="6">
        <v>4.5</v>
      </c>
      <c r="D328" t="s">
        <v>20</v>
      </c>
      <c r="E328" s="3">
        <v>1000</v>
      </c>
      <c r="F328" s="6">
        <v>4.5999999999999996</v>
      </c>
      <c r="G328" t="s">
        <v>14</v>
      </c>
      <c r="H328" s="2">
        <v>0.82</v>
      </c>
      <c r="I328" s="3">
        <v>900</v>
      </c>
      <c r="J328" s="3" t="str">
        <f t="shared" si="21"/>
        <v>Low Price</v>
      </c>
      <c r="K328" t="s">
        <v>179</v>
      </c>
      <c r="L328" t="s">
        <v>17</v>
      </c>
      <c r="M328" t="s">
        <v>25</v>
      </c>
      <c r="N328">
        <v>0.78</v>
      </c>
      <c r="O328" t="str">
        <f t="shared" si="22"/>
        <v>Medium</v>
      </c>
      <c r="P328">
        <f t="shared" si="23"/>
        <v>9900</v>
      </c>
      <c r="Q328" s="2">
        <f t="shared" si="24"/>
        <v>0.36666666666666664</v>
      </c>
    </row>
    <row r="329" spans="1:17" x14ac:dyDescent="0.3">
      <c r="A329" s="3">
        <v>14</v>
      </c>
      <c r="B329" s="3">
        <v>5</v>
      </c>
      <c r="C329" s="6">
        <v>3.6</v>
      </c>
      <c r="D329" t="s">
        <v>13</v>
      </c>
      <c r="E329" s="3">
        <v>700</v>
      </c>
      <c r="F329" s="6">
        <v>3.5</v>
      </c>
      <c r="G329" t="s">
        <v>60</v>
      </c>
      <c r="H329" s="2">
        <v>0.4</v>
      </c>
      <c r="I329" s="3">
        <v>600</v>
      </c>
      <c r="J329" s="3" t="str">
        <f t="shared" si="21"/>
        <v>Low Price</v>
      </c>
      <c r="K329" t="s">
        <v>9</v>
      </c>
      <c r="L329" t="s">
        <v>33</v>
      </c>
      <c r="M329" t="s">
        <v>18</v>
      </c>
      <c r="N329">
        <v>0.35</v>
      </c>
      <c r="O329" t="str">
        <f t="shared" si="22"/>
        <v>Low</v>
      </c>
      <c r="P329">
        <f t="shared" si="23"/>
        <v>3000</v>
      </c>
      <c r="Q329" s="2">
        <f t="shared" si="24"/>
        <v>0.35714285714285715</v>
      </c>
    </row>
    <row r="330" spans="1:17" x14ac:dyDescent="0.3">
      <c r="A330" s="3">
        <v>28</v>
      </c>
      <c r="B330" s="3">
        <v>10</v>
      </c>
      <c r="C330" s="6">
        <v>4.8</v>
      </c>
      <c r="D330" t="s">
        <v>13</v>
      </c>
      <c r="E330" s="3">
        <v>1500</v>
      </c>
      <c r="F330" s="6">
        <v>4.7</v>
      </c>
      <c r="G330" t="s">
        <v>68</v>
      </c>
      <c r="H330" s="2">
        <v>0.75</v>
      </c>
      <c r="I330" s="3">
        <v>1400</v>
      </c>
      <c r="J330" s="3" t="str">
        <f t="shared" si="21"/>
        <v>Medium Price</v>
      </c>
      <c r="K330" t="s">
        <v>179</v>
      </c>
      <c r="L330" t="s">
        <v>24</v>
      </c>
      <c r="M330" t="s">
        <v>34</v>
      </c>
      <c r="N330">
        <v>0.7</v>
      </c>
      <c r="O330" t="str">
        <f t="shared" si="22"/>
        <v>Medium</v>
      </c>
      <c r="P330">
        <f t="shared" si="23"/>
        <v>14000</v>
      </c>
      <c r="Q330" s="2">
        <f t="shared" si="24"/>
        <v>0.35714285714285715</v>
      </c>
    </row>
    <row r="331" spans="1:17" x14ac:dyDescent="0.3">
      <c r="A331" s="3">
        <v>8</v>
      </c>
      <c r="B331" s="3">
        <v>3</v>
      </c>
      <c r="C331" s="6">
        <v>3.3</v>
      </c>
      <c r="D331" t="s">
        <v>20</v>
      </c>
      <c r="E331" s="3">
        <v>6000</v>
      </c>
      <c r="F331" s="6">
        <v>3.5</v>
      </c>
      <c r="G331" t="s">
        <v>102</v>
      </c>
      <c r="H331" s="2">
        <v>0.35</v>
      </c>
      <c r="I331" s="3">
        <v>550</v>
      </c>
      <c r="J331" s="3" t="str">
        <f t="shared" si="21"/>
        <v>Low Price</v>
      </c>
      <c r="K331" t="s">
        <v>9</v>
      </c>
      <c r="L331" t="s">
        <v>17</v>
      </c>
      <c r="M331" t="s">
        <v>25</v>
      </c>
      <c r="N331">
        <v>0.3</v>
      </c>
      <c r="O331" t="str">
        <f t="shared" si="22"/>
        <v>Low</v>
      </c>
      <c r="P331">
        <f t="shared" si="23"/>
        <v>1650</v>
      </c>
      <c r="Q331" s="2">
        <f t="shared" si="24"/>
        <v>0.375</v>
      </c>
    </row>
    <row r="332" spans="1:17" x14ac:dyDescent="0.3">
      <c r="A332" s="3">
        <v>25</v>
      </c>
      <c r="B332" s="3">
        <v>9</v>
      </c>
      <c r="C332" s="6">
        <v>4.2</v>
      </c>
      <c r="D332" t="s">
        <v>13</v>
      </c>
      <c r="E332" s="3">
        <v>200</v>
      </c>
      <c r="F332" s="6">
        <v>4.4000000000000004</v>
      </c>
      <c r="G332" t="s">
        <v>44</v>
      </c>
      <c r="H332" s="2">
        <v>0.68</v>
      </c>
      <c r="I332" s="3">
        <v>190</v>
      </c>
      <c r="J332" s="3" t="str">
        <f t="shared" si="21"/>
        <v>Low Price</v>
      </c>
      <c r="K332" t="s">
        <v>179</v>
      </c>
      <c r="L332" t="s">
        <v>33</v>
      </c>
      <c r="M332" t="s">
        <v>18</v>
      </c>
      <c r="N332">
        <v>0.65</v>
      </c>
      <c r="O332" t="str">
        <f t="shared" si="22"/>
        <v>Medium</v>
      </c>
      <c r="P332">
        <f t="shared" si="23"/>
        <v>1710</v>
      </c>
      <c r="Q332" s="2">
        <f t="shared" si="24"/>
        <v>0.36</v>
      </c>
    </row>
    <row r="333" spans="1:17" x14ac:dyDescent="0.3">
      <c r="A333" s="3">
        <v>35</v>
      </c>
      <c r="B333" s="3">
        <v>14</v>
      </c>
      <c r="C333" s="6">
        <v>4.5999999999999996</v>
      </c>
      <c r="D333" t="s">
        <v>20</v>
      </c>
      <c r="E333" s="3">
        <v>1000</v>
      </c>
      <c r="F333" s="6">
        <v>4.7</v>
      </c>
      <c r="G333" t="s">
        <v>39</v>
      </c>
      <c r="H333" s="2">
        <v>0.88</v>
      </c>
      <c r="I333" s="3">
        <v>950</v>
      </c>
      <c r="J333" s="3" t="str">
        <f t="shared" si="21"/>
        <v>Low Price</v>
      </c>
      <c r="K333" t="s">
        <v>179</v>
      </c>
      <c r="L333" t="s">
        <v>17</v>
      </c>
      <c r="M333" t="s">
        <v>25</v>
      </c>
      <c r="N333">
        <v>0.85</v>
      </c>
      <c r="O333" t="str">
        <f t="shared" si="22"/>
        <v>High</v>
      </c>
      <c r="P333">
        <f t="shared" si="23"/>
        <v>13300</v>
      </c>
      <c r="Q333" s="2">
        <f t="shared" si="24"/>
        <v>0.4</v>
      </c>
    </row>
    <row r="334" spans="1:17" x14ac:dyDescent="0.3">
      <c r="A334" s="3">
        <v>9</v>
      </c>
      <c r="B334" s="3">
        <v>4</v>
      </c>
      <c r="C334" s="6">
        <v>4.0999999999999996</v>
      </c>
      <c r="D334" t="s">
        <v>20</v>
      </c>
      <c r="E334" s="3">
        <v>400</v>
      </c>
      <c r="F334" s="6">
        <v>4.3</v>
      </c>
      <c r="G334" t="s">
        <v>55</v>
      </c>
      <c r="H334" s="2">
        <v>0.72</v>
      </c>
      <c r="I334" s="3">
        <v>300</v>
      </c>
      <c r="J334" s="3" t="str">
        <f t="shared" si="21"/>
        <v>Low Price</v>
      </c>
      <c r="K334" t="s">
        <v>179</v>
      </c>
      <c r="L334" t="s">
        <v>33</v>
      </c>
      <c r="M334" t="s">
        <v>18</v>
      </c>
      <c r="N334">
        <v>0.68</v>
      </c>
      <c r="O334" t="str">
        <f t="shared" si="22"/>
        <v>Medium</v>
      </c>
      <c r="P334">
        <f t="shared" si="23"/>
        <v>1200</v>
      </c>
      <c r="Q334" s="2">
        <f t="shared" si="24"/>
        <v>0.44444444444444442</v>
      </c>
    </row>
    <row r="335" spans="1:17" x14ac:dyDescent="0.3">
      <c r="A335" s="3">
        <v>20</v>
      </c>
      <c r="B335" s="3">
        <v>8</v>
      </c>
      <c r="C335" s="6">
        <v>3.7</v>
      </c>
      <c r="D335" t="s">
        <v>13</v>
      </c>
      <c r="E335" s="3">
        <v>900</v>
      </c>
      <c r="F335" s="6">
        <v>3.9</v>
      </c>
      <c r="G335" t="s">
        <v>69</v>
      </c>
      <c r="H335" s="2">
        <v>0.55000000000000004</v>
      </c>
      <c r="I335" s="3">
        <v>800</v>
      </c>
      <c r="J335" s="3" t="str">
        <f t="shared" si="21"/>
        <v>Low Price</v>
      </c>
      <c r="K335" t="s">
        <v>9</v>
      </c>
      <c r="L335" t="s">
        <v>17</v>
      </c>
      <c r="M335" t="s">
        <v>18</v>
      </c>
      <c r="N335">
        <v>0.5</v>
      </c>
      <c r="O335" t="str">
        <f t="shared" si="22"/>
        <v>Medium</v>
      </c>
      <c r="P335">
        <f t="shared" si="23"/>
        <v>6400</v>
      </c>
      <c r="Q335" s="2">
        <f t="shared" si="24"/>
        <v>0.4</v>
      </c>
    </row>
    <row r="336" spans="1:17" x14ac:dyDescent="0.3">
      <c r="A336" s="3">
        <v>16</v>
      </c>
      <c r="B336" s="3">
        <v>6</v>
      </c>
      <c r="C336" s="6">
        <v>3.8</v>
      </c>
      <c r="D336" t="s">
        <v>20</v>
      </c>
      <c r="E336" s="3">
        <v>700</v>
      </c>
      <c r="F336" s="6">
        <v>4</v>
      </c>
      <c r="G336" t="s">
        <v>70</v>
      </c>
      <c r="H336" s="2">
        <v>0.62</v>
      </c>
      <c r="I336" s="3">
        <v>600</v>
      </c>
      <c r="J336" s="3" t="str">
        <f t="shared" si="21"/>
        <v>Low Price</v>
      </c>
      <c r="K336" t="s">
        <v>179</v>
      </c>
      <c r="L336" t="s">
        <v>33</v>
      </c>
      <c r="M336" t="s">
        <v>18</v>
      </c>
      <c r="N336">
        <v>0.6</v>
      </c>
      <c r="O336" t="str">
        <f t="shared" si="22"/>
        <v>Medium</v>
      </c>
      <c r="P336">
        <f t="shared" si="23"/>
        <v>3600</v>
      </c>
      <c r="Q336" s="2">
        <f t="shared" si="24"/>
        <v>0.375</v>
      </c>
    </row>
    <row r="337" spans="1:17" x14ac:dyDescent="0.3">
      <c r="A337" s="3">
        <v>32</v>
      </c>
      <c r="B337" s="3">
        <v>12</v>
      </c>
      <c r="C337" s="6">
        <v>4.4000000000000004</v>
      </c>
      <c r="D337" t="s">
        <v>13</v>
      </c>
      <c r="E337" s="3">
        <v>2000</v>
      </c>
      <c r="F337" s="6">
        <v>4.5</v>
      </c>
      <c r="G337" t="s">
        <v>75</v>
      </c>
      <c r="H337" s="2">
        <v>0.8</v>
      </c>
      <c r="I337" s="3">
        <v>1800</v>
      </c>
      <c r="J337" s="3" t="str">
        <f t="shared" si="21"/>
        <v>Medium Price</v>
      </c>
      <c r="K337" t="s">
        <v>9</v>
      </c>
      <c r="L337" t="s">
        <v>17</v>
      </c>
      <c r="M337" t="s">
        <v>18</v>
      </c>
      <c r="N337">
        <v>0.78</v>
      </c>
      <c r="O337" t="str">
        <f t="shared" si="22"/>
        <v>Medium</v>
      </c>
      <c r="P337">
        <f t="shared" si="23"/>
        <v>21600</v>
      </c>
      <c r="Q337" s="2">
        <f t="shared" si="24"/>
        <v>0.375</v>
      </c>
    </row>
    <row r="338" spans="1:17" x14ac:dyDescent="0.3">
      <c r="A338" s="3">
        <v>10</v>
      </c>
      <c r="B338" s="3">
        <v>3</v>
      </c>
      <c r="C338" s="6">
        <v>4</v>
      </c>
      <c r="D338" t="s">
        <v>20</v>
      </c>
      <c r="E338" s="3">
        <v>600</v>
      </c>
      <c r="F338" s="6">
        <v>4.0999999999999996</v>
      </c>
      <c r="G338" t="s">
        <v>27</v>
      </c>
      <c r="H338" s="2">
        <v>0.75</v>
      </c>
      <c r="I338" s="3">
        <v>500</v>
      </c>
      <c r="J338" s="3" t="str">
        <f t="shared" si="21"/>
        <v>Low Price</v>
      </c>
      <c r="K338" t="s">
        <v>179</v>
      </c>
      <c r="L338" t="s">
        <v>33</v>
      </c>
      <c r="M338" t="s">
        <v>18</v>
      </c>
      <c r="N338">
        <v>0.72</v>
      </c>
      <c r="O338" t="str">
        <f t="shared" si="22"/>
        <v>Medium</v>
      </c>
      <c r="P338">
        <f t="shared" si="23"/>
        <v>1500</v>
      </c>
      <c r="Q338" s="2">
        <f t="shared" si="24"/>
        <v>0.3</v>
      </c>
    </row>
    <row r="339" spans="1:17" x14ac:dyDescent="0.3">
      <c r="A339" s="3">
        <v>24</v>
      </c>
      <c r="B339" s="3">
        <v>9</v>
      </c>
      <c r="C339" s="6">
        <v>4.5999999999999996</v>
      </c>
      <c r="D339" t="s">
        <v>13</v>
      </c>
      <c r="E339" s="3">
        <v>1000</v>
      </c>
      <c r="F339" s="6">
        <v>4.7</v>
      </c>
      <c r="G339" t="s">
        <v>48</v>
      </c>
      <c r="H339" s="2">
        <v>0.88</v>
      </c>
      <c r="I339" s="3">
        <v>900</v>
      </c>
      <c r="J339" s="3" t="str">
        <f t="shared" si="21"/>
        <v>Low Price</v>
      </c>
      <c r="K339" t="s">
        <v>179</v>
      </c>
      <c r="L339" t="s">
        <v>17</v>
      </c>
      <c r="M339" t="s">
        <v>25</v>
      </c>
      <c r="N339">
        <v>0.85</v>
      </c>
      <c r="O339" t="str">
        <f t="shared" si="22"/>
        <v>High</v>
      </c>
      <c r="P339">
        <f t="shared" si="23"/>
        <v>8100</v>
      </c>
      <c r="Q339" s="2">
        <f t="shared" si="24"/>
        <v>0.375</v>
      </c>
    </row>
    <row r="340" spans="1:17" x14ac:dyDescent="0.3">
      <c r="A340" s="3">
        <v>7</v>
      </c>
      <c r="B340" s="3">
        <v>2</v>
      </c>
      <c r="C340" s="6">
        <v>3.5</v>
      </c>
      <c r="D340" t="s">
        <v>20</v>
      </c>
      <c r="E340" s="3">
        <v>5000</v>
      </c>
      <c r="F340" s="6">
        <v>3.7</v>
      </c>
      <c r="G340" t="s">
        <v>80</v>
      </c>
      <c r="H340" s="2">
        <v>0.4</v>
      </c>
      <c r="I340" s="3">
        <v>4500</v>
      </c>
      <c r="J340" s="3" t="str">
        <f t="shared" si="21"/>
        <v>Medium Price</v>
      </c>
      <c r="K340" t="s">
        <v>9</v>
      </c>
      <c r="L340" t="s">
        <v>33</v>
      </c>
      <c r="M340" t="s">
        <v>34</v>
      </c>
      <c r="N340">
        <v>0.45</v>
      </c>
      <c r="O340" t="str">
        <f t="shared" si="22"/>
        <v>Medium</v>
      </c>
      <c r="P340">
        <f t="shared" si="23"/>
        <v>9000</v>
      </c>
      <c r="Q340" s="2">
        <f t="shared" si="24"/>
        <v>0.2857142857142857</v>
      </c>
    </row>
    <row r="341" spans="1:17" x14ac:dyDescent="0.3">
      <c r="A341" s="3">
        <v>39</v>
      </c>
      <c r="B341" s="3">
        <v>15</v>
      </c>
      <c r="C341" s="6">
        <v>4.9000000000000004</v>
      </c>
      <c r="D341" t="s">
        <v>13</v>
      </c>
      <c r="E341" s="3">
        <v>300</v>
      </c>
      <c r="F341" s="6">
        <v>4.8</v>
      </c>
      <c r="G341" t="s">
        <v>48</v>
      </c>
      <c r="H341" s="2">
        <v>0.92</v>
      </c>
      <c r="I341" s="3">
        <v>280</v>
      </c>
      <c r="J341" s="3" t="str">
        <f t="shared" si="21"/>
        <v>Low Price</v>
      </c>
      <c r="K341" t="s">
        <v>179</v>
      </c>
      <c r="L341" t="s">
        <v>24</v>
      </c>
      <c r="M341" t="s">
        <v>34</v>
      </c>
      <c r="N341">
        <v>0.88</v>
      </c>
      <c r="O341" t="str">
        <f t="shared" si="22"/>
        <v>High</v>
      </c>
      <c r="P341">
        <f t="shared" si="23"/>
        <v>4200</v>
      </c>
      <c r="Q341" s="2">
        <f t="shared" si="24"/>
        <v>0.38461538461538464</v>
      </c>
    </row>
    <row r="342" spans="1:17" x14ac:dyDescent="0.3">
      <c r="A342" s="3">
        <v>18</v>
      </c>
      <c r="B342" s="3">
        <v>7</v>
      </c>
      <c r="C342" s="6">
        <v>4.3</v>
      </c>
      <c r="D342" t="s">
        <v>20</v>
      </c>
      <c r="E342" s="3">
        <v>900</v>
      </c>
      <c r="F342" s="6">
        <v>4.4000000000000004</v>
      </c>
      <c r="G342" t="s">
        <v>66</v>
      </c>
      <c r="H342" s="2">
        <v>0.78</v>
      </c>
      <c r="I342" s="3">
        <v>800</v>
      </c>
      <c r="J342" s="3" t="str">
        <f t="shared" si="21"/>
        <v>Low Price</v>
      </c>
      <c r="K342" t="s">
        <v>179</v>
      </c>
      <c r="L342" t="s">
        <v>33</v>
      </c>
      <c r="M342" t="s">
        <v>18</v>
      </c>
      <c r="N342">
        <v>0.75</v>
      </c>
      <c r="O342" t="str">
        <f t="shared" si="22"/>
        <v>Medium</v>
      </c>
      <c r="P342">
        <f t="shared" si="23"/>
        <v>5600</v>
      </c>
      <c r="Q342" s="2">
        <f t="shared" si="24"/>
        <v>0.3888888888888889</v>
      </c>
    </row>
    <row r="343" spans="1:17" x14ac:dyDescent="0.3">
      <c r="A343" s="3">
        <v>29</v>
      </c>
      <c r="B343" s="3">
        <v>11</v>
      </c>
      <c r="C343" s="6">
        <v>4.7</v>
      </c>
      <c r="D343" t="s">
        <v>13</v>
      </c>
      <c r="E343" s="3">
        <v>1500</v>
      </c>
      <c r="F343" s="6">
        <v>4.5999999999999996</v>
      </c>
      <c r="G343" t="s">
        <v>78</v>
      </c>
      <c r="H343" s="2">
        <v>0.82</v>
      </c>
      <c r="I343" s="3">
        <v>1400</v>
      </c>
      <c r="J343" s="3" t="str">
        <f t="shared" si="21"/>
        <v>Medium Price</v>
      </c>
      <c r="K343" t="s">
        <v>9</v>
      </c>
      <c r="L343" t="s">
        <v>17</v>
      </c>
      <c r="M343" t="s">
        <v>25</v>
      </c>
      <c r="N343">
        <v>0.8</v>
      </c>
      <c r="O343" t="str">
        <f t="shared" si="22"/>
        <v>High</v>
      </c>
      <c r="P343">
        <f t="shared" si="23"/>
        <v>15400</v>
      </c>
      <c r="Q343" s="2">
        <f t="shared" si="24"/>
        <v>0.37931034482758619</v>
      </c>
    </row>
    <row r="344" spans="1:17" x14ac:dyDescent="0.3">
      <c r="A344" s="3">
        <v>13</v>
      </c>
      <c r="B344" s="3">
        <v>5</v>
      </c>
      <c r="C344" s="6">
        <v>3.6</v>
      </c>
      <c r="D344" t="s">
        <v>20</v>
      </c>
      <c r="E344" s="3">
        <v>400</v>
      </c>
      <c r="F344" s="6">
        <v>3.5</v>
      </c>
      <c r="G344" t="s">
        <v>53</v>
      </c>
      <c r="H344" s="2">
        <v>0.5</v>
      </c>
      <c r="I344" s="3">
        <v>300</v>
      </c>
      <c r="J344" s="3" t="str">
        <f t="shared" si="21"/>
        <v>Low Price</v>
      </c>
      <c r="K344" t="s">
        <v>179</v>
      </c>
      <c r="L344" t="s">
        <v>33</v>
      </c>
      <c r="M344" t="s">
        <v>18</v>
      </c>
      <c r="N344">
        <v>0.45</v>
      </c>
      <c r="O344" t="str">
        <f t="shared" si="22"/>
        <v>Medium</v>
      </c>
      <c r="P344">
        <f t="shared" si="23"/>
        <v>1500</v>
      </c>
      <c r="Q344" s="2">
        <f t="shared" si="24"/>
        <v>0.38461538461538464</v>
      </c>
    </row>
    <row r="345" spans="1:17" x14ac:dyDescent="0.3">
      <c r="A345" s="3">
        <v>26</v>
      </c>
      <c r="B345" s="3">
        <v>10</v>
      </c>
      <c r="C345" s="6">
        <v>4.0999999999999996</v>
      </c>
      <c r="D345" t="s">
        <v>13</v>
      </c>
      <c r="E345" s="3">
        <v>800</v>
      </c>
      <c r="F345" s="6">
        <v>4.3</v>
      </c>
      <c r="G345" t="s">
        <v>98</v>
      </c>
      <c r="H345" s="2">
        <v>0.7</v>
      </c>
      <c r="I345" s="3">
        <v>700</v>
      </c>
      <c r="J345" s="3" t="str">
        <f t="shared" si="21"/>
        <v>Low Price</v>
      </c>
      <c r="K345" t="s">
        <v>179</v>
      </c>
      <c r="L345" t="s">
        <v>17</v>
      </c>
      <c r="M345" t="s">
        <v>18</v>
      </c>
      <c r="N345">
        <v>0.68</v>
      </c>
      <c r="O345" t="str">
        <f t="shared" si="22"/>
        <v>Medium</v>
      </c>
      <c r="P345">
        <f t="shared" si="23"/>
        <v>7000</v>
      </c>
      <c r="Q345" s="2">
        <f t="shared" si="24"/>
        <v>0.38461538461538464</v>
      </c>
    </row>
    <row r="346" spans="1:17" x14ac:dyDescent="0.3">
      <c r="A346" s="3">
        <v>8</v>
      </c>
      <c r="B346" s="3">
        <v>3</v>
      </c>
      <c r="C346" s="6">
        <v>4.2</v>
      </c>
      <c r="D346" t="s">
        <v>13</v>
      </c>
      <c r="E346" s="3">
        <v>2000</v>
      </c>
      <c r="F346" s="6">
        <v>4.4000000000000004</v>
      </c>
      <c r="G346" t="s">
        <v>72</v>
      </c>
      <c r="H346" s="2">
        <v>0.75</v>
      </c>
      <c r="I346" s="3">
        <v>1900</v>
      </c>
      <c r="J346" s="3" t="str">
        <f t="shared" si="21"/>
        <v>Medium Price</v>
      </c>
      <c r="K346" t="s">
        <v>9</v>
      </c>
      <c r="L346" t="s">
        <v>33</v>
      </c>
      <c r="M346" t="s">
        <v>25</v>
      </c>
      <c r="N346">
        <v>0.72</v>
      </c>
      <c r="O346" t="str">
        <f t="shared" si="22"/>
        <v>Medium</v>
      </c>
      <c r="P346">
        <f t="shared" si="23"/>
        <v>5700</v>
      </c>
      <c r="Q346" s="2">
        <f t="shared" si="24"/>
        <v>0.375</v>
      </c>
    </row>
    <row r="347" spans="1:17" x14ac:dyDescent="0.3">
      <c r="A347" s="3">
        <v>34</v>
      </c>
      <c r="B347" s="3">
        <v>13</v>
      </c>
      <c r="C347" s="6">
        <v>4.5</v>
      </c>
      <c r="D347" t="s">
        <v>20</v>
      </c>
      <c r="E347" s="3">
        <v>100</v>
      </c>
      <c r="F347" s="6">
        <v>4.5999999999999996</v>
      </c>
      <c r="G347" t="s">
        <v>80</v>
      </c>
      <c r="H347" s="2">
        <v>0.9</v>
      </c>
      <c r="I347" s="3">
        <v>90</v>
      </c>
      <c r="J347" s="3" t="str">
        <f t="shared" si="21"/>
        <v>Low Price</v>
      </c>
      <c r="K347" t="s">
        <v>179</v>
      </c>
      <c r="L347" t="s">
        <v>24</v>
      </c>
      <c r="M347" t="s">
        <v>34</v>
      </c>
      <c r="N347">
        <v>0.88</v>
      </c>
      <c r="O347" t="str">
        <f t="shared" si="22"/>
        <v>High</v>
      </c>
      <c r="P347">
        <f t="shared" si="23"/>
        <v>1170</v>
      </c>
      <c r="Q347" s="2">
        <f t="shared" si="24"/>
        <v>0.38235294117647056</v>
      </c>
    </row>
    <row r="348" spans="1:17" x14ac:dyDescent="0.3">
      <c r="A348" s="3">
        <v>21</v>
      </c>
      <c r="B348" s="3">
        <v>8</v>
      </c>
      <c r="C348" s="6">
        <v>3.9</v>
      </c>
      <c r="D348" t="s">
        <v>20</v>
      </c>
      <c r="E348" s="3">
        <v>700</v>
      </c>
      <c r="F348" s="6">
        <v>4.0999999999999996</v>
      </c>
      <c r="G348" t="s">
        <v>74</v>
      </c>
      <c r="H348" s="2">
        <v>0.65</v>
      </c>
      <c r="I348" s="3">
        <v>600</v>
      </c>
      <c r="J348" s="3" t="str">
        <f t="shared" si="21"/>
        <v>Low Price</v>
      </c>
      <c r="K348" t="s">
        <v>179</v>
      </c>
      <c r="L348" t="s">
        <v>33</v>
      </c>
      <c r="M348" t="s">
        <v>18</v>
      </c>
      <c r="N348">
        <v>0.62</v>
      </c>
      <c r="O348" t="str">
        <f t="shared" si="22"/>
        <v>Medium</v>
      </c>
      <c r="P348">
        <f t="shared" si="23"/>
        <v>4800</v>
      </c>
      <c r="Q348" s="2">
        <f t="shared" si="24"/>
        <v>0.38095238095238093</v>
      </c>
    </row>
    <row r="349" spans="1:17" x14ac:dyDescent="0.3">
      <c r="A349" s="3">
        <v>45</v>
      </c>
      <c r="B349" s="3">
        <v>18</v>
      </c>
      <c r="C349" s="6">
        <v>4.8</v>
      </c>
      <c r="D349" t="s">
        <v>13</v>
      </c>
      <c r="E349" s="3">
        <v>2000</v>
      </c>
      <c r="F349" s="6">
        <v>4.7</v>
      </c>
      <c r="G349" t="s">
        <v>42</v>
      </c>
      <c r="H349" s="2">
        <v>0.82</v>
      </c>
      <c r="I349" s="3">
        <v>1800</v>
      </c>
      <c r="J349" s="3" t="str">
        <f t="shared" si="21"/>
        <v>Medium Price</v>
      </c>
      <c r="K349" t="s">
        <v>9</v>
      </c>
      <c r="L349" t="s">
        <v>17</v>
      </c>
      <c r="M349" t="s">
        <v>18</v>
      </c>
      <c r="N349">
        <v>0.8</v>
      </c>
      <c r="O349" t="str">
        <f t="shared" si="22"/>
        <v>High</v>
      </c>
      <c r="P349">
        <f t="shared" si="23"/>
        <v>32400</v>
      </c>
      <c r="Q349" s="2">
        <f t="shared" si="24"/>
        <v>0.4</v>
      </c>
    </row>
    <row r="350" spans="1:17" x14ac:dyDescent="0.3">
      <c r="A350" s="3">
        <v>10</v>
      </c>
      <c r="B350" s="3">
        <v>4</v>
      </c>
      <c r="C350" s="6">
        <v>3.7</v>
      </c>
      <c r="D350" t="s">
        <v>13</v>
      </c>
      <c r="E350" s="3">
        <v>500</v>
      </c>
      <c r="F350" s="6">
        <v>3.9</v>
      </c>
      <c r="G350" t="s">
        <v>96</v>
      </c>
      <c r="H350" s="2">
        <v>0.55000000000000004</v>
      </c>
      <c r="I350" s="3">
        <v>400</v>
      </c>
      <c r="J350" s="3" t="str">
        <f t="shared" si="21"/>
        <v>Low Price</v>
      </c>
      <c r="K350" t="s">
        <v>179</v>
      </c>
      <c r="L350" t="s">
        <v>33</v>
      </c>
      <c r="M350" t="s">
        <v>18</v>
      </c>
      <c r="N350">
        <v>0.5</v>
      </c>
      <c r="O350" t="str">
        <f t="shared" si="22"/>
        <v>Medium</v>
      </c>
      <c r="P350">
        <f t="shared" si="23"/>
        <v>1600</v>
      </c>
      <c r="Q350" s="2">
        <f t="shared" si="24"/>
        <v>0.4</v>
      </c>
    </row>
    <row r="351" spans="1:17" x14ac:dyDescent="0.3">
      <c r="A351" s="3">
        <v>27</v>
      </c>
      <c r="B351" s="3">
        <v>10</v>
      </c>
      <c r="C351" s="6">
        <v>4.3</v>
      </c>
      <c r="D351" t="s">
        <v>20</v>
      </c>
      <c r="E351" s="3">
        <v>1500</v>
      </c>
      <c r="F351" s="6">
        <v>4.5</v>
      </c>
      <c r="G351" t="s">
        <v>39</v>
      </c>
      <c r="H351" s="2">
        <v>0.72</v>
      </c>
      <c r="I351" s="3">
        <v>1400</v>
      </c>
      <c r="J351" s="3" t="str">
        <f t="shared" si="21"/>
        <v>Medium Price</v>
      </c>
      <c r="K351" t="s">
        <v>9</v>
      </c>
      <c r="L351" t="s">
        <v>17</v>
      </c>
      <c r="M351" t="s">
        <v>25</v>
      </c>
      <c r="N351">
        <v>0.68</v>
      </c>
      <c r="O351" t="str">
        <f t="shared" si="22"/>
        <v>Medium</v>
      </c>
      <c r="P351">
        <f t="shared" si="23"/>
        <v>14000</v>
      </c>
      <c r="Q351" s="2">
        <f t="shared" si="24"/>
        <v>0.37037037037037035</v>
      </c>
    </row>
    <row r="352" spans="1:17" x14ac:dyDescent="0.3">
      <c r="A352" s="3">
        <v>15</v>
      </c>
      <c r="B352" s="3">
        <v>6</v>
      </c>
      <c r="C352" s="6">
        <v>3.8</v>
      </c>
      <c r="D352" t="s">
        <v>20</v>
      </c>
      <c r="E352" s="3">
        <v>5000</v>
      </c>
      <c r="F352" s="6">
        <v>4</v>
      </c>
      <c r="G352" t="s">
        <v>71</v>
      </c>
      <c r="H352" s="2">
        <v>0.45</v>
      </c>
      <c r="I352" s="3">
        <v>4500</v>
      </c>
      <c r="J352" s="3" t="str">
        <f t="shared" si="21"/>
        <v>Medium Price</v>
      </c>
      <c r="K352" t="s">
        <v>179</v>
      </c>
      <c r="L352" t="s">
        <v>33</v>
      </c>
      <c r="M352" t="s">
        <v>34</v>
      </c>
      <c r="N352">
        <v>0.4</v>
      </c>
      <c r="O352" t="str">
        <f t="shared" si="22"/>
        <v>Medium</v>
      </c>
      <c r="P352">
        <f t="shared" si="23"/>
        <v>27000</v>
      </c>
      <c r="Q352" s="2">
        <f t="shared" si="24"/>
        <v>0.4</v>
      </c>
    </row>
    <row r="353" spans="1:17" x14ac:dyDescent="0.3">
      <c r="A353" s="3">
        <v>31</v>
      </c>
      <c r="B353" s="3">
        <v>12</v>
      </c>
      <c r="C353" s="6">
        <v>4.5999999999999996</v>
      </c>
      <c r="D353" t="s">
        <v>13</v>
      </c>
      <c r="E353" s="3">
        <v>300</v>
      </c>
      <c r="F353" s="6">
        <v>4.5</v>
      </c>
      <c r="G353" t="s">
        <v>48</v>
      </c>
      <c r="H353" s="2">
        <v>0.85</v>
      </c>
      <c r="I353" s="3">
        <v>280</v>
      </c>
      <c r="J353" s="3" t="str">
        <f t="shared" si="21"/>
        <v>Low Price</v>
      </c>
      <c r="K353" t="s">
        <v>179</v>
      </c>
      <c r="L353" t="s">
        <v>24</v>
      </c>
      <c r="M353" t="s">
        <v>34</v>
      </c>
      <c r="N353">
        <v>0.82</v>
      </c>
      <c r="O353" t="str">
        <f t="shared" si="22"/>
        <v>High</v>
      </c>
      <c r="P353">
        <f t="shared" si="23"/>
        <v>3360</v>
      </c>
      <c r="Q353" s="2">
        <f t="shared" si="24"/>
        <v>0.38709677419354838</v>
      </c>
    </row>
    <row r="354" spans="1:17" x14ac:dyDescent="0.3">
      <c r="A354" s="3">
        <v>6</v>
      </c>
      <c r="B354" s="3">
        <v>2</v>
      </c>
      <c r="C354" s="6">
        <v>3.3</v>
      </c>
      <c r="D354" t="s">
        <v>13</v>
      </c>
      <c r="E354" s="3">
        <v>800</v>
      </c>
      <c r="F354" s="6">
        <v>3.5</v>
      </c>
      <c r="G354" t="s">
        <v>50</v>
      </c>
      <c r="H354" s="2">
        <v>0.4</v>
      </c>
      <c r="I354" s="3">
        <v>700</v>
      </c>
      <c r="J354" s="3" t="str">
        <f t="shared" si="21"/>
        <v>Low Price</v>
      </c>
      <c r="K354" t="s">
        <v>179</v>
      </c>
      <c r="L354" t="s">
        <v>17</v>
      </c>
      <c r="M354" t="s">
        <v>18</v>
      </c>
      <c r="N354">
        <v>0.35</v>
      </c>
      <c r="O354" t="str">
        <f t="shared" si="22"/>
        <v>Low</v>
      </c>
      <c r="P354">
        <f t="shared" si="23"/>
        <v>1400</v>
      </c>
      <c r="Q354" s="2">
        <f t="shared" si="24"/>
        <v>0.33333333333333331</v>
      </c>
    </row>
    <row r="355" spans="1:17" x14ac:dyDescent="0.3">
      <c r="A355" s="3">
        <v>38</v>
      </c>
      <c r="B355" s="3">
        <v>15</v>
      </c>
      <c r="C355" s="6">
        <v>4.9000000000000004</v>
      </c>
      <c r="D355" t="s">
        <v>20</v>
      </c>
      <c r="E355" s="3">
        <v>1000</v>
      </c>
      <c r="F355" s="6">
        <v>4.8</v>
      </c>
      <c r="G355" t="s">
        <v>66</v>
      </c>
      <c r="H355" s="2">
        <v>0.9</v>
      </c>
      <c r="I355" s="3">
        <v>900</v>
      </c>
      <c r="J355" s="3" t="str">
        <f t="shared" si="21"/>
        <v>Low Price</v>
      </c>
      <c r="K355" t="s">
        <v>9</v>
      </c>
      <c r="L355" t="s">
        <v>33</v>
      </c>
      <c r="M355" t="s">
        <v>25</v>
      </c>
      <c r="N355">
        <v>0.88</v>
      </c>
      <c r="O355" t="str">
        <f t="shared" si="22"/>
        <v>High</v>
      </c>
      <c r="P355">
        <f t="shared" si="23"/>
        <v>13500</v>
      </c>
      <c r="Q355" s="2">
        <f t="shared" si="24"/>
        <v>0.39473684210526316</v>
      </c>
    </row>
    <row r="356" spans="1:17" x14ac:dyDescent="0.3">
      <c r="A356" s="3">
        <v>19</v>
      </c>
      <c r="B356" s="3">
        <v>7</v>
      </c>
      <c r="C356" s="6">
        <v>3.7</v>
      </c>
      <c r="D356" t="s">
        <v>20</v>
      </c>
      <c r="E356" s="3">
        <v>2000</v>
      </c>
      <c r="F356" s="6">
        <v>3.8</v>
      </c>
      <c r="G356" t="s">
        <v>69</v>
      </c>
      <c r="H356" s="2">
        <v>0.57999999999999996</v>
      </c>
      <c r="I356" s="3">
        <v>1900</v>
      </c>
      <c r="J356" s="3" t="str">
        <f t="shared" si="21"/>
        <v>Medium Price</v>
      </c>
      <c r="K356" t="s">
        <v>179</v>
      </c>
      <c r="L356" t="s">
        <v>17</v>
      </c>
      <c r="M356" t="s">
        <v>18</v>
      </c>
      <c r="N356">
        <v>0.55000000000000004</v>
      </c>
      <c r="O356" t="str">
        <f t="shared" si="22"/>
        <v>Medium</v>
      </c>
      <c r="P356">
        <f t="shared" si="23"/>
        <v>13300</v>
      </c>
      <c r="Q356" s="2">
        <f t="shared" si="24"/>
        <v>0.36842105263157893</v>
      </c>
    </row>
    <row r="357" spans="1:17" x14ac:dyDescent="0.3">
      <c r="A357" s="3">
        <v>22</v>
      </c>
      <c r="B357" s="3">
        <v>7</v>
      </c>
      <c r="C357" s="6">
        <v>4.2</v>
      </c>
      <c r="D357" t="s">
        <v>13</v>
      </c>
      <c r="E357" s="3">
        <v>1000</v>
      </c>
      <c r="F357" s="6">
        <v>4.5999999999999996</v>
      </c>
      <c r="G357" t="s">
        <v>55</v>
      </c>
      <c r="H357" s="2">
        <v>0.8</v>
      </c>
      <c r="I357" s="3">
        <v>700</v>
      </c>
      <c r="J357" s="3" t="str">
        <f t="shared" si="21"/>
        <v>Low Price</v>
      </c>
      <c r="K357" t="s">
        <v>179</v>
      </c>
      <c r="L357" t="s">
        <v>33</v>
      </c>
      <c r="M357" t="s">
        <v>18</v>
      </c>
      <c r="N357">
        <v>0.85</v>
      </c>
      <c r="O357" t="str">
        <f t="shared" si="22"/>
        <v>High</v>
      </c>
      <c r="P357">
        <f t="shared" si="23"/>
        <v>4900</v>
      </c>
      <c r="Q357" s="2">
        <f t="shared" si="24"/>
        <v>0.31818181818181818</v>
      </c>
    </row>
    <row r="358" spans="1:17" x14ac:dyDescent="0.3">
      <c r="A358" s="3">
        <v>8</v>
      </c>
      <c r="B358" s="3">
        <v>2</v>
      </c>
      <c r="C358" s="6">
        <v>3.9</v>
      </c>
      <c r="D358" t="s">
        <v>20</v>
      </c>
      <c r="E358" s="3">
        <v>300</v>
      </c>
      <c r="F358" s="6">
        <v>3.2</v>
      </c>
      <c r="G358" t="s">
        <v>48</v>
      </c>
      <c r="H358" s="2">
        <v>-0.2</v>
      </c>
      <c r="I358" s="3">
        <v>2000</v>
      </c>
      <c r="J358" s="3" t="str">
        <f t="shared" si="21"/>
        <v>Medium Price</v>
      </c>
      <c r="K358" t="s">
        <v>9</v>
      </c>
      <c r="L358" t="s">
        <v>17</v>
      </c>
      <c r="M358" t="s">
        <v>18</v>
      </c>
      <c r="N358">
        <v>0.45</v>
      </c>
      <c r="O358" t="str">
        <f t="shared" si="22"/>
        <v>Medium</v>
      </c>
      <c r="P358">
        <f t="shared" si="23"/>
        <v>4000</v>
      </c>
      <c r="Q358" s="2">
        <f t="shared" si="24"/>
        <v>0.25</v>
      </c>
    </row>
    <row r="359" spans="1:17" x14ac:dyDescent="0.3">
      <c r="A359" s="3">
        <v>35</v>
      </c>
      <c r="B359" s="3">
        <v>14</v>
      </c>
      <c r="C359" s="6">
        <v>4.7</v>
      </c>
      <c r="D359" t="s">
        <v>13</v>
      </c>
      <c r="E359" s="3">
        <v>5000</v>
      </c>
      <c r="F359" s="6">
        <v>4.8</v>
      </c>
      <c r="G359" t="s">
        <v>73</v>
      </c>
      <c r="H359" s="2">
        <v>0.9</v>
      </c>
      <c r="I359" s="3">
        <v>9000</v>
      </c>
      <c r="J359" s="3" t="str">
        <f t="shared" si="21"/>
        <v>High Price</v>
      </c>
      <c r="K359" t="s">
        <v>9</v>
      </c>
      <c r="L359" t="s">
        <v>24</v>
      </c>
      <c r="M359" t="s">
        <v>25</v>
      </c>
      <c r="N359">
        <v>0.95</v>
      </c>
      <c r="O359" t="str">
        <f t="shared" si="22"/>
        <v>High</v>
      </c>
      <c r="P359">
        <f t="shared" si="23"/>
        <v>126000</v>
      </c>
      <c r="Q359" s="2">
        <f t="shared" si="24"/>
        <v>0.4</v>
      </c>
    </row>
    <row r="360" spans="1:17" x14ac:dyDescent="0.3">
      <c r="A360" s="3">
        <v>12</v>
      </c>
      <c r="B360" s="3">
        <v>5</v>
      </c>
      <c r="C360" s="6">
        <v>4.5</v>
      </c>
      <c r="D360" t="s">
        <v>20</v>
      </c>
      <c r="E360" s="3">
        <v>2000</v>
      </c>
      <c r="F360" s="6">
        <v>3.9</v>
      </c>
      <c r="G360" t="s">
        <v>59</v>
      </c>
      <c r="H360" s="2">
        <v>0.5</v>
      </c>
      <c r="I360" s="3">
        <v>3000</v>
      </c>
      <c r="J360" s="3" t="str">
        <f t="shared" si="21"/>
        <v>Medium Price</v>
      </c>
      <c r="K360" t="s">
        <v>179</v>
      </c>
      <c r="L360" t="s">
        <v>29</v>
      </c>
      <c r="M360" t="s">
        <v>18</v>
      </c>
      <c r="N360">
        <v>0.65</v>
      </c>
      <c r="O360" t="str">
        <f t="shared" si="22"/>
        <v>Medium</v>
      </c>
      <c r="P360">
        <f t="shared" si="23"/>
        <v>15000</v>
      </c>
      <c r="Q360" s="2">
        <f t="shared" si="24"/>
        <v>0.41666666666666669</v>
      </c>
    </row>
    <row r="361" spans="1:17" x14ac:dyDescent="0.3">
      <c r="A361" s="3">
        <v>43</v>
      </c>
      <c r="B361" s="3">
        <v>18</v>
      </c>
      <c r="C361" s="6">
        <v>4.9000000000000004</v>
      </c>
      <c r="D361" t="s">
        <v>13</v>
      </c>
      <c r="E361" s="3">
        <v>10000</v>
      </c>
      <c r="F361" s="6">
        <v>4.7</v>
      </c>
      <c r="G361" t="s">
        <v>69</v>
      </c>
      <c r="H361" s="2">
        <v>0.7</v>
      </c>
      <c r="I361" s="3">
        <v>4000</v>
      </c>
      <c r="J361" s="3" t="str">
        <f t="shared" si="21"/>
        <v>Medium Price</v>
      </c>
      <c r="K361" t="s">
        <v>179</v>
      </c>
      <c r="L361" t="s">
        <v>17</v>
      </c>
      <c r="M361" t="s">
        <v>18</v>
      </c>
      <c r="N361">
        <v>0.75</v>
      </c>
      <c r="O361" t="str">
        <f t="shared" si="22"/>
        <v>Medium</v>
      </c>
      <c r="P361">
        <f t="shared" si="23"/>
        <v>72000</v>
      </c>
      <c r="Q361" s="2">
        <f t="shared" si="24"/>
        <v>0.41860465116279072</v>
      </c>
    </row>
    <row r="362" spans="1:17" x14ac:dyDescent="0.3">
      <c r="A362" s="3">
        <v>5</v>
      </c>
      <c r="B362" s="3">
        <v>1</v>
      </c>
      <c r="C362" s="6">
        <v>3.1</v>
      </c>
      <c r="D362" t="s">
        <v>20</v>
      </c>
      <c r="E362" s="3">
        <v>100</v>
      </c>
      <c r="F362" s="6">
        <v>2.5</v>
      </c>
      <c r="G362" t="s">
        <v>39</v>
      </c>
      <c r="H362" s="2">
        <v>-0.8</v>
      </c>
      <c r="I362" s="3">
        <v>800</v>
      </c>
      <c r="J362" s="3" t="str">
        <f t="shared" si="21"/>
        <v>Low Price</v>
      </c>
      <c r="K362" t="s">
        <v>9</v>
      </c>
      <c r="L362" t="s">
        <v>33</v>
      </c>
      <c r="M362" t="s">
        <v>34</v>
      </c>
      <c r="N362">
        <v>0.15</v>
      </c>
      <c r="O362" t="str">
        <f t="shared" si="22"/>
        <v>Low</v>
      </c>
      <c r="P362">
        <f t="shared" si="23"/>
        <v>800</v>
      </c>
      <c r="Q362" s="2">
        <f t="shared" si="24"/>
        <v>0.2</v>
      </c>
    </row>
    <row r="363" spans="1:17" x14ac:dyDescent="0.3">
      <c r="A363" s="3">
        <v>29</v>
      </c>
      <c r="B363" s="3">
        <v>10</v>
      </c>
      <c r="C363" s="6">
        <v>4.4000000000000004</v>
      </c>
      <c r="D363" t="s">
        <v>13</v>
      </c>
      <c r="E363" s="3">
        <v>3000</v>
      </c>
      <c r="F363" s="6">
        <v>4.2</v>
      </c>
      <c r="G363" t="s">
        <v>66</v>
      </c>
      <c r="H363" s="2">
        <v>0.6</v>
      </c>
      <c r="I363" s="3">
        <v>6000</v>
      </c>
      <c r="J363" s="3" t="str">
        <f t="shared" si="21"/>
        <v>High Price</v>
      </c>
      <c r="K363" t="s">
        <v>179</v>
      </c>
      <c r="L363" t="s">
        <v>24</v>
      </c>
      <c r="M363" t="s">
        <v>25</v>
      </c>
      <c r="N363">
        <v>0.8</v>
      </c>
      <c r="O363" t="str">
        <f t="shared" si="22"/>
        <v>High</v>
      </c>
      <c r="P363">
        <f t="shared" si="23"/>
        <v>60000</v>
      </c>
      <c r="Q363" s="2">
        <f t="shared" si="24"/>
        <v>0.34482758620689657</v>
      </c>
    </row>
    <row r="364" spans="1:17" x14ac:dyDescent="0.3">
      <c r="A364" s="3">
        <v>17</v>
      </c>
      <c r="B364" s="3">
        <v>4</v>
      </c>
      <c r="C364" s="6">
        <v>3.8</v>
      </c>
      <c r="D364" t="s">
        <v>20</v>
      </c>
      <c r="E364" s="3">
        <v>1000</v>
      </c>
      <c r="F364" s="6">
        <v>3.6</v>
      </c>
      <c r="G364" t="s">
        <v>60</v>
      </c>
      <c r="H364" s="2">
        <v>-0.1</v>
      </c>
      <c r="I364" s="3">
        <v>700</v>
      </c>
      <c r="J364" s="3" t="str">
        <f t="shared" si="21"/>
        <v>Low Price</v>
      </c>
      <c r="K364" t="s">
        <v>179</v>
      </c>
      <c r="L364" t="s">
        <v>33</v>
      </c>
      <c r="M364" t="s">
        <v>18</v>
      </c>
      <c r="N364">
        <v>0.4</v>
      </c>
      <c r="O364" t="str">
        <f t="shared" si="22"/>
        <v>Medium</v>
      </c>
      <c r="P364">
        <f t="shared" si="23"/>
        <v>2800</v>
      </c>
      <c r="Q364" s="2">
        <f t="shared" si="24"/>
        <v>0.23529411764705882</v>
      </c>
    </row>
    <row r="365" spans="1:17" x14ac:dyDescent="0.3">
      <c r="A365" s="3">
        <v>38</v>
      </c>
      <c r="B365" s="3">
        <v>16</v>
      </c>
      <c r="C365" s="6">
        <v>4.5999999999999996</v>
      </c>
      <c r="D365" t="s">
        <v>13</v>
      </c>
      <c r="E365" s="3">
        <v>7000</v>
      </c>
      <c r="F365" s="6">
        <v>4.9000000000000004</v>
      </c>
      <c r="G365" t="s">
        <v>74</v>
      </c>
      <c r="H365" s="2">
        <v>0.95</v>
      </c>
      <c r="I365" s="3">
        <v>10000</v>
      </c>
      <c r="J365" s="3" t="str">
        <f t="shared" si="21"/>
        <v>High Price</v>
      </c>
      <c r="K365" t="s">
        <v>9</v>
      </c>
      <c r="L365" t="s">
        <v>17</v>
      </c>
      <c r="M365" t="s">
        <v>25</v>
      </c>
      <c r="N365">
        <v>0.9</v>
      </c>
      <c r="O365" t="str">
        <f t="shared" si="22"/>
        <v>High</v>
      </c>
      <c r="P365">
        <f t="shared" si="23"/>
        <v>160000</v>
      </c>
      <c r="Q365" s="2">
        <f t="shared" si="24"/>
        <v>0.42105263157894735</v>
      </c>
    </row>
    <row r="366" spans="1:17" x14ac:dyDescent="0.3">
      <c r="A366" s="3">
        <v>3</v>
      </c>
      <c r="B366" s="3">
        <v>0</v>
      </c>
      <c r="C366" s="6">
        <v>2.2000000000000002</v>
      </c>
      <c r="D366" t="s">
        <v>20</v>
      </c>
      <c r="E366" s="3">
        <v>100</v>
      </c>
      <c r="F366" s="6">
        <v>1.8</v>
      </c>
      <c r="G366" t="s">
        <v>31</v>
      </c>
      <c r="H366" s="2">
        <v>-0.9</v>
      </c>
      <c r="I366" s="3">
        <v>200</v>
      </c>
      <c r="J366" s="3" t="str">
        <f t="shared" si="21"/>
        <v>Low Price</v>
      </c>
      <c r="K366" t="s">
        <v>179</v>
      </c>
      <c r="L366" t="s">
        <v>33</v>
      </c>
      <c r="M366" t="s">
        <v>34</v>
      </c>
      <c r="N366">
        <v>0.05</v>
      </c>
      <c r="O366" t="str">
        <f t="shared" si="22"/>
        <v>Low</v>
      </c>
      <c r="P366">
        <f t="shared" si="23"/>
        <v>0</v>
      </c>
      <c r="Q366" s="2">
        <f t="shared" si="24"/>
        <v>0</v>
      </c>
    </row>
    <row r="367" spans="1:17" x14ac:dyDescent="0.3">
      <c r="A367" s="3">
        <v>25</v>
      </c>
      <c r="B367" s="3">
        <v>9</v>
      </c>
      <c r="C367" s="6">
        <v>4.0999999999999996</v>
      </c>
      <c r="D367" t="s">
        <v>13</v>
      </c>
      <c r="E367" s="3">
        <v>500</v>
      </c>
      <c r="F367" s="6">
        <v>3.8</v>
      </c>
      <c r="G367" t="s">
        <v>76</v>
      </c>
      <c r="H367" s="2">
        <v>0.3</v>
      </c>
      <c r="I367" s="3">
        <v>4000</v>
      </c>
      <c r="J367" s="3" t="str">
        <f t="shared" si="21"/>
        <v>Medium Price</v>
      </c>
      <c r="K367" t="s">
        <v>179</v>
      </c>
      <c r="L367" t="s">
        <v>17</v>
      </c>
      <c r="M367" t="s">
        <v>18</v>
      </c>
      <c r="N367">
        <v>0.7</v>
      </c>
      <c r="O367" t="str">
        <f t="shared" si="22"/>
        <v>Medium</v>
      </c>
      <c r="P367">
        <f t="shared" si="23"/>
        <v>36000</v>
      </c>
      <c r="Q367" s="2">
        <f t="shared" si="24"/>
        <v>0.36</v>
      </c>
    </row>
    <row r="368" spans="1:17" x14ac:dyDescent="0.3">
      <c r="A368" s="3">
        <v>10</v>
      </c>
      <c r="B368" s="3">
        <v>3</v>
      </c>
      <c r="C368" s="6">
        <v>3.5</v>
      </c>
      <c r="D368" t="s">
        <v>20</v>
      </c>
      <c r="E368" s="3">
        <v>2000</v>
      </c>
      <c r="F368" s="6">
        <v>3.4</v>
      </c>
      <c r="G368" t="s">
        <v>42</v>
      </c>
      <c r="H368" s="2">
        <v>-0.3</v>
      </c>
      <c r="I368" s="3">
        <v>500</v>
      </c>
      <c r="J368" s="3" t="str">
        <f t="shared" si="21"/>
        <v>Low Price</v>
      </c>
      <c r="K368" t="s">
        <v>179</v>
      </c>
      <c r="L368" t="s">
        <v>29</v>
      </c>
      <c r="M368" t="s">
        <v>18</v>
      </c>
      <c r="N368">
        <v>0.5</v>
      </c>
      <c r="O368" t="str">
        <f t="shared" si="22"/>
        <v>Medium</v>
      </c>
      <c r="P368">
        <f t="shared" si="23"/>
        <v>1500</v>
      </c>
      <c r="Q368" s="2">
        <f t="shared" si="24"/>
        <v>0.3</v>
      </c>
    </row>
    <row r="369" spans="1:17" x14ac:dyDescent="0.3">
      <c r="A369" s="3">
        <v>47</v>
      </c>
      <c r="B369" s="3">
        <v>19</v>
      </c>
      <c r="C369" s="6">
        <v>4.8</v>
      </c>
      <c r="D369" t="s">
        <v>13</v>
      </c>
      <c r="E369" s="3">
        <v>9000</v>
      </c>
      <c r="F369" s="6">
        <v>4.5</v>
      </c>
      <c r="G369" t="s">
        <v>80</v>
      </c>
      <c r="H369" s="2">
        <v>0.85</v>
      </c>
      <c r="I369" s="3">
        <v>8000</v>
      </c>
      <c r="J369" s="3" t="str">
        <f t="shared" si="21"/>
        <v>High Price</v>
      </c>
      <c r="K369" t="s">
        <v>179</v>
      </c>
      <c r="L369" t="s">
        <v>17</v>
      </c>
      <c r="M369" t="s">
        <v>25</v>
      </c>
      <c r="N369">
        <v>0.85</v>
      </c>
      <c r="O369" t="str">
        <f t="shared" si="22"/>
        <v>High</v>
      </c>
      <c r="P369">
        <f t="shared" si="23"/>
        <v>152000</v>
      </c>
      <c r="Q369" s="2">
        <f t="shared" si="24"/>
        <v>0.40425531914893614</v>
      </c>
    </row>
    <row r="370" spans="1:17" x14ac:dyDescent="0.3">
      <c r="A370" s="3">
        <v>2</v>
      </c>
      <c r="B370" s="3">
        <v>0</v>
      </c>
      <c r="C370" s="6">
        <v>1.5</v>
      </c>
      <c r="D370" t="s">
        <v>20</v>
      </c>
      <c r="E370" s="3">
        <v>100</v>
      </c>
      <c r="F370" s="6">
        <v>1.2</v>
      </c>
      <c r="G370" t="s">
        <v>47</v>
      </c>
      <c r="H370" s="2">
        <v>-0.95</v>
      </c>
      <c r="I370" s="3">
        <v>100</v>
      </c>
      <c r="J370" s="3" t="str">
        <f t="shared" si="21"/>
        <v>Low Price</v>
      </c>
      <c r="K370" t="s">
        <v>179</v>
      </c>
      <c r="L370" t="s">
        <v>33</v>
      </c>
      <c r="M370" t="s">
        <v>34</v>
      </c>
      <c r="N370">
        <v>2.5000000000000001E-2</v>
      </c>
      <c r="O370" t="str">
        <f t="shared" si="22"/>
        <v>Low</v>
      </c>
      <c r="P370">
        <f t="shared" si="23"/>
        <v>0</v>
      </c>
      <c r="Q370" s="2">
        <f t="shared" si="24"/>
        <v>0</v>
      </c>
    </row>
    <row r="371" spans="1:17" x14ac:dyDescent="0.3">
      <c r="A371" s="3">
        <v>31</v>
      </c>
      <c r="B371" s="3">
        <v>12</v>
      </c>
      <c r="C371" s="6">
        <v>4.3</v>
      </c>
      <c r="D371" t="s">
        <v>13</v>
      </c>
      <c r="E371" s="3">
        <v>4000</v>
      </c>
      <c r="F371" s="6">
        <v>4.3</v>
      </c>
      <c r="G371" t="s">
        <v>70</v>
      </c>
      <c r="H371" s="2">
        <v>0.4</v>
      </c>
      <c r="I371" s="3">
        <v>3000</v>
      </c>
      <c r="J371" s="3" t="str">
        <f t="shared" si="21"/>
        <v>Medium Price</v>
      </c>
      <c r="K371" t="s">
        <v>179</v>
      </c>
      <c r="L371" t="s">
        <v>24</v>
      </c>
      <c r="M371" t="s">
        <v>25</v>
      </c>
      <c r="N371">
        <v>0.75</v>
      </c>
      <c r="O371" t="str">
        <f t="shared" si="22"/>
        <v>Medium</v>
      </c>
      <c r="P371">
        <f t="shared" si="23"/>
        <v>36000</v>
      </c>
      <c r="Q371" s="2">
        <f t="shared" si="24"/>
        <v>0.38709677419354838</v>
      </c>
    </row>
    <row r="372" spans="1:17" x14ac:dyDescent="0.3">
      <c r="A372" s="3">
        <v>14</v>
      </c>
      <c r="B372" s="3">
        <v>6</v>
      </c>
      <c r="C372" s="6">
        <v>3.7</v>
      </c>
      <c r="D372" t="s">
        <v>20</v>
      </c>
      <c r="E372" s="3">
        <v>300</v>
      </c>
      <c r="F372" s="6">
        <v>3.1</v>
      </c>
      <c r="G372" t="s">
        <v>75</v>
      </c>
      <c r="H372" s="2">
        <v>-0.5</v>
      </c>
      <c r="I372" s="3">
        <v>1000</v>
      </c>
      <c r="J372" s="3" t="str">
        <f t="shared" si="21"/>
        <v>Medium Price</v>
      </c>
      <c r="K372" t="s">
        <v>179</v>
      </c>
      <c r="L372" t="s">
        <v>29</v>
      </c>
      <c r="M372" t="s">
        <v>18</v>
      </c>
      <c r="N372">
        <v>0.55000000000000004</v>
      </c>
      <c r="O372" t="str">
        <f t="shared" si="22"/>
        <v>Medium</v>
      </c>
      <c r="P372">
        <f t="shared" si="23"/>
        <v>6000</v>
      </c>
      <c r="Q372" s="2">
        <f t="shared" si="24"/>
        <v>0.42857142857142855</v>
      </c>
    </row>
    <row r="373" spans="1:17" x14ac:dyDescent="0.3">
      <c r="A373" s="3">
        <v>40</v>
      </c>
      <c r="B373" s="3">
        <v>17</v>
      </c>
      <c r="C373" s="6">
        <v>4.7</v>
      </c>
      <c r="D373" t="s">
        <v>13</v>
      </c>
      <c r="E373" s="3">
        <v>6000</v>
      </c>
      <c r="F373" s="6">
        <v>4.5999999999999996</v>
      </c>
      <c r="G373" t="s">
        <v>77</v>
      </c>
      <c r="H373" s="2">
        <v>0.75</v>
      </c>
      <c r="I373" s="3">
        <v>7000</v>
      </c>
      <c r="J373" s="3" t="str">
        <f t="shared" si="21"/>
        <v>High Price</v>
      </c>
      <c r="K373" t="s">
        <v>9</v>
      </c>
      <c r="L373" t="s">
        <v>24</v>
      </c>
      <c r="M373" t="s">
        <v>25</v>
      </c>
      <c r="N373">
        <v>0.9</v>
      </c>
      <c r="O373" t="str">
        <f t="shared" si="22"/>
        <v>High</v>
      </c>
      <c r="P373">
        <f t="shared" si="23"/>
        <v>119000</v>
      </c>
      <c r="Q373" s="2">
        <f t="shared" si="24"/>
        <v>0.42499999999999999</v>
      </c>
    </row>
    <row r="374" spans="1:17" x14ac:dyDescent="0.3">
      <c r="A374" s="3">
        <v>6</v>
      </c>
      <c r="B374" s="3">
        <v>1</v>
      </c>
      <c r="C374" s="6">
        <v>2.5</v>
      </c>
      <c r="D374" t="s">
        <v>20</v>
      </c>
      <c r="E374" s="3">
        <v>200</v>
      </c>
      <c r="F374" s="6">
        <v>2.2000000000000002</v>
      </c>
      <c r="G374" t="s">
        <v>35</v>
      </c>
      <c r="H374" s="2">
        <v>-0.7</v>
      </c>
      <c r="I374" s="3">
        <v>600</v>
      </c>
      <c r="J374" s="3" t="str">
        <f t="shared" si="21"/>
        <v>Low Price</v>
      </c>
      <c r="K374" t="s">
        <v>179</v>
      </c>
      <c r="L374" t="s">
        <v>29</v>
      </c>
      <c r="M374" t="s">
        <v>18</v>
      </c>
      <c r="N374">
        <v>0.3</v>
      </c>
      <c r="O374" t="str">
        <f t="shared" si="22"/>
        <v>Low</v>
      </c>
      <c r="P374">
        <f t="shared" si="23"/>
        <v>600</v>
      </c>
      <c r="Q374" s="2">
        <f t="shared" si="24"/>
        <v>0.16666666666666666</v>
      </c>
    </row>
    <row r="375" spans="1:17" x14ac:dyDescent="0.3">
      <c r="A375" s="3">
        <v>19</v>
      </c>
      <c r="B375" s="3">
        <v>8</v>
      </c>
      <c r="C375" s="6">
        <v>4</v>
      </c>
      <c r="D375" t="s">
        <v>13</v>
      </c>
      <c r="E375" s="3">
        <v>6000</v>
      </c>
      <c r="F375" s="6">
        <v>4.4000000000000004</v>
      </c>
      <c r="G375" t="s">
        <v>72</v>
      </c>
      <c r="H375" s="2">
        <v>0.2</v>
      </c>
      <c r="I375" s="3">
        <v>5000</v>
      </c>
      <c r="J375" s="3" t="str">
        <f t="shared" si="21"/>
        <v>Medium Price</v>
      </c>
      <c r="K375" t="s">
        <v>9</v>
      </c>
      <c r="L375" t="s">
        <v>17</v>
      </c>
      <c r="M375" t="s">
        <v>25</v>
      </c>
      <c r="N375">
        <v>0.8</v>
      </c>
      <c r="O375" t="str">
        <f t="shared" si="22"/>
        <v>High</v>
      </c>
      <c r="P375">
        <f t="shared" si="23"/>
        <v>40000</v>
      </c>
      <c r="Q375" s="2">
        <f t="shared" si="24"/>
        <v>0.42105263157894735</v>
      </c>
    </row>
    <row r="376" spans="1:17" x14ac:dyDescent="0.3">
      <c r="A376" s="3">
        <v>1</v>
      </c>
      <c r="B376" s="3">
        <v>0</v>
      </c>
      <c r="C376" s="6">
        <v>1</v>
      </c>
      <c r="D376" t="s">
        <v>20</v>
      </c>
      <c r="E376" s="3">
        <v>100</v>
      </c>
      <c r="F376" s="6">
        <v>1</v>
      </c>
      <c r="G376" t="s">
        <v>99</v>
      </c>
      <c r="H376" s="2">
        <v>-1</v>
      </c>
      <c r="I376" s="3">
        <v>100</v>
      </c>
      <c r="J376" s="3" t="str">
        <f t="shared" si="21"/>
        <v>Low Price</v>
      </c>
      <c r="K376" t="s">
        <v>179</v>
      </c>
      <c r="L376" t="s">
        <v>33</v>
      </c>
      <c r="M376" t="s">
        <v>34</v>
      </c>
      <c r="N376">
        <v>0</v>
      </c>
      <c r="O376" t="str">
        <f t="shared" si="22"/>
        <v>Low</v>
      </c>
      <c r="P376">
        <f t="shared" si="23"/>
        <v>0</v>
      </c>
      <c r="Q376" s="2">
        <f t="shared" si="24"/>
        <v>0</v>
      </c>
    </row>
    <row r="377" spans="1:17" x14ac:dyDescent="0.3">
      <c r="A377" s="3">
        <v>34</v>
      </c>
      <c r="B377" s="3">
        <v>15</v>
      </c>
      <c r="C377" s="6">
        <v>4.5</v>
      </c>
      <c r="D377" t="s">
        <v>13</v>
      </c>
      <c r="E377" s="3">
        <v>8000</v>
      </c>
      <c r="F377" s="6">
        <v>4.8</v>
      </c>
      <c r="G377" t="s">
        <v>73</v>
      </c>
      <c r="H377" s="2">
        <v>0.9</v>
      </c>
      <c r="I377" s="3">
        <v>9000</v>
      </c>
      <c r="J377" s="3" t="str">
        <f t="shared" si="21"/>
        <v>High Price</v>
      </c>
      <c r="K377" t="s">
        <v>9</v>
      </c>
      <c r="L377" t="s">
        <v>17</v>
      </c>
      <c r="M377" t="s">
        <v>25</v>
      </c>
      <c r="N377">
        <v>0.95</v>
      </c>
      <c r="O377" t="str">
        <f t="shared" si="22"/>
        <v>High</v>
      </c>
      <c r="P377">
        <f t="shared" si="23"/>
        <v>135000</v>
      </c>
      <c r="Q377" s="2">
        <f t="shared" si="24"/>
        <v>0.44117647058823528</v>
      </c>
    </row>
    <row r="378" spans="1:17" x14ac:dyDescent="0.3">
      <c r="A378" s="3">
        <v>9</v>
      </c>
      <c r="B378" s="3">
        <v>2</v>
      </c>
      <c r="C378" s="6">
        <v>3.3</v>
      </c>
      <c r="D378" t="s">
        <v>20</v>
      </c>
      <c r="E378" s="3">
        <v>400</v>
      </c>
      <c r="F378" s="6">
        <v>2.8</v>
      </c>
      <c r="G378" t="s">
        <v>62</v>
      </c>
      <c r="H378" s="2">
        <v>-0.4</v>
      </c>
      <c r="I378" s="3">
        <v>800</v>
      </c>
      <c r="J378" s="3" t="str">
        <f t="shared" si="21"/>
        <v>Low Price</v>
      </c>
      <c r="K378" t="s">
        <v>179</v>
      </c>
      <c r="L378" t="s">
        <v>29</v>
      </c>
      <c r="M378" t="s">
        <v>18</v>
      </c>
      <c r="N378">
        <v>0.45</v>
      </c>
      <c r="O378" t="str">
        <f t="shared" si="22"/>
        <v>Medium</v>
      </c>
      <c r="P378">
        <f t="shared" si="23"/>
        <v>1600</v>
      </c>
      <c r="Q378" s="2">
        <f t="shared" si="24"/>
        <v>0.22222222222222221</v>
      </c>
    </row>
    <row r="379" spans="1:17" x14ac:dyDescent="0.3">
      <c r="A379" s="3">
        <v>42</v>
      </c>
      <c r="B379" s="3">
        <v>16</v>
      </c>
      <c r="C379" s="6">
        <v>4.9000000000000004</v>
      </c>
      <c r="D379" t="s">
        <v>13</v>
      </c>
      <c r="E379" s="3">
        <v>7000</v>
      </c>
      <c r="F379" s="6">
        <v>4.7</v>
      </c>
      <c r="G379" t="s">
        <v>65</v>
      </c>
      <c r="H379" s="2">
        <v>0.8</v>
      </c>
      <c r="I379" s="3">
        <v>9000</v>
      </c>
      <c r="J379" s="3" t="str">
        <f t="shared" si="21"/>
        <v>High Price</v>
      </c>
      <c r="K379" t="s">
        <v>9</v>
      </c>
      <c r="L379" t="s">
        <v>24</v>
      </c>
      <c r="M379" t="s">
        <v>25</v>
      </c>
      <c r="N379">
        <v>0.95</v>
      </c>
      <c r="O379" t="str">
        <f t="shared" si="22"/>
        <v>High</v>
      </c>
      <c r="P379">
        <f t="shared" si="23"/>
        <v>144000</v>
      </c>
      <c r="Q379" s="2">
        <f t="shared" si="24"/>
        <v>0.38095238095238093</v>
      </c>
    </row>
    <row r="380" spans="1:17" x14ac:dyDescent="0.3">
      <c r="A380" s="3">
        <v>4</v>
      </c>
      <c r="B380" s="3">
        <v>0</v>
      </c>
      <c r="C380" s="6">
        <v>2</v>
      </c>
      <c r="D380" t="s">
        <v>20</v>
      </c>
      <c r="E380" s="3">
        <v>100</v>
      </c>
      <c r="F380" s="6">
        <v>1.5</v>
      </c>
      <c r="G380" t="s">
        <v>39</v>
      </c>
      <c r="H380" s="2">
        <v>-0.85</v>
      </c>
      <c r="I380" s="3">
        <v>200</v>
      </c>
      <c r="J380" s="3" t="str">
        <f t="shared" si="21"/>
        <v>Low Price</v>
      </c>
      <c r="K380" t="s">
        <v>179</v>
      </c>
      <c r="L380" t="s">
        <v>33</v>
      </c>
      <c r="M380" t="s">
        <v>34</v>
      </c>
      <c r="N380">
        <v>0.03</v>
      </c>
      <c r="O380" t="str">
        <f t="shared" si="22"/>
        <v>Low</v>
      </c>
      <c r="P380">
        <f t="shared" si="23"/>
        <v>0</v>
      </c>
      <c r="Q380" s="2">
        <f t="shared" si="24"/>
        <v>0</v>
      </c>
    </row>
    <row r="381" spans="1:17" x14ac:dyDescent="0.3">
      <c r="A381" s="3">
        <v>28</v>
      </c>
      <c r="B381" s="3">
        <v>11</v>
      </c>
      <c r="C381" s="6">
        <v>4.2</v>
      </c>
      <c r="D381" t="s">
        <v>13</v>
      </c>
      <c r="E381" s="3">
        <v>2000</v>
      </c>
      <c r="F381" s="6">
        <v>3.7</v>
      </c>
      <c r="G381" t="s">
        <v>53</v>
      </c>
      <c r="H381" s="2">
        <v>0.1</v>
      </c>
      <c r="I381" s="3">
        <v>2000</v>
      </c>
      <c r="J381" s="3" t="str">
        <f t="shared" si="21"/>
        <v>Medium Price</v>
      </c>
      <c r="K381" t="s">
        <v>179</v>
      </c>
      <c r="L381" t="s">
        <v>17</v>
      </c>
      <c r="M381" t="s">
        <v>18</v>
      </c>
      <c r="N381">
        <v>0.6</v>
      </c>
      <c r="O381" t="str">
        <f t="shared" si="22"/>
        <v>Medium</v>
      </c>
      <c r="P381">
        <f t="shared" si="23"/>
        <v>22000</v>
      </c>
      <c r="Q381" s="2">
        <f t="shared" si="24"/>
        <v>0.39285714285714285</v>
      </c>
    </row>
    <row r="382" spans="1:17" x14ac:dyDescent="0.3">
      <c r="A382" s="3">
        <v>18</v>
      </c>
      <c r="B382" s="3">
        <v>7</v>
      </c>
      <c r="C382" s="6">
        <v>4.0999999999999996</v>
      </c>
      <c r="D382" t="s">
        <v>20</v>
      </c>
      <c r="E382" s="3">
        <v>700</v>
      </c>
      <c r="F382" s="6">
        <v>4.4000000000000004</v>
      </c>
      <c r="G382" t="s">
        <v>95</v>
      </c>
      <c r="H382" s="2">
        <v>-0.2</v>
      </c>
      <c r="I382" s="3">
        <v>800</v>
      </c>
      <c r="J382" s="3" t="str">
        <f t="shared" si="21"/>
        <v>Low Price</v>
      </c>
      <c r="K382" t="s">
        <v>179</v>
      </c>
      <c r="L382" t="s">
        <v>33</v>
      </c>
      <c r="M382" t="s">
        <v>18</v>
      </c>
      <c r="N382">
        <v>0.6</v>
      </c>
      <c r="O382" t="str">
        <f t="shared" si="22"/>
        <v>Medium</v>
      </c>
      <c r="P382">
        <f t="shared" si="23"/>
        <v>5600</v>
      </c>
      <c r="Q382" s="2">
        <f t="shared" si="24"/>
        <v>0.3888888888888889</v>
      </c>
    </row>
    <row r="383" spans="1:17" x14ac:dyDescent="0.3">
      <c r="A383" s="3">
        <v>37</v>
      </c>
      <c r="B383" s="3">
        <v>15</v>
      </c>
      <c r="C383" s="6">
        <v>4.5999999999999996</v>
      </c>
      <c r="D383" t="s">
        <v>13</v>
      </c>
      <c r="E383" s="3">
        <v>6000</v>
      </c>
      <c r="F383" s="6">
        <v>4.7</v>
      </c>
      <c r="G383" t="s">
        <v>69</v>
      </c>
      <c r="H383" s="2">
        <v>0.7</v>
      </c>
      <c r="I383" s="3">
        <v>5000</v>
      </c>
      <c r="J383" s="3" t="str">
        <f t="shared" si="21"/>
        <v>Medium Price</v>
      </c>
      <c r="K383" t="s">
        <v>9</v>
      </c>
      <c r="L383" t="s">
        <v>17</v>
      </c>
      <c r="M383" t="s">
        <v>25</v>
      </c>
      <c r="N383">
        <v>0.8</v>
      </c>
      <c r="O383" t="str">
        <f t="shared" si="22"/>
        <v>High</v>
      </c>
      <c r="P383">
        <f t="shared" si="23"/>
        <v>75000</v>
      </c>
      <c r="Q383" s="2">
        <f t="shared" si="24"/>
        <v>0.40540540540540543</v>
      </c>
    </row>
    <row r="384" spans="1:17" x14ac:dyDescent="0.3">
      <c r="A384" s="3">
        <v>5</v>
      </c>
      <c r="B384" s="3">
        <v>2</v>
      </c>
      <c r="C384" s="6">
        <v>2.8</v>
      </c>
      <c r="D384" t="s">
        <v>20</v>
      </c>
      <c r="E384" s="3">
        <v>100</v>
      </c>
      <c r="F384" s="6">
        <v>2.1</v>
      </c>
      <c r="G384" t="s">
        <v>48</v>
      </c>
      <c r="H384" s="2">
        <v>-0.6</v>
      </c>
      <c r="I384" s="3">
        <v>300</v>
      </c>
      <c r="J384" s="3" t="str">
        <f t="shared" si="21"/>
        <v>Low Price</v>
      </c>
      <c r="K384" t="s">
        <v>179</v>
      </c>
      <c r="L384" t="s">
        <v>29</v>
      </c>
      <c r="M384" t="s">
        <v>18</v>
      </c>
      <c r="N384">
        <v>0.25</v>
      </c>
      <c r="O384" t="str">
        <f t="shared" si="22"/>
        <v>Low</v>
      </c>
      <c r="P384">
        <f t="shared" si="23"/>
        <v>600</v>
      </c>
      <c r="Q384" s="2">
        <f t="shared" si="24"/>
        <v>0.4</v>
      </c>
    </row>
    <row r="385" spans="1:17" x14ac:dyDescent="0.3">
      <c r="A385" s="3">
        <v>23</v>
      </c>
      <c r="B385" s="3">
        <v>10</v>
      </c>
      <c r="C385" s="6">
        <v>3.9</v>
      </c>
      <c r="D385" t="s">
        <v>13</v>
      </c>
      <c r="E385" s="3">
        <v>2000</v>
      </c>
      <c r="F385" s="6">
        <v>3.5</v>
      </c>
      <c r="G385" t="s">
        <v>21</v>
      </c>
      <c r="H385" s="2">
        <v>-0.1</v>
      </c>
      <c r="I385" s="3">
        <v>2000</v>
      </c>
      <c r="J385" s="3" t="str">
        <f t="shared" si="21"/>
        <v>Medium Price</v>
      </c>
      <c r="K385" t="s">
        <v>179</v>
      </c>
      <c r="L385" t="s">
        <v>17</v>
      </c>
      <c r="M385" t="s">
        <v>18</v>
      </c>
      <c r="N385">
        <v>0.55000000000000004</v>
      </c>
      <c r="O385" t="str">
        <f t="shared" si="22"/>
        <v>Medium</v>
      </c>
      <c r="P385">
        <f t="shared" si="23"/>
        <v>20000</v>
      </c>
      <c r="Q385" s="2">
        <f t="shared" si="24"/>
        <v>0.43478260869565216</v>
      </c>
    </row>
    <row r="386" spans="1:17" x14ac:dyDescent="0.3">
      <c r="A386" s="3">
        <v>46</v>
      </c>
      <c r="B386" s="3">
        <v>18</v>
      </c>
      <c r="C386" s="6">
        <v>4.8</v>
      </c>
      <c r="D386" t="s">
        <v>13</v>
      </c>
      <c r="E386" s="3">
        <v>9000</v>
      </c>
      <c r="F386" s="6">
        <v>4.9000000000000004</v>
      </c>
      <c r="G386" t="s">
        <v>80</v>
      </c>
      <c r="H386" s="2">
        <v>0.9</v>
      </c>
      <c r="I386" s="3">
        <v>10000</v>
      </c>
      <c r="J386" s="3" t="str">
        <f t="shared" ref="J386:J449" si="25">IF(I386&gt;5000, "High Price", IF(I386&gt;=1000, "Medium Price", IF(I386&lt;1000, "Low Price")))</f>
        <v>High Price</v>
      </c>
      <c r="K386" t="s">
        <v>9</v>
      </c>
      <c r="L386" t="s">
        <v>17</v>
      </c>
      <c r="M386" t="s">
        <v>25</v>
      </c>
      <c r="N386">
        <v>0.95</v>
      </c>
      <c r="O386" t="str">
        <f t="shared" ref="O386:O449" si="26">IF(N386&gt;=0.8,"High",IF(N386&gt;=0.4,"Medium",IF(N386&lt;0.4,"Low")))</f>
        <v>High</v>
      </c>
      <c r="P386">
        <f t="shared" si="23"/>
        <v>180000</v>
      </c>
      <c r="Q386" s="2">
        <f t="shared" si="24"/>
        <v>0.39130434782608697</v>
      </c>
    </row>
    <row r="387" spans="1:17" x14ac:dyDescent="0.3">
      <c r="A387" s="3">
        <v>3</v>
      </c>
      <c r="B387" s="3">
        <v>1</v>
      </c>
      <c r="C387" s="6">
        <v>1.5</v>
      </c>
      <c r="D387" t="s">
        <v>20</v>
      </c>
      <c r="E387" s="3">
        <v>100</v>
      </c>
      <c r="F387" s="6">
        <v>1.2</v>
      </c>
      <c r="G387" t="s">
        <v>39</v>
      </c>
      <c r="H387" s="2">
        <v>-0.9</v>
      </c>
      <c r="I387" s="3">
        <v>100</v>
      </c>
      <c r="J387" s="3" t="str">
        <f t="shared" si="25"/>
        <v>Low Price</v>
      </c>
      <c r="K387" t="s">
        <v>179</v>
      </c>
      <c r="L387" t="s">
        <v>33</v>
      </c>
      <c r="M387" t="s">
        <v>34</v>
      </c>
      <c r="N387">
        <v>2.5000000000000001E-2</v>
      </c>
      <c r="O387" t="str">
        <f t="shared" si="26"/>
        <v>Low</v>
      </c>
      <c r="P387">
        <f t="shared" ref="P387:P450" si="27">I387*B387</f>
        <v>100</v>
      </c>
      <c r="Q387" s="2">
        <f t="shared" ref="Q387:Q450" si="28">B387/A387</f>
        <v>0.33333333333333331</v>
      </c>
    </row>
    <row r="388" spans="1:17" x14ac:dyDescent="0.3">
      <c r="A388" s="3">
        <v>30</v>
      </c>
      <c r="B388" s="3">
        <v>12</v>
      </c>
      <c r="C388" s="6">
        <v>4.3</v>
      </c>
      <c r="D388" t="s">
        <v>13</v>
      </c>
      <c r="E388" s="3">
        <v>4000</v>
      </c>
      <c r="F388" s="6">
        <v>4.0999999999999996</v>
      </c>
      <c r="G388" t="s">
        <v>70</v>
      </c>
      <c r="H388" s="2">
        <v>0.3</v>
      </c>
      <c r="I388" s="3">
        <v>3000</v>
      </c>
      <c r="J388" s="3" t="str">
        <f t="shared" si="25"/>
        <v>Medium Price</v>
      </c>
      <c r="K388" t="s">
        <v>179</v>
      </c>
      <c r="L388" t="s">
        <v>24</v>
      </c>
      <c r="M388" t="s">
        <v>25</v>
      </c>
      <c r="N388">
        <v>0.7</v>
      </c>
      <c r="O388" t="str">
        <f t="shared" si="26"/>
        <v>Medium</v>
      </c>
      <c r="P388">
        <f t="shared" si="27"/>
        <v>36000</v>
      </c>
      <c r="Q388" s="2">
        <f t="shared" si="28"/>
        <v>0.4</v>
      </c>
    </row>
    <row r="389" spans="1:17" x14ac:dyDescent="0.3">
      <c r="A389" s="3">
        <v>15</v>
      </c>
      <c r="B389" s="3">
        <v>6</v>
      </c>
      <c r="C389" s="6">
        <v>3.6</v>
      </c>
      <c r="D389" t="s">
        <v>20</v>
      </c>
      <c r="E389" s="3">
        <v>500</v>
      </c>
      <c r="F389" s="6">
        <v>3</v>
      </c>
      <c r="G389" t="s">
        <v>75</v>
      </c>
      <c r="H389" s="2">
        <v>-0.4</v>
      </c>
      <c r="I389" s="3">
        <v>800</v>
      </c>
      <c r="J389" s="3" t="str">
        <f t="shared" si="25"/>
        <v>Low Price</v>
      </c>
      <c r="K389" t="s">
        <v>179</v>
      </c>
      <c r="L389" t="s">
        <v>29</v>
      </c>
      <c r="M389" t="s">
        <v>18</v>
      </c>
      <c r="N389">
        <v>0.45</v>
      </c>
      <c r="O389" t="str">
        <f t="shared" si="26"/>
        <v>Medium</v>
      </c>
      <c r="P389">
        <f t="shared" si="27"/>
        <v>4800</v>
      </c>
      <c r="Q389" s="2">
        <f t="shared" si="28"/>
        <v>0.4</v>
      </c>
    </row>
    <row r="390" spans="1:17" x14ac:dyDescent="0.3">
      <c r="A390" s="3">
        <v>39</v>
      </c>
      <c r="B390" s="3">
        <v>16</v>
      </c>
      <c r="C390" s="6">
        <v>4.7</v>
      </c>
      <c r="D390" t="s">
        <v>13</v>
      </c>
      <c r="E390" s="3">
        <v>7000</v>
      </c>
      <c r="F390" s="6">
        <v>4.8</v>
      </c>
      <c r="G390" t="s">
        <v>77</v>
      </c>
      <c r="H390" s="2">
        <v>0.8</v>
      </c>
      <c r="I390" s="3">
        <v>8000</v>
      </c>
      <c r="J390" s="3" t="str">
        <f t="shared" si="25"/>
        <v>High Price</v>
      </c>
      <c r="K390" t="s">
        <v>9</v>
      </c>
      <c r="L390" t="s">
        <v>24</v>
      </c>
      <c r="M390" t="s">
        <v>25</v>
      </c>
      <c r="N390">
        <v>0.9</v>
      </c>
      <c r="O390" t="str">
        <f t="shared" si="26"/>
        <v>High</v>
      </c>
      <c r="P390">
        <f t="shared" si="27"/>
        <v>128000</v>
      </c>
      <c r="Q390" s="2">
        <f t="shared" si="28"/>
        <v>0.41025641025641024</v>
      </c>
    </row>
    <row r="391" spans="1:17" x14ac:dyDescent="0.3">
      <c r="A391" s="3">
        <v>26</v>
      </c>
      <c r="B391" s="3">
        <v>11</v>
      </c>
      <c r="C391" s="6">
        <v>4</v>
      </c>
      <c r="D391" t="s">
        <v>13</v>
      </c>
      <c r="E391" s="3">
        <v>3000</v>
      </c>
      <c r="F391" s="6">
        <v>3.9</v>
      </c>
      <c r="G391" t="s">
        <v>31</v>
      </c>
      <c r="H391" s="2">
        <v>0.1</v>
      </c>
      <c r="I391" s="3">
        <v>3000</v>
      </c>
      <c r="J391" s="3" t="str">
        <f t="shared" si="25"/>
        <v>Medium Price</v>
      </c>
      <c r="K391" t="s">
        <v>179</v>
      </c>
      <c r="L391" t="s">
        <v>17</v>
      </c>
      <c r="M391" t="s">
        <v>18</v>
      </c>
      <c r="N391">
        <v>0.65</v>
      </c>
      <c r="O391" t="str">
        <f t="shared" si="26"/>
        <v>Medium</v>
      </c>
      <c r="P391">
        <f t="shared" si="27"/>
        <v>33000</v>
      </c>
      <c r="Q391" s="2">
        <f t="shared" si="28"/>
        <v>0.42307692307692307</v>
      </c>
    </row>
    <row r="392" spans="1:17" x14ac:dyDescent="0.3">
      <c r="A392" s="3">
        <v>11</v>
      </c>
      <c r="B392" s="3">
        <v>4</v>
      </c>
      <c r="C392" s="6">
        <v>3.4</v>
      </c>
      <c r="D392" t="s">
        <v>20</v>
      </c>
      <c r="E392" s="3">
        <v>300</v>
      </c>
      <c r="F392" s="6">
        <v>2.7</v>
      </c>
      <c r="G392" t="s">
        <v>35</v>
      </c>
      <c r="H392" s="2">
        <v>-0.5</v>
      </c>
      <c r="I392" s="3">
        <v>500</v>
      </c>
      <c r="J392" s="3" t="str">
        <f t="shared" si="25"/>
        <v>Low Price</v>
      </c>
      <c r="K392" t="s">
        <v>179</v>
      </c>
      <c r="L392" t="s">
        <v>29</v>
      </c>
      <c r="M392" t="s">
        <v>18</v>
      </c>
      <c r="N392">
        <v>0.4</v>
      </c>
      <c r="O392" t="str">
        <f t="shared" si="26"/>
        <v>Medium</v>
      </c>
      <c r="P392">
        <f t="shared" si="27"/>
        <v>2000</v>
      </c>
      <c r="Q392" s="2">
        <f t="shared" si="28"/>
        <v>0.36363636363636365</v>
      </c>
    </row>
    <row r="393" spans="1:17" x14ac:dyDescent="0.3">
      <c r="A393" s="3">
        <v>44</v>
      </c>
      <c r="B393" s="3">
        <v>17</v>
      </c>
      <c r="C393" s="6">
        <v>4.8</v>
      </c>
      <c r="D393" t="s">
        <v>13</v>
      </c>
      <c r="E393" s="3">
        <v>8000</v>
      </c>
      <c r="F393" s="6">
        <v>4.5999999999999996</v>
      </c>
      <c r="G393" t="s">
        <v>73</v>
      </c>
      <c r="H393" s="2">
        <v>0.85</v>
      </c>
      <c r="I393" s="3">
        <v>9000</v>
      </c>
      <c r="J393" s="3" t="str">
        <f t="shared" si="25"/>
        <v>High Price</v>
      </c>
      <c r="K393" t="s">
        <v>9</v>
      </c>
      <c r="L393" t="s">
        <v>17</v>
      </c>
      <c r="M393" t="s">
        <v>25</v>
      </c>
      <c r="N393">
        <v>0.95</v>
      </c>
      <c r="O393" t="str">
        <f t="shared" si="26"/>
        <v>High</v>
      </c>
      <c r="P393">
        <f t="shared" si="27"/>
        <v>153000</v>
      </c>
      <c r="Q393" s="2">
        <f t="shared" si="28"/>
        <v>0.38636363636363635</v>
      </c>
    </row>
    <row r="394" spans="1:17" x14ac:dyDescent="0.3">
      <c r="A394" s="3">
        <v>4</v>
      </c>
      <c r="B394" s="3">
        <v>1</v>
      </c>
      <c r="C394" s="6">
        <v>2</v>
      </c>
      <c r="D394" t="s">
        <v>20</v>
      </c>
      <c r="E394" s="3">
        <v>200</v>
      </c>
      <c r="F394" s="6">
        <v>1.8</v>
      </c>
      <c r="G394" t="s">
        <v>39</v>
      </c>
      <c r="H394" s="2">
        <v>-0.85</v>
      </c>
      <c r="I394" s="3">
        <v>200</v>
      </c>
      <c r="J394" s="3" t="str">
        <f t="shared" si="25"/>
        <v>Low Price</v>
      </c>
      <c r="K394" t="s">
        <v>179</v>
      </c>
      <c r="L394" t="s">
        <v>33</v>
      </c>
      <c r="M394" t="s">
        <v>34</v>
      </c>
      <c r="N394">
        <v>0.03</v>
      </c>
      <c r="O394" t="str">
        <f t="shared" si="26"/>
        <v>Low</v>
      </c>
      <c r="P394">
        <f t="shared" si="27"/>
        <v>200</v>
      </c>
      <c r="Q394" s="2">
        <f t="shared" si="28"/>
        <v>0.25</v>
      </c>
    </row>
    <row r="395" spans="1:17" x14ac:dyDescent="0.3">
      <c r="A395" s="3">
        <v>32</v>
      </c>
      <c r="B395" s="3">
        <v>13</v>
      </c>
      <c r="C395" s="6">
        <v>4.4000000000000004</v>
      </c>
      <c r="D395" t="s">
        <v>13</v>
      </c>
      <c r="E395" s="3">
        <v>5000</v>
      </c>
      <c r="F395" s="6">
        <v>4.5</v>
      </c>
      <c r="G395" t="s">
        <v>80</v>
      </c>
      <c r="H395" s="2">
        <v>0.6</v>
      </c>
      <c r="I395" s="3">
        <v>6000</v>
      </c>
      <c r="J395" s="3" t="str">
        <f t="shared" si="25"/>
        <v>High Price</v>
      </c>
      <c r="K395" t="s">
        <v>179</v>
      </c>
      <c r="L395" t="s">
        <v>24</v>
      </c>
      <c r="M395" t="s">
        <v>25</v>
      </c>
      <c r="N395">
        <v>0.8</v>
      </c>
      <c r="O395" t="str">
        <f t="shared" si="26"/>
        <v>High</v>
      </c>
      <c r="P395">
        <f t="shared" si="27"/>
        <v>78000</v>
      </c>
      <c r="Q395" s="2">
        <f t="shared" si="28"/>
        <v>0.40625</v>
      </c>
    </row>
    <row r="396" spans="1:17" x14ac:dyDescent="0.3">
      <c r="A396" s="3">
        <v>13</v>
      </c>
      <c r="B396" s="3">
        <v>5</v>
      </c>
      <c r="C396" s="6">
        <v>3.5</v>
      </c>
      <c r="D396" t="s">
        <v>20</v>
      </c>
      <c r="E396" s="3">
        <v>700</v>
      </c>
      <c r="F396" s="6">
        <v>3.2</v>
      </c>
      <c r="G396" t="s">
        <v>42</v>
      </c>
      <c r="H396" s="2">
        <v>-0.3</v>
      </c>
      <c r="I396" s="3">
        <v>900</v>
      </c>
      <c r="J396" s="3" t="str">
        <f t="shared" si="25"/>
        <v>Low Price</v>
      </c>
      <c r="K396" t="s">
        <v>179</v>
      </c>
      <c r="L396" t="s">
        <v>29</v>
      </c>
      <c r="M396" t="s">
        <v>18</v>
      </c>
      <c r="N396">
        <v>0.5</v>
      </c>
      <c r="O396" t="str">
        <f t="shared" si="26"/>
        <v>Medium</v>
      </c>
      <c r="P396">
        <f t="shared" si="27"/>
        <v>4500</v>
      </c>
      <c r="Q396" s="2">
        <f t="shared" si="28"/>
        <v>0.38461538461538464</v>
      </c>
    </row>
    <row r="397" spans="1:17" x14ac:dyDescent="0.3">
      <c r="A397" s="3">
        <v>41</v>
      </c>
      <c r="B397" s="3">
        <v>17</v>
      </c>
      <c r="C397" s="6">
        <v>4.9000000000000004</v>
      </c>
      <c r="D397" t="s">
        <v>13</v>
      </c>
      <c r="E397" s="3">
        <v>7000</v>
      </c>
      <c r="F397" s="6">
        <v>4.8</v>
      </c>
      <c r="G397" t="s">
        <v>65</v>
      </c>
      <c r="H397" s="2">
        <v>0.85</v>
      </c>
      <c r="I397" s="3">
        <v>8000</v>
      </c>
      <c r="J397" s="3" t="str">
        <f t="shared" si="25"/>
        <v>High Price</v>
      </c>
      <c r="K397" t="s">
        <v>9</v>
      </c>
      <c r="L397" t="s">
        <v>24</v>
      </c>
      <c r="M397" t="s">
        <v>25</v>
      </c>
      <c r="N397">
        <v>0.95</v>
      </c>
      <c r="O397" t="str">
        <f t="shared" si="26"/>
        <v>High</v>
      </c>
      <c r="P397">
        <f t="shared" si="27"/>
        <v>136000</v>
      </c>
      <c r="Q397" s="2">
        <f t="shared" si="28"/>
        <v>0.41463414634146339</v>
      </c>
    </row>
    <row r="398" spans="1:17" x14ac:dyDescent="0.3">
      <c r="A398" s="3">
        <v>7</v>
      </c>
      <c r="B398" s="3">
        <v>2</v>
      </c>
      <c r="C398" s="6">
        <v>2.2000000000000002</v>
      </c>
      <c r="D398" t="s">
        <v>20</v>
      </c>
      <c r="E398" s="3">
        <v>100</v>
      </c>
      <c r="F398" s="6">
        <v>1.9</v>
      </c>
      <c r="G398" t="s">
        <v>47</v>
      </c>
      <c r="H398" s="2">
        <v>-0.7</v>
      </c>
      <c r="I398" s="3">
        <v>300</v>
      </c>
      <c r="J398" s="3" t="str">
        <f t="shared" si="25"/>
        <v>Low Price</v>
      </c>
      <c r="K398" t="s">
        <v>179</v>
      </c>
      <c r="L398" t="s">
        <v>33</v>
      </c>
      <c r="M398" t="s">
        <v>34</v>
      </c>
      <c r="N398">
        <v>0.15</v>
      </c>
      <c r="O398" t="str">
        <f t="shared" si="26"/>
        <v>Low</v>
      </c>
      <c r="P398">
        <f t="shared" si="27"/>
        <v>600</v>
      </c>
      <c r="Q398" s="2">
        <f t="shared" si="28"/>
        <v>0.2857142857142857</v>
      </c>
    </row>
    <row r="399" spans="1:17" x14ac:dyDescent="0.3">
      <c r="A399" s="3">
        <v>29</v>
      </c>
      <c r="B399" s="3">
        <v>12</v>
      </c>
      <c r="C399" s="6">
        <v>4.3</v>
      </c>
      <c r="D399" t="s">
        <v>13</v>
      </c>
      <c r="E399" s="3">
        <v>4000</v>
      </c>
      <c r="F399" s="6">
        <v>4.2</v>
      </c>
      <c r="G399" t="s">
        <v>70</v>
      </c>
      <c r="H399" s="2">
        <v>0.4</v>
      </c>
      <c r="I399" s="3">
        <v>3000</v>
      </c>
      <c r="J399" s="3" t="str">
        <f t="shared" si="25"/>
        <v>Medium Price</v>
      </c>
      <c r="K399" t="s">
        <v>179</v>
      </c>
      <c r="L399" t="s">
        <v>24</v>
      </c>
      <c r="M399" t="s">
        <v>25</v>
      </c>
      <c r="N399">
        <v>0.7</v>
      </c>
      <c r="O399" t="str">
        <f t="shared" si="26"/>
        <v>Medium</v>
      </c>
      <c r="P399">
        <f t="shared" si="27"/>
        <v>36000</v>
      </c>
      <c r="Q399" s="2">
        <f t="shared" si="28"/>
        <v>0.41379310344827586</v>
      </c>
    </row>
    <row r="400" spans="1:17" x14ac:dyDescent="0.3">
      <c r="A400" s="3">
        <v>16</v>
      </c>
      <c r="B400" s="3">
        <v>7</v>
      </c>
      <c r="C400" s="6">
        <v>3.8</v>
      </c>
      <c r="D400" t="s">
        <v>20</v>
      </c>
      <c r="E400" s="3">
        <v>600</v>
      </c>
      <c r="F400" s="6">
        <v>3.3</v>
      </c>
      <c r="G400" t="s">
        <v>60</v>
      </c>
      <c r="H400" s="2">
        <v>-0.2</v>
      </c>
      <c r="I400" s="3">
        <v>1000</v>
      </c>
      <c r="J400" s="3" t="str">
        <f t="shared" si="25"/>
        <v>Medium Price</v>
      </c>
      <c r="K400" t="s">
        <v>179</v>
      </c>
      <c r="L400" t="s">
        <v>29</v>
      </c>
      <c r="M400" t="s">
        <v>18</v>
      </c>
      <c r="N400">
        <v>0.55000000000000004</v>
      </c>
      <c r="O400" t="str">
        <f t="shared" si="26"/>
        <v>Medium</v>
      </c>
      <c r="P400">
        <f t="shared" si="27"/>
        <v>7000</v>
      </c>
      <c r="Q400" s="2">
        <f t="shared" si="28"/>
        <v>0.4375</v>
      </c>
    </row>
    <row r="401" spans="1:17" x14ac:dyDescent="0.3">
      <c r="A401" s="3">
        <v>38</v>
      </c>
      <c r="B401" s="3">
        <v>16</v>
      </c>
      <c r="C401" s="6">
        <v>4.7</v>
      </c>
      <c r="D401" t="s">
        <v>13</v>
      </c>
      <c r="E401" s="3">
        <v>7000</v>
      </c>
      <c r="F401" s="6">
        <v>4.9000000000000004</v>
      </c>
      <c r="G401" t="s">
        <v>74</v>
      </c>
      <c r="H401" s="2">
        <v>0.9</v>
      </c>
      <c r="I401" s="3">
        <v>10000</v>
      </c>
      <c r="J401" s="3" t="str">
        <f t="shared" si="25"/>
        <v>High Price</v>
      </c>
      <c r="K401" t="s">
        <v>9</v>
      </c>
      <c r="L401" t="s">
        <v>17</v>
      </c>
      <c r="M401" t="s">
        <v>25</v>
      </c>
      <c r="N401">
        <v>0.9</v>
      </c>
      <c r="O401" t="str">
        <f t="shared" si="26"/>
        <v>High</v>
      </c>
      <c r="P401">
        <f t="shared" si="27"/>
        <v>160000</v>
      </c>
      <c r="Q401" s="2">
        <f t="shared" si="28"/>
        <v>0.42105263157894735</v>
      </c>
    </row>
    <row r="402" spans="1:17" x14ac:dyDescent="0.3">
      <c r="A402" s="3">
        <v>2</v>
      </c>
      <c r="B402" s="3">
        <v>0</v>
      </c>
      <c r="C402" s="6">
        <v>1</v>
      </c>
      <c r="D402" t="s">
        <v>20</v>
      </c>
      <c r="E402" s="3">
        <v>100</v>
      </c>
      <c r="F402" s="6">
        <v>1</v>
      </c>
      <c r="G402" t="s">
        <v>99</v>
      </c>
      <c r="H402" s="2">
        <v>-1</v>
      </c>
      <c r="I402" s="3">
        <v>100</v>
      </c>
      <c r="J402" s="3" t="str">
        <f t="shared" si="25"/>
        <v>Low Price</v>
      </c>
      <c r="K402" t="s">
        <v>179</v>
      </c>
      <c r="L402" t="s">
        <v>33</v>
      </c>
      <c r="M402" t="s">
        <v>34</v>
      </c>
      <c r="N402">
        <v>0</v>
      </c>
      <c r="O402" t="str">
        <f t="shared" si="26"/>
        <v>Low</v>
      </c>
      <c r="P402">
        <f t="shared" si="27"/>
        <v>0</v>
      </c>
      <c r="Q402" s="2">
        <f t="shared" si="28"/>
        <v>0</v>
      </c>
    </row>
    <row r="403" spans="1:17" x14ac:dyDescent="0.3">
      <c r="A403" s="3">
        <v>27</v>
      </c>
      <c r="B403" s="3">
        <v>11</v>
      </c>
      <c r="C403" s="6">
        <v>4.0999999999999996</v>
      </c>
      <c r="D403" t="s">
        <v>13</v>
      </c>
      <c r="E403" s="3">
        <v>4000</v>
      </c>
      <c r="F403" s="6">
        <v>3.8</v>
      </c>
      <c r="G403" t="s">
        <v>76</v>
      </c>
      <c r="H403" s="2">
        <v>0.2</v>
      </c>
      <c r="I403" s="3">
        <v>4000</v>
      </c>
      <c r="J403" s="3" t="str">
        <f t="shared" si="25"/>
        <v>Medium Price</v>
      </c>
      <c r="K403" t="s">
        <v>179</v>
      </c>
      <c r="L403" t="s">
        <v>17</v>
      </c>
      <c r="M403" t="s">
        <v>18</v>
      </c>
      <c r="N403">
        <v>0.7</v>
      </c>
      <c r="O403" t="str">
        <f t="shared" si="26"/>
        <v>Medium</v>
      </c>
      <c r="P403">
        <f t="shared" si="27"/>
        <v>44000</v>
      </c>
      <c r="Q403" s="2">
        <f t="shared" si="28"/>
        <v>0.40740740740740738</v>
      </c>
    </row>
    <row r="404" spans="1:17" x14ac:dyDescent="0.3">
      <c r="A404" s="3">
        <v>9</v>
      </c>
      <c r="B404" s="3">
        <v>3</v>
      </c>
      <c r="C404" s="6">
        <v>3.2</v>
      </c>
      <c r="D404" t="s">
        <v>20</v>
      </c>
      <c r="E404" s="3">
        <v>400</v>
      </c>
      <c r="F404" s="6">
        <v>2.9</v>
      </c>
      <c r="G404" t="s">
        <v>62</v>
      </c>
      <c r="H404" s="2">
        <v>-0.4</v>
      </c>
      <c r="I404" s="3">
        <v>800</v>
      </c>
      <c r="J404" s="3" t="str">
        <f t="shared" si="25"/>
        <v>Low Price</v>
      </c>
      <c r="K404" t="s">
        <v>179</v>
      </c>
      <c r="L404" t="s">
        <v>29</v>
      </c>
      <c r="M404" t="s">
        <v>18</v>
      </c>
      <c r="N404">
        <v>0.45</v>
      </c>
      <c r="O404" t="str">
        <f t="shared" si="26"/>
        <v>Medium</v>
      </c>
      <c r="P404">
        <f t="shared" si="27"/>
        <v>2400</v>
      </c>
      <c r="Q404" s="2">
        <f t="shared" si="28"/>
        <v>0.33333333333333331</v>
      </c>
    </row>
    <row r="405" spans="1:17" x14ac:dyDescent="0.3">
      <c r="A405" s="3">
        <v>48</v>
      </c>
      <c r="B405" s="3">
        <v>19</v>
      </c>
      <c r="C405" s="6">
        <v>4.9000000000000004</v>
      </c>
      <c r="D405" t="s">
        <v>13</v>
      </c>
      <c r="E405" s="3">
        <v>10000</v>
      </c>
      <c r="F405" s="6">
        <v>4.5999999999999996</v>
      </c>
      <c r="G405" t="s">
        <v>80</v>
      </c>
      <c r="H405" s="2">
        <v>0.9</v>
      </c>
      <c r="I405" s="3">
        <v>9000</v>
      </c>
      <c r="J405" s="3" t="str">
        <f t="shared" si="25"/>
        <v>High Price</v>
      </c>
      <c r="K405" t="s">
        <v>9</v>
      </c>
      <c r="L405" t="s">
        <v>17</v>
      </c>
      <c r="M405" t="s">
        <v>25</v>
      </c>
      <c r="N405">
        <v>0.95</v>
      </c>
      <c r="O405" t="str">
        <f t="shared" si="26"/>
        <v>High</v>
      </c>
      <c r="P405">
        <f t="shared" si="27"/>
        <v>171000</v>
      </c>
      <c r="Q405" s="2">
        <f t="shared" si="28"/>
        <v>0.39583333333333331</v>
      </c>
    </row>
    <row r="406" spans="1:17" x14ac:dyDescent="0.3">
      <c r="A406" s="3">
        <v>6</v>
      </c>
      <c r="B406" s="3">
        <v>1</v>
      </c>
      <c r="C406" s="6">
        <v>2.5</v>
      </c>
      <c r="D406" t="s">
        <v>20</v>
      </c>
      <c r="E406" s="3">
        <v>200</v>
      </c>
      <c r="F406" s="6">
        <v>2.2000000000000002</v>
      </c>
      <c r="G406" t="s">
        <v>35</v>
      </c>
      <c r="H406" s="2">
        <v>-0.6</v>
      </c>
      <c r="I406" s="3">
        <v>600</v>
      </c>
      <c r="J406" s="3" t="str">
        <f t="shared" si="25"/>
        <v>Low Price</v>
      </c>
      <c r="K406" t="s">
        <v>179</v>
      </c>
      <c r="L406" t="s">
        <v>29</v>
      </c>
      <c r="M406" t="s">
        <v>18</v>
      </c>
      <c r="N406">
        <v>0.3</v>
      </c>
      <c r="O406" t="str">
        <f t="shared" si="26"/>
        <v>Low</v>
      </c>
      <c r="P406">
        <f t="shared" si="27"/>
        <v>600</v>
      </c>
      <c r="Q406" s="2">
        <f t="shared" si="28"/>
        <v>0.16666666666666666</v>
      </c>
    </row>
    <row r="407" spans="1:17" x14ac:dyDescent="0.3">
      <c r="A407" s="3">
        <v>34</v>
      </c>
      <c r="B407" s="3">
        <v>14</v>
      </c>
      <c r="C407" s="6">
        <v>4.5</v>
      </c>
      <c r="D407" t="s">
        <v>13</v>
      </c>
      <c r="E407" s="3">
        <v>8000</v>
      </c>
      <c r="F407" s="6">
        <v>4.8</v>
      </c>
      <c r="G407" t="s">
        <v>73</v>
      </c>
      <c r="H407" s="2">
        <v>0.9</v>
      </c>
      <c r="I407" s="3">
        <v>9000</v>
      </c>
      <c r="J407" s="3" t="str">
        <f t="shared" si="25"/>
        <v>High Price</v>
      </c>
      <c r="K407" t="s">
        <v>9</v>
      </c>
      <c r="L407" t="s">
        <v>17</v>
      </c>
      <c r="M407" t="s">
        <v>25</v>
      </c>
      <c r="N407">
        <v>0.95</v>
      </c>
      <c r="O407" t="str">
        <f t="shared" si="26"/>
        <v>High</v>
      </c>
      <c r="P407">
        <f t="shared" si="27"/>
        <v>126000</v>
      </c>
      <c r="Q407" s="2">
        <f t="shared" si="28"/>
        <v>0.41176470588235292</v>
      </c>
    </row>
    <row r="408" spans="1:17" x14ac:dyDescent="0.3">
      <c r="A408" s="3">
        <v>10</v>
      </c>
      <c r="B408" s="3">
        <v>4</v>
      </c>
      <c r="C408" s="6">
        <v>3.3</v>
      </c>
      <c r="D408" t="s">
        <v>20</v>
      </c>
      <c r="E408" s="3">
        <v>500</v>
      </c>
      <c r="F408" s="6">
        <v>2.8</v>
      </c>
      <c r="G408" t="s">
        <v>62</v>
      </c>
      <c r="H408" s="2">
        <v>-0.5</v>
      </c>
      <c r="I408" s="3">
        <v>900</v>
      </c>
      <c r="J408" s="3" t="str">
        <f t="shared" si="25"/>
        <v>Low Price</v>
      </c>
      <c r="K408" t="s">
        <v>179</v>
      </c>
      <c r="L408" t="s">
        <v>29</v>
      </c>
      <c r="M408" t="s">
        <v>18</v>
      </c>
      <c r="N408">
        <v>0.4</v>
      </c>
      <c r="O408" t="str">
        <f t="shared" si="26"/>
        <v>Medium</v>
      </c>
      <c r="P408">
        <f t="shared" si="27"/>
        <v>3600</v>
      </c>
      <c r="Q408" s="2">
        <f t="shared" si="28"/>
        <v>0.4</v>
      </c>
    </row>
    <row r="409" spans="1:17" x14ac:dyDescent="0.3">
      <c r="A409" s="3">
        <v>45</v>
      </c>
      <c r="B409" s="3">
        <v>18</v>
      </c>
      <c r="C409" s="6">
        <v>4.8</v>
      </c>
      <c r="D409" t="s">
        <v>13</v>
      </c>
      <c r="E409" s="3">
        <v>9000</v>
      </c>
      <c r="F409" s="6">
        <v>4.9000000000000004</v>
      </c>
      <c r="G409" t="s">
        <v>80</v>
      </c>
      <c r="H409" s="2">
        <v>0.9</v>
      </c>
      <c r="I409" s="3">
        <v>10000</v>
      </c>
      <c r="J409" s="3" t="str">
        <f t="shared" si="25"/>
        <v>High Price</v>
      </c>
      <c r="K409" t="s">
        <v>9</v>
      </c>
      <c r="L409" t="s">
        <v>17</v>
      </c>
      <c r="M409" t="s">
        <v>25</v>
      </c>
      <c r="N409">
        <v>0.95</v>
      </c>
      <c r="O409" t="str">
        <f t="shared" si="26"/>
        <v>High</v>
      </c>
      <c r="P409">
        <f t="shared" si="27"/>
        <v>180000</v>
      </c>
      <c r="Q409" s="2">
        <f t="shared" si="28"/>
        <v>0.4</v>
      </c>
    </row>
    <row r="410" spans="1:17" x14ac:dyDescent="0.3">
      <c r="A410" s="3">
        <v>8</v>
      </c>
      <c r="B410" s="3">
        <v>2</v>
      </c>
      <c r="C410" s="6">
        <v>2.8</v>
      </c>
      <c r="D410" t="s">
        <v>20</v>
      </c>
      <c r="E410" s="3">
        <v>200</v>
      </c>
      <c r="F410" s="6">
        <v>2.1</v>
      </c>
      <c r="G410" t="s">
        <v>48</v>
      </c>
      <c r="H410" s="2">
        <v>-0.7</v>
      </c>
      <c r="I410" s="3">
        <v>300</v>
      </c>
      <c r="J410" s="3" t="str">
        <f t="shared" si="25"/>
        <v>Low Price</v>
      </c>
      <c r="K410" t="s">
        <v>179</v>
      </c>
      <c r="L410" t="s">
        <v>29</v>
      </c>
      <c r="M410" t="s">
        <v>18</v>
      </c>
      <c r="N410">
        <v>0.25</v>
      </c>
      <c r="O410" t="str">
        <f t="shared" si="26"/>
        <v>Low</v>
      </c>
      <c r="P410">
        <f t="shared" si="27"/>
        <v>600</v>
      </c>
      <c r="Q410" s="2">
        <f t="shared" si="28"/>
        <v>0.25</v>
      </c>
    </row>
    <row r="411" spans="1:17" x14ac:dyDescent="0.3">
      <c r="A411" s="3">
        <v>33</v>
      </c>
      <c r="B411" s="3">
        <v>13</v>
      </c>
      <c r="C411" s="6">
        <v>4.4000000000000004</v>
      </c>
      <c r="D411" t="s">
        <v>13</v>
      </c>
      <c r="E411" s="3">
        <v>5000</v>
      </c>
      <c r="F411" s="6">
        <v>4.5</v>
      </c>
      <c r="G411" t="s">
        <v>80</v>
      </c>
      <c r="H411" s="2">
        <v>0.7</v>
      </c>
      <c r="I411" s="3">
        <v>6000</v>
      </c>
      <c r="J411" s="3" t="str">
        <f t="shared" si="25"/>
        <v>High Price</v>
      </c>
      <c r="K411" t="s">
        <v>179</v>
      </c>
      <c r="L411" t="s">
        <v>24</v>
      </c>
      <c r="M411" t="s">
        <v>25</v>
      </c>
      <c r="N411">
        <v>0.8</v>
      </c>
      <c r="O411" t="str">
        <f t="shared" si="26"/>
        <v>High</v>
      </c>
      <c r="P411">
        <f t="shared" si="27"/>
        <v>78000</v>
      </c>
      <c r="Q411" s="2">
        <f t="shared" si="28"/>
        <v>0.39393939393939392</v>
      </c>
    </row>
    <row r="412" spans="1:17" x14ac:dyDescent="0.3">
      <c r="A412" s="3">
        <v>12</v>
      </c>
      <c r="B412" s="3">
        <v>5</v>
      </c>
      <c r="C412" s="6">
        <v>3.4</v>
      </c>
      <c r="D412" t="s">
        <v>20</v>
      </c>
      <c r="E412" s="3">
        <v>600</v>
      </c>
      <c r="F412" s="6">
        <v>3.1</v>
      </c>
      <c r="G412" t="s">
        <v>42</v>
      </c>
      <c r="H412" s="2">
        <v>-0.3</v>
      </c>
      <c r="I412" s="3">
        <v>1000</v>
      </c>
      <c r="J412" s="3" t="str">
        <f t="shared" si="25"/>
        <v>Medium Price</v>
      </c>
      <c r="K412" t="s">
        <v>179</v>
      </c>
      <c r="L412" t="s">
        <v>29</v>
      </c>
      <c r="M412" t="s">
        <v>18</v>
      </c>
      <c r="N412">
        <v>0.5</v>
      </c>
      <c r="O412" t="str">
        <f t="shared" si="26"/>
        <v>Medium</v>
      </c>
      <c r="P412">
        <f t="shared" si="27"/>
        <v>5000</v>
      </c>
      <c r="Q412" s="2">
        <f t="shared" si="28"/>
        <v>0.41666666666666669</v>
      </c>
    </row>
    <row r="413" spans="1:17" x14ac:dyDescent="0.3">
      <c r="A413" s="3">
        <v>50</v>
      </c>
      <c r="B413" s="3">
        <v>20</v>
      </c>
      <c r="C413" s="6">
        <v>5</v>
      </c>
      <c r="D413" t="s">
        <v>13</v>
      </c>
      <c r="E413" s="3">
        <v>10000</v>
      </c>
      <c r="F413" s="6">
        <v>4.8</v>
      </c>
      <c r="G413" t="s">
        <v>53</v>
      </c>
      <c r="H413" s="2">
        <v>1</v>
      </c>
      <c r="I413" s="3">
        <v>10000</v>
      </c>
      <c r="J413" s="3" t="str">
        <f t="shared" si="25"/>
        <v>High Price</v>
      </c>
      <c r="K413" t="s">
        <v>9</v>
      </c>
      <c r="L413" t="s">
        <v>17</v>
      </c>
      <c r="M413" t="s">
        <v>25</v>
      </c>
      <c r="N413">
        <v>1</v>
      </c>
      <c r="O413" t="str">
        <f t="shared" si="26"/>
        <v>High</v>
      </c>
      <c r="P413">
        <f t="shared" si="27"/>
        <v>200000</v>
      </c>
      <c r="Q413" s="2">
        <f t="shared" si="28"/>
        <v>0.4</v>
      </c>
    </row>
    <row r="414" spans="1:17" x14ac:dyDescent="0.3">
      <c r="A414" s="3">
        <v>21</v>
      </c>
      <c r="B414" s="3">
        <v>9</v>
      </c>
      <c r="C414" s="6">
        <v>3.9</v>
      </c>
      <c r="D414" t="s">
        <v>20</v>
      </c>
      <c r="E414" s="3">
        <v>800</v>
      </c>
      <c r="F414" s="6">
        <v>3.6</v>
      </c>
      <c r="G414" t="s">
        <v>72</v>
      </c>
      <c r="H414" s="2">
        <v>-0.1</v>
      </c>
      <c r="I414" s="3">
        <v>600</v>
      </c>
      <c r="J414" s="3" t="str">
        <f t="shared" si="25"/>
        <v>Low Price</v>
      </c>
      <c r="K414" t="s">
        <v>179</v>
      </c>
      <c r="L414" t="s">
        <v>29</v>
      </c>
      <c r="M414" t="s">
        <v>18</v>
      </c>
      <c r="N414">
        <v>0.55000000000000004</v>
      </c>
      <c r="O414" t="str">
        <f t="shared" si="26"/>
        <v>Medium</v>
      </c>
      <c r="P414">
        <f t="shared" si="27"/>
        <v>5400</v>
      </c>
      <c r="Q414" s="2">
        <f t="shared" si="28"/>
        <v>0.42857142857142855</v>
      </c>
    </row>
    <row r="415" spans="1:17" x14ac:dyDescent="0.3">
      <c r="A415" s="3">
        <v>49</v>
      </c>
      <c r="B415" s="3">
        <v>19</v>
      </c>
      <c r="C415" s="6">
        <v>4.9000000000000004</v>
      </c>
      <c r="D415" t="s">
        <v>13</v>
      </c>
      <c r="E415" s="3">
        <v>10000</v>
      </c>
      <c r="F415" s="6">
        <v>4.8</v>
      </c>
      <c r="G415" t="s">
        <v>65</v>
      </c>
      <c r="H415" s="2">
        <v>0.9</v>
      </c>
      <c r="I415" s="3">
        <v>9000</v>
      </c>
      <c r="J415" s="3" t="str">
        <f t="shared" si="25"/>
        <v>High Price</v>
      </c>
      <c r="K415" t="s">
        <v>9</v>
      </c>
      <c r="L415" t="s">
        <v>24</v>
      </c>
      <c r="M415" t="s">
        <v>25</v>
      </c>
      <c r="N415">
        <v>0.95</v>
      </c>
      <c r="O415" t="str">
        <f t="shared" si="26"/>
        <v>High</v>
      </c>
      <c r="P415">
        <f t="shared" si="27"/>
        <v>171000</v>
      </c>
      <c r="Q415" s="2">
        <f t="shared" si="28"/>
        <v>0.38775510204081631</v>
      </c>
    </row>
    <row r="416" spans="1:17" x14ac:dyDescent="0.3">
      <c r="A416" s="3">
        <v>14</v>
      </c>
      <c r="B416" s="3">
        <v>6</v>
      </c>
      <c r="C416" s="6">
        <v>3.5</v>
      </c>
      <c r="D416" t="s">
        <v>20</v>
      </c>
      <c r="E416" s="3">
        <v>700</v>
      </c>
      <c r="F416" s="6">
        <v>3.2</v>
      </c>
      <c r="G416" t="s">
        <v>42</v>
      </c>
      <c r="H416" s="2">
        <v>-0.4</v>
      </c>
      <c r="I416" s="3">
        <v>900</v>
      </c>
      <c r="J416" s="3" t="str">
        <f t="shared" si="25"/>
        <v>Low Price</v>
      </c>
      <c r="K416" t="s">
        <v>179</v>
      </c>
      <c r="L416" t="s">
        <v>29</v>
      </c>
      <c r="M416" t="s">
        <v>18</v>
      </c>
      <c r="N416">
        <v>0.5</v>
      </c>
      <c r="O416" t="str">
        <f t="shared" si="26"/>
        <v>Medium</v>
      </c>
      <c r="P416">
        <f t="shared" si="27"/>
        <v>5400</v>
      </c>
      <c r="Q416" s="2">
        <f t="shared" si="28"/>
        <v>0.42857142857142855</v>
      </c>
    </row>
    <row r="417" spans="1:17" x14ac:dyDescent="0.3">
      <c r="A417" s="3">
        <v>36</v>
      </c>
      <c r="B417" s="3">
        <v>15</v>
      </c>
      <c r="C417" s="6">
        <v>4.5</v>
      </c>
      <c r="D417" t="s">
        <v>13</v>
      </c>
      <c r="E417" s="3">
        <v>6000</v>
      </c>
      <c r="F417" s="6">
        <v>4.7</v>
      </c>
      <c r="G417" t="s">
        <v>69</v>
      </c>
      <c r="H417" s="2">
        <v>0.8</v>
      </c>
      <c r="I417" s="3">
        <v>5000</v>
      </c>
      <c r="J417" s="3" t="str">
        <f t="shared" si="25"/>
        <v>Medium Price</v>
      </c>
      <c r="K417" t="s">
        <v>9</v>
      </c>
      <c r="L417" t="s">
        <v>17</v>
      </c>
      <c r="M417" t="s">
        <v>25</v>
      </c>
      <c r="N417">
        <v>0.85</v>
      </c>
      <c r="O417" t="str">
        <f t="shared" si="26"/>
        <v>High</v>
      </c>
      <c r="P417">
        <f t="shared" si="27"/>
        <v>75000</v>
      </c>
      <c r="Q417" s="2">
        <f t="shared" si="28"/>
        <v>0.41666666666666669</v>
      </c>
    </row>
    <row r="418" spans="1:17" x14ac:dyDescent="0.3">
      <c r="A418" s="3">
        <v>17</v>
      </c>
      <c r="B418" s="3">
        <v>8</v>
      </c>
      <c r="C418" s="6">
        <v>3.7</v>
      </c>
      <c r="D418" t="s">
        <v>20</v>
      </c>
      <c r="E418" s="3">
        <v>900</v>
      </c>
      <c r="F418" s="6">
        <v>3.4</v>
      </c>
      <c r="G418" t="s">
        <v>75</v>
      </c>
      <c r="H418" s="2">
        <v>-0.2</v>
      </c>
      <c r="I418" s="3">
        <v>1200</v>
      </c>
      <c r="J418" s="3" t="str">
        <f t="shared" si="25"/>
        <v>Medium Price</v>
      </c>
      <c r="K418" t="s">
        <v>179</v>
      </c>
      <c r="L418" t="s">
        <v>29</v>
      </c>
      <c r="M418" t="s">
        <v>18</v>
      </c>
      <c r="N418">
        <v>0.6</v>
      </c>
      <c r="O418" t="str">
        <f t="shared" si="26"/>
        <v>Medium</v>
      </c>
      <c r="P418">
        <f t="shared" si="27"/>
        <v>9600</v>
      </c>
      <c r="Q418" s="2">
        <f t="shared" si="28"/>
        <v>0.47058823529411764</v>
      </c>
    </row>
    <row r="419" spans="1:17" x14ac:dyDescent="0.3">
      <c r="A419" s="3">
        <v>43</v>
      </c>
      <c r="B419" s="3">
        <v>17</v>
      </c>
      <c r="C419" s="6">
        <v>4.8</v>
      </c>
      <c r="D419" t="s">
        <v>13</v>
      </c>
      <c r="E419" s="3">
        <v>8000</v>
      </c>
      <c r="F419" s="6">
        <v>4.7</v>
      </c>
      <c r="G419" t="s">
        <v>65</v>
      </c>
      <c r="H419" s="2">
        <v>0.9</v>
      </c>
      <c r="I419" s="3">
        <v>8000</v>
      </c>
      <c r="J419" s="3" t="str">
        <f t="shared" si="25"/>
        <v>High Price</v>
      </c>
      <c r="K419" t="s">
        <v>9</v>
      </c>
      <c r="L419" t="s">
        <v>17</v>
      </c>
      <c r="M419" t="s">
        <v>25</v>
      </c>
      <c r="N419">
        <v>0.95</v>
      </c>
      <c r="O419" t="str">
        <f t="shared" si="26"/>
        <v>High</v>
      </c>
      <c r="P419">
        <f t="shared" si="27"/>
        <v>136000</v>
      </c>
      <c r="Q419" s="2">
        <f t="shared" si="28"/>
        <v>0.39534883720930231</v>
      </c>
    </row>
    <row r="420" spans="1:17" x14ac:dyDescent="0.3">
      <c r="A420" s="3">
        <v>19</v>
      </c>
      <c r="B420" s="3">
        <v>7</v>
      </c>
      <c r="C420" s="6">
        <v>3.8</v>
      </c>
      <c r="D420" t="s">
        <v>20</v>
      </c>
      <c r="E420" s="3">
        <v>700</v>
      </c>
      <c r="F420" s="6">
        <v>3.5</v>
      </c>
      <c r="G420" t="s">
        <v>95</v>
      </c>
      <c r="H420" s="2">
        <v>-0.3</v>
      </c>
      <c r="I420" s="3">
        <v>700</v>
      </c>
      <c r="J420" s="3" t="str">
        <f t="shared" si="25"/>
        <v>Low Price</v>
      </c>
      <c r="K420" t="s">
        <v>179</v>
      </c>
      <c r="L420" t="s">
        <v>29</v>
      </c>
      <c r="M420" t="s">
        <v>18</v>
      </c>
      <c r="N420">
        <v>0.55000000000000004</v>
      </c>
      <c r="O420" t="str">
        <f t="shared" si="26"/>
        <v>Medium</v>
      </c>
      <c r="P420">
        <f t="shared" si="27"/>
        <v>4900</v>
      </c>
      <c r="Q420" s="2">
        <f t="shared" si="28"/>
        <v>0.36842105263157893</v>
      </c>
    </row>
    <row r="421" spans="1:17" x14ac:dyDescent="0.3">
      <c r="A421" s="3">
        <v>35</v>
      </c>
      <c r="B421" s="3">
        <v>14</v>
      </c>
      <c r="C421" s="6">
        <v>4.5999999999999996</v>
      </c>
      <c r="D421" t="s">
        <v>13</v>
      </c>
      <c r="E421" s="3">
        <v>7000</v>
      </c>
      <c r="F421" s="6">
        <v>4.9000000000000004</v>
      </c>
      <c r="G421" t="s">
        <v>74</v>
      </c>
      <c r="H421" s="2">
        <v>0.95</v>
      </c>
      <c r="I421" s="3">
        <v>10000</v>
      </c>
      <c r="J421" s="3" t="str">
        <f t="shared" si="25"/>
        <v>High Price</v>
      </c>
      <c r="K421" t="s">
        <v>9</v>
      </c>
      <c r="L421" t="s">
        <v>17</v>
      </c>
      <c r="M421" t="s">
        <v>25</v>
      </c>
      <c r="N421">
        <v>0.9</v>
      </c>
      <c r="O421" t="str">
        <f t="shared" si="26"/>
        <v>High</v>
      </c>
      <c r="P421">
        <f t="shared" si="27"/>
        <v>140000</v>
      </c>
      <c r="Q421" s="2">
        <f t="shared" si="28"/>
        <v>0.4</v>
      </c>
    </row>
    <row r="422" spans="1:17" x14ac:dyDescent="0.3">
      <c r="A422" s="3">
        <v>20</v>
      </c>
      <c r="B422" s="3">
        <v>8</v>
      </c>
      <c r="C422" s="6">
        <v>3.8</v>
      </c>
      <c r="D422" t="s">
        <v>20</v>
      </c>
      <c r="E422" s="3">
        <v>800</v>
      </c>
      <c r="F422" s="6">
        <v>3.5</v>
      </c>
      <c r="G422" t="s">
        <v>95</v>
      </c>
      <c r="H422" s="2">
        <v>-0.2</v>
      </c>
      <c r="I422" s="3">
        <v>800</v>
      </c>
      <c r="J422" s="3" t="str">
        <f t="shared" si="25"/>
        <v>Low Price</v>
      </c>
      <c r="K422" t="s">
        <v>179</v>
      </c>
      <c r="L422" t="s">
        <v>29</v>
      </c>
      <c r="M422" t="s">
        <v>18</v>
      </c>
      <c r="N422">
        <v>0.6</v>
      </c>
      <c r="O422" t="str">
        <f t="shared" si="26"/>
        <v>Medium</v>
      </c>
      <c r="P422">
        <f t="shared" si="27"/>
        <v>6400</v>
      </c>
      <c r="Q422" s="2">
        <f t="shared" si="28"/>
        <v>0.4</v>
      </c>
    </row>
    <row r="423" spans="1:17" x14ac:dyDescent="0.3">
      <c r="A423" s="3">
        <v>47</v>
      </c>
      <c r="B423" s="3">
        <v>19</v>
      </c>
      <c r="C423" s="6">
        <v>4.9000000000000004</v>
      </c>
      <c r="D423" t="s">
        <v>13</v>
      </c>
      <c r="E423" s="3">
        <v>10000</v>
      </c>
      <c r="F423" s="6">
        <v>4.7</v>
      </c>
      <c r="G423" t="s">
        <v>65</v>
      </c>
      <c r="H423" s="2">
        <v>0.9</v>
      </c>
      <c r="I423" s="3">
        <v>9000</v>
      </c>
      <c r="J423" s="3" t="str">
        <f t="shared" si="25"/>
        <v>High Price</v>
      </c>
      <c r="K423" t="s">
        <v>9</v>
      </c>
      <c r="L423" t="s">
        <v>24</v>
      </c>
      <c r="M423" t="s">
        <v>25</v>
      </c>
      <c r="N423">
        <v>0.95</v>
      </c>
      <c r="O423" t="str">
        <f t="shared" si="26"/>
        <v>High</v>
      </c>
      <c r="P423">
        <f t="shared" si="27"/>
        <v>171000</v>
      </c>
      <c r="Q423" s="2">
        <f t="shared" si="28"/>
        <v>0.40425531914893614</v>
      </c>
    </row>
    <row r="424" spans="1:17" x14ac:dyDescent="0.3">
      <c r="A424" s="3">
        <v>22</v>
      </c>
      <c r="B424" s="3">
        <v>10</v>
      </c>
      <c r="C424" s="6">
        <v>4</v>
      </c>
      <c r="D424" t="s">
        <v>20</v>
      </c>
      <c r="E424" s="3">
        <v>800</v>
      </c>
      <c r="F424" s="6">
        <v>3.7</v>
      </c>
      <c r="G424" t="s">
        <v>72</v>
      </c>
      <c r="H424" s="2">
        <v>-0.1</v>
      </c>
      <c r="I424" s="3">
        <v>700</v>
      </c>
      <c r="J424" s="3" t="str">
        <f t="shared" si="25"/>
        <v>Low Price</v>
      </c>
      <c r="K424" t="s">
        <v>179</v>
      </c>
      <c r="L424" t="s">
        <v>29</v>
      </c>
      <c r="M424" t="s">
        <v>18</v>
      </c>
      <c r="N424">
        <v>0.6</v>
      </c>
      <c r="O424" t="str">
        <f t="shared" si="26"/>
        <v>Medium</v>
      </c>
      <c r="P424">
        <f t="shared" si="27"/>
        <v>7000</v>
      </c>
      <c r="Q424" s="2">
        <f t="shared" si="28"/>
        <v>0.45454545454545453</v>
      </c>
    </row>
    <row r="425" spans="1:17" x14ac:dyDescent="0.3">
      <c r="A425" s="3">
        <v>40</v>
      </c>
      <c r="B425" s="3">
        <v>16</v>
      </c>
      <c r="C425" s="6">
        <v>4.7</v>
      </c>
      <c r="D425" t="s">
        <v>13</v>
      </c>
      <c r="E425" s="3">
        <v>7000</v>
      </c>
      <c r="F425" s="6">
        <v>4.8</v>
      </c>
      <c r="G425" t="s">
        <v>77</v>
      </c>
      <c r="H425" s="2">
        <v>0.85</v>
      </c>
      <c r="I425" s="3">
        <v>8000</v>
      </c>
      <c r="J425" s="3" t="str">
        <f t="shared" si="25"/>
        <v>High Price</v>
      </c>
      <c r="K425" t="s">
        <v>9</v>
      </c>
      <c r="L425" t="s">
        <v>24</v>
      </c>
      <c r="M425" t="s">
        <v>25</v>
      </c>
      <c r="N425">
        <v>0.9</v>
      </c>
      <c r="O425" t="str">
        <f t="shared" si="26"/>
        <v>High</v>
      </c>
      <c r="P425">
        <f t="shared" si="27"/>
        <v>128000</v>
      </c>
      <c r="Q425" s="2">
        <f t="shared" si="28"/>
        <v>0.4</v>
      </c>
    </row>
    <row r="426" spans="1:17" x14ac:dyDescent="0.3">
      <c r="A426" s="3">
        <v>25</v>
      </c>
      <c r="B426" s="3">
        <v>11</v>
      </c>
      <c r="C426" s="6">
        <v>4.2</v>
      </c>
      <c r="D426" t="s">
        <v>20</v>
      </c>
      <c r="E426" s="3">
        <v>1000</v>
      </c>
      <c r="F426" s="6">
        <v>3.8</v>
      </c>
      <c r="G426" t="s">
        <v>48</v>
      </c>
      <c r="H426" s="2">
        <v>-0.1</v>
      </c>
      <c r="I426" s="3">
        <v>1500</v>
      </c>
      <c r="J426" s="3" t="str">
        <f t="shared" si="25"/>
        <v>Medium Price</v>
      </c>
      <c r="K426" t="s">
        <v>179</v>
      </c>
      <c r="L426" t="s">
        <v>29</v>
      </c>
      <c r="M426" t="s">
        <v>18</v>
      </c>
      <c r="N426">
        <v>0.6</v>
      </c>
      <c r="O426" t="str">
        <f t="shared" si="26"/>
        <v>Medium</v>
      </c>
      <c r="P426">
        <f t="shared" si="27"/>
        <v>16500</v>
      </c>
      <c r="Q426" s="2">
        <f t="shared" si="28"/>
        <v>0.44</v>
      </c>
    </row>
    <row r="427" spans="1:17" x14ac:dyDescent="0.3">
      <c r="A427" s="3">
        <v>42</v>
      </c>
      <c r="B427" s="3">
        <v>18</v>
      </c>
      <c r="C427" s="6">
        <v>4.8</v>
      </c>
      <c r="D427" t="s">
        <v>13</v>
      </c>
      <c r="E427" s="3">
        <v>8000</v>
      </c>
      <c r="F427" s="6">
        <v>4.5999999999999996</v>
      </c>
      <c r="G427" t="s">
        <v>65</v>
      </c>
      <c r="H427" s="2">
        <v>0.9</v>
      </c>
      <c r="I427" s="3">
        <v>8000</v>
      </c>
      <c r="J427" s="3" t="str">
        <f t="shared" si="25"/>
        <v>High Price</v>
      </c>
      <c r="K427" t="s">
        <v>9</v>
      </c>
      <c r="L427" t="s">
        <v>24</v>
      </c>
      <c r="M427" t="s">
        <v>25</v>
      </c>
      <c r="N427">
        <v>0.95</v>
      </c>
      <c r="O427" t="str">
        <f t="shared" si="26"/>
        <v>High</v>
      </c>
      <c r="P427">
        <f t="shared" si="27"/>
        <v>144000</v>
      </c>
      <c r="Q427" s="2">
        <f t="shared" si="28"/>
        <v>0.42857142857142855</v>
      </c>
    </row>
    <row r="428" spans="1:17" x14ac:dyDescent="0.3">
      <c r="A428" s="3">
        <v>7</v>
      </c>
      <c r="B428" s="3">
        <v>3</v>
      </c>
      <c r="C428" s="6">
        <v>2.5</v>
      </c>
      <c r="D428" t="s">
        <v>20</v>
      </c>
      <c r="E428" s="3">
        <v>200</v>
      </c>
      <c r="F428" s="6">
        <v>2.2000000000000002</v>
      </c>
      <c r="G428" t="s">
        <v>35</v>
      </c>
      <c r="H428" s="2">
        <v>-0.7</v>
      </c>
      <c r="I428" s="3">
        <v>600</v>
      </c>
      <c r="J428" s="3" t="str">
        <f t="shared" si="25"/>
        <v>Low Price</v>
      </c>
      <c r="K428" t="s">
        <v>179</v>
      </c>
      <c r="L428" t="s">
        <v>29</v>
      </c>
      <c r="M428" t="s">
        <v>18</v>
      </c>
      <c r="N428">
        <v>0.3</v>
      </c>
      <c r="O428" t="str">
        <f t="shared" si="26"/>
        <v>Low</v>
      </c>
      <c r="P428">
        <f t="shared" si="27"/>
        <v>1800</v>
      </c>
      <c r="Q428" s="2">
        <f t="shared" si="28"/>
        <v>0.42857142857142855</v>
      </c>
    </row>
    <row r="429" spans="1:17" x14ac:dyDescent="0.3">
      <c r="A429" s="3">
        <v>27</v>
      </c>
      <c r="B429" s="3">
        <v>12</v>
      </c>
      <c r="C429" s="6">
        <v>4.0999999999999996</v>
      </c>
      <c r="D429" t="s">
        <v>13</v>
      </c>
      <c r="E429" s="3">
        <v>5000</v>
      </c>
      <c r="F429" s="6">
        <v>4.3</v>
      </c>
      <c r="G429" t="s">
        <v>80</v>
      </c>
      <c r="H429" s="2">
        <v>0.5</v>
      </c>
      <c r="I429" s="3">
        <v>5000</v>
      </c>
      <c r="J429" s="3" t="str">
        <f t="shared" si="25"/>
        <v>Medium Price</v>
      </c>
      <c r="K429" t="s">
        <v>179</v>
      </c>
      <c r="L429" t="s">
        <v>24</v>
      </c>
      <c r="M429" t="s">
        <v>25</v>
      </c>
      <c r="N429">
        <v>0.8</v>
      </c>
      <c r="O429" t="str">
        <f t="shared" si="26"/>
        <v>High</v>
      </c>
      <c r="P429">
        <f t="shared" si="27"/>
        <v>60000</v>
      </c>
      <c r="Q429" s="2">
        <f t="shared" si="28"/>
        <v>0.44444444444444442</v>
      </c>
    </row>
    <row r="430" spans="1:17" x14ac:dyDescent="0.3">
      <c r="A430" s="3">
        <v>44</v>
      </c>
      <c r="B430" s="3">
        <v>18</v>
      </c>
      <c r="C430" s="6">
        <v>4.8</v>
      </c>
      <c r="D430" t="s">
        <v>13</v>
      </c>
      <c r="E430" s="3">
        <v>9000</v>
      </c>
      <c r="F430" s="6">
        <v>4.7</v>
      </c>
      <c r="G430" t="s">
        <v>65</v>
      </c>
      <c r="H430" s="2">
        <v>0.9</v>
      </c>
      <c r="I430" s="3">
        <v>9000</v>
      </c>
      <c r="J430" s="3" t="str">
        <f t="shared" si="25"/>
        <v>High Price</v>
      </c>
      <c r="K430" t="s">
        <v>9</v>
      </c>
      <c r="L430" t="s">
        <v>17</v>
      </c>
      <c r="M430" t="s">
        <v>25</v>
      </c>
      <c r="N430">
        <v>0.95</v>
      </c>
      <c r="O430" t="str">
        <f t="shared" si="26"/>
        <v>High</v>
      </c>
      <c r="P430">
        <f t="shared" si="27"/>
        <v>162000</v>
      </c>
      <c r="Q430" s="2">
        <f t="shared" si="28"/>
        <v>0.40909090909090912</v>
      </c>
    </row>
    <row r="431" spans="1:17" x14ac:dyDescent="0.3">
      <c r="A431" s="3">
        <v>3</v>
      </c>
      <c r="B431" s="3">
        <v>1</v>
      </c>
      <c r="C431" s="6">
        <v>1.5</v>
      </c>
      <c r="D431" t="s">
        <v>20</v>
      </c>
      <c r="E431" s="3">
        <v>100</v>
      </c>
      <c r="F431" s="6">
        <v>1.3</v>
      </c>
      <c r="G431" t="s">
        <v>39</v>
      </c>
      <c r="H431" s="2">
        <v>-0.8</v>
      </c>
      <c r="I431" s="3">
        <v>100</v>
      </c>
      <c r="J431" s="3" t="str">
        <f t="shared" si="25"/>
        <v>Low Price</v>
      </c>
      <c r="K431" t="s">
        <v>179</v>
      </c>
      <c r="L431" t="s">
        <v>33</v>
      </c>
      <c r="M431" t="s">
        <v>34</v>
      </c>
      <c r="N431">
        <v>2.5000000000000001E-2</v>
      </c>
      <c r="O431" t="str">
        <f t="shared" si="26"/>
        <v>Low</v>
      </c>
      <c r="P431">
        <f t="shared" si="27"/>
        <v>100</v>
      </c>
      <c r="Q431" s="2">
        <f t="shared" si="28"/>
        <v>0.33333333333333331</v>
      </c>
    </row>
    <row r="432" spans="1:17" x14ac:dyDescent="0.3">
      <c r="A432" s="3">
        <v>29</v>
      </c>
      <c r="B432" s="3">
        <v>13</v>
      </c>
      <c r="C432" s="6">
        <v>4.4000000000000004</v>
      </c>
      <c r="D432" t="s">
        <v>13</v>
      </c>
      <c r="E432" s="3">
        <v>4000</v>
      </c>
      <c r="F432" s="6">
        <v>4.0999999999999996</v>
      </c>
      <c r="G432" t="s">
        <v>70</v>
      </c>
      <c r="H432" s="2">
        <v>0.4</v>
      </c>
      <c r="I432" s="3">
        <v>3000</v>
      </c>
      <c r="J432" s="3" t="str">
        <f t="shared" si="25"/>
        <v>Medium Price</v>
      </c>
      <c r="K432" t="s">
        <v>179</v>
      </c>
      <c r="L432" t="s">
        <v>24</v>
      </c>
      <c r="M432" t="s">
        <v>25</v>
      </c>
      <c r="N432">
        <v>0.7</v>
      </c>
      <c r="O432" t="str">
        <f t="shared" si="26"/>
        <v>Medium</v>
      </c>
      <c r="P432">
        <f t="shared" si="27"/>
        <v>39000</v>
      </c>
      <c r="Q432" s="2">
        <f t="shared" si="28"/>
        <v>0.44827586206896552</v>
      </c>
    </row>
    <row r="433" spans="1:17" x14ac:dyDescent="0.3">
      <c r="A433" s="3">
        <v>16</v>
      </c>
      <c r="B433" s="3">
        <v>7</v>
      </c>
      <c r="C433" s="6">
        <v>3.7</v>
      </c>
      <c r="D433" t="s">
        <v>20</v>
      </c>
      <c r="E433" s="3">
        <v>600</v>
      </c>
      <c r="F433" s="6">
        <v>3.3</v>
      </c>
      <c r="G433" t="s">
        <v>60</v>
      </c>
      <c r="H433" s="2">
        <v>-0.2</v>
      </c>
      <c r="I433" s="3">
        <v>1000</v>
      </c>
      <c r="J433" s="3" t="str">
        <f t="shared" si="25"/>
        <v>Medium Price</v>
      </c>
      <c r="K433" t="s">
        <v>179</v>
      </c>
      <c r="L433" t="s">
        <v>29</v>
      </c>
      <c r="M433" t="s">
        <v>18</v>
      </c>
      <c r="N433">
        <v>0.55000000000000004</v>
      </c>
      <c r="O433" t="str">
        <f t="shared" si="26"/>
        <v>Medium</v>
      </c>
      <c r="P433">
        <f t="shared" si="27"/>
        <v>7000</v>
      </c>
      <c r="Q433" s="2">
        <f t="shared" si="28"/>
        <v>0.4375</v>
      </c>
    </row>
    <row r="434" spans="1:17" x14ac:dyDescent="0.3">
      <c r="A434" s="3">
        <v>46</v>
      </c>
      <c r="B434" s="3">
        <v>19</v>
      </c>
      <c r="C434" s="6">
        <v>4.9000000000000004</v>
      </c>
      <c r="D434" t="s">
        <v>13</v>
      </c>
      <c r="E434" s="3">
        <v>10000</v>
      </c>
      <c r="F434" s="6">
        <v>4.8</v>
      </c>
      <c r="G434" t="s">
        <v>80</v>
      </c>
      <c r="H434" s="2">
        <v>0.9</v>
      </c>
      <c r="I434" s="3">
        <v>9000</v>
      </c>
      <c r="J434" s="3" t="str">
        <f t="shared" si="25"/>
        <v>High Price</v>
      </c>
      <c r="K434" t="s">
        <v>9</v>
      </c>
      <c r="L434" t="s">
        <v>17</v>
      </c>
      <c r="M434" t="s">
        <v>25</v>
      </c>
      <c r="N434">
        <v>0.95</v>
      </c>
      <c r="O434" t="str">
        <f t="shared" si="26"/>
        <v>High</v>
      </c>
      <c r="P434">
        <f t="shared" si="27"/>
        <v>171000</v>
      </c>
      <c r="Q434" s="2">
        <f t="shared" si="28"/>
        <v>0.41304347826086957</v>
      </c>
    </row>
    <row r="435" spans="1:17" x14ac:dyDescent="0.3">
      <c r="A435" s="3">
        <v>2</v>
      </c>
      <c r="B435" s="3">
        <v>0</v>
      </c>
      <c r="C435" s="6">
        <v>1</v>
      </c>
      <c r="D435" t="s">
        <v>20</v>
      </c>
      <c r="E435" s="3">
        <v>100</v>
      </c>
      <c r="F435" s="6">
        <v>1.1000000000000001</v>
      </c>
      <c r="G435" t="s">
        <v>47</v>
      </c>
      <c r="H435" s="2">
        <v>-0.9</v>
      </c>
      <c r="I435" s="3">
        <v>100</v>
      </c>
      <c r="J435" s="3" t="str">
        <f t="shared" si="25"/>
        <v>Low Price</v>
      </c>
      <c r="K435" t="s">
        <v>179</v>
      </c>
      <c r="L435" t="s">
        <v>33</v>
      </c>
      <c r="M435" t="s">
        <v>34</v>
      </c>
      <c r="N435">
        <v>0</v>
      </c>
      <c r="O435" t="str">
        <f t="shared" si="26"/>
        <v>Low</v>
      </c>
      <c r="P435">
        <f t="shared" si="27"/>
        <v>0</v>
      </c>
      <c r="Q435" s="2">
        <f t="shared" si="28"/>
        <v>0</v>
      </c>
    </row>
    <row r="436" spans="1:17" x14ac:dyDescent="0.3">
      <c r="A436" s="3">
        <v>30</v>
      </c>
      <c r="B436" s="3">
        <v>13</v>
      </c>
      <c r="C436" s="6">
        <v>4.5</v>
      </c>
      <c r="D436" t="s">
        <v>13</v>
      </c>
      <c r="E436" s="3">
        <v>5000</v>
      </c>
      <c r="F436" s="6">
        <v>4.5999999999999996</v>
      </c>
      <c r="G436" t="s">
        <v>80</v>
      </c>
      <c r="H436" s="2">
        <v>0.6</v>
      </c>
      <c r="I436" s="3">
        <v>6000</v>
      </c>
      <c r="J436" s="3" t="str">
        <f t="shared" si="25"/>
        <v>High Price</v>
      </c>
      <c r="K436" t="s">
        <v>179</v>
      </c>
      <c r="L436" t="s">
        <v>24</v>
      </c>
      <c r="M436" t="s">
        <v>25</v>
      </c>
      <c r="N436">
        <v>0.85</v>
      </c>
      <c r="O436" t="str">
        <f t="shared" si="26"/>
        <v>High</v>
      </c>
      <c r="P436">
        <f t="shared" si="27"/>
        <v>78000</v>
      </c>
      <c r="Q436" s="2">
        <f t="shared" si="28"/>
        <v>0.43333333333333335</v>
      </c>
    </row>
    <row r="437" spans="1:17" x14ac:dyDescent="0.3">
      <c r="A437" s="3">
        <v>13</v>
      </c>
      <c r="B437" s="3">
        <v>6</v>
      </c>
      <c r="C437" s="6">
        <v>3.6</v>
      </c>
      <c r="D437" t="s">
        <v>20</v>
      </c>
      <c r="E437" s="3">
        <v>800</v>
      </c>
      <c r="F437" s="6">
        <v>3.4</v>
      </c>
      <c r="G437" t="s">
        <v>42</v>
      </c>
      <c r="H437" s="2">
        <v>-0.4</v>
      </c>
      <c r="I437" s="3">
        <v>1100</v>
      </c>
      <c r="J437" s="3" t="str">
        <f t="shared" si="25"/>
        <v>Medium Price</v>
      </c>
      <c r="K437" t="s">
        <v>179</v>
      </c>
      <c r="L437" t="s">
        <v>29</v>
      </c>
      <c r="M437" t="s">
        <v>18</v>
      </c>
      <c r="N437">
        <v>0.55000000000000004</v>
      </c>
      <c r="O437" t="str">
        <f t="shared" si="26"/>
        <v>Medium</v>
      </c>
      <c r="P437">
        <f t="shared" si="27"/>
        <v>6600</v>
      </c>
      <c r="Q437" s="2">
        <f t="shared" si="28"/>
        <v>0.46153846153846156</v>
      </c>
    </row>
    <row r="438" spans="1:17" x14ac:dyDescent="0.3">
      <c r="A438" s="3">
        <v>45</v>
      </c>
      <c r="B438" s="3">
        <v>19</v>
      </c>
      <c r="C438" s="6">
        <v>4.9000000000000004</v>
      </c>
      <c r="D438" t="s">
        <v>13</v>
      </c>
      <c r="E438" s="3">
        <v>10000</v>
      </c>
      <c r="F438" s="6">
        <v>4.8</v>
      </c>
      <c r="G438" t="s">
        <v>65</v>
      </c>
      <c r="H438" s="2">
        <v>0.9</v>
      </c>
      <c r="I438" s="3">
        <v>10000</v>
      </c>
      <c r="J438" s="3" t="str">
        <f t="shared" si="25"/>
        <v>High Price</v>
      </c>
      <c r="K438" t="s">
        <v>9</v>
      </c>
      <c r="L438" t="s">
        <v>24</v>
      </c>
      <c r="M438" t="s">
        <v>25</v>
      </c>
      <c r="N438">
        <v>0.95</v>
      </c>
      <c r="O438" t="str">
        <f t="shared" si="26"/>
        <v>High</v>
      </c>
      <c r="P438">
        <f t="shared" si="27"/>
        <v>190000</v>
      </c>
      <c r="Q438" s="2">
        <f t="shared" si="28"/>
        <v>0.42222222222222222</v>
      </c>
    </row>
    <row r="439" spans="1:17" x14ac:dyDescent="0.3">
      <c r="A439" s="3">
        <v>8</v>
      </c>
      <c r="B439" s="3">
        <v>3</v>
      </c>
      <c r="C439" s="6">
        <v>3</v>
      </c>
      <c r="D439" t="s">
        <v>20</v>
      </c>
      <c r="E439" s="3">
        <v>300</v>
      </c>
      <c r="F439" s="6">
        <v>2.5</v>
      </c>
      <c r="G439" t="s">
        <v>48</v>
      </c>
      <c r="H439" s="2">
        <v>-0.6</v>
      </c>
      <c r="I439" s="3">
        <v>400</v>
      </c>
      <c r="J439" s="3" t="str">
        <f t="shared" si="25"/>
        <v>Low Price</v>
      </c>
      <c r="K439" t="s">
        <v>179</v>
      </c>
      <c r="L439" t="s">
        <v>29</v>
      </c>
      <c r="M439" t="s">
        <v>18</v>
      </c>
      <c r="N439">
        <v>0.35</v>
      </c>
      <c r="O439" t="str">
        <f t="shared" si="26"/>
        <v>Low</v>
      </c>
      <c r="P439">
        <f t="shared" si="27"/>
        <v>1200</v>
      </c>
      <c r="Q439" s="2">
        <f t="shared" si="28"/>
        <v>0.375</v>
      </c>
    </row>
    <row r="440" spans="1:17" x14ac:dyDescent="0.3">
      <c r="A440" s="3">
        <v>33</v>
      </c>
      <c r="B440" s="3">
        <v>14</v>
      </c>
      <c r="C440" s="6">
        <v>4.4000000000000004</v>
      </c>
      <c r="D440" t="s">
        <v>13</v>
      </c>
      <c r="E440" s="3">
        <v>6000</v>
      </c>
      <c r="F440" s="6">
        <v>4.7</v>
      </c>
      <c r="G440" t="s">
        <v>69</v>
      </c>
      <c r="H440" s="2">
        <v>0.7</v>
      </c>
      <c r="I440" s="3">
        <v>5000</v>
      </c>
      <c r="J440" s="3" t="str">
        <f t="shared" si="25"/>
        <v>Medium Price</v>
      </c>
      <c r="K440" t="s">
        <v>9</v>
      </c>
      <c r="L440" t="s">
        <v>17</v>
      </c>
      <c r="M440" t="s">
        <v>25</v>
      </c>
      <c r="N440">
        <v>0.85</v>
      </c>
      <c r="O440" t="str">
        <f t="shared" si="26"/>
        <v>High</v>
      </c>
      <c r="P440">
        <f t="shared" si="27"/>
        <v>70000</v>
      </c>
      <c r="Q440" s="2">
        <f t="shared" si="28"/>
        <v>0.42424242424242425</v>
      </c>
    </row>
    <row r="441" spans="1:17" x14ac:dyDescent="0.3">
      <c r="A441" s="3">
        <v>11</v>
      </c>
      <c r="B441" s="3">
        <v>5</v>
      </c>
      <c r="C441" s="6">
        <v>3.4</v>
      </c>
      <c r="D441" t="s">
        <v>20</v>
      </c>
      <c r="E441" s="3">
        <v>600</v>
      </c>
      <c r="F441" s="6">
        <v>3</v>
      </c>
      <c r="G441" t="s">
        <v>42</v>
      </c>
      <c r="H441" s="2">
        <v>-0.5</v>
      </c>
      <c r="I441" s="3">
        <v>1100</v>
      </c>
      <c r="J441" s="3" t="str">
        <f t="shared" si="25"/>
        <v>Medium Price</v>
      </c>
      <c r="K441" t="s">
        <v>179</v>
      </c>
      <c r="L441" t="s">
        <v>29</v>
      </c>
      <c r="M441" t="s">
        <v>18</v>
      </c>
      <c r="N441">
        <v>0.5</v>
      </c>
      <c r="O441" t="str">
        <f t="shared" si="26"/>
        <v>Medium</v>
      </c>
      <c r="P441">
        <f t="shared" si="27"/>
        <v>5500</v>
      </c>
      <c r="Q441" s="2">
        <f t="shared" si="28"/>
        <v>0.45454545454545453</v>
      </c>
    </row>
    <row r="442" spans="1:17" x14ac:dyDescent="0.3">
      <c r="A442" s="3">
        <v>48</v>
      </c>
      <c r="B442" s="3">
        <v>20</v>
      </c>
      <c r="C442" s="6">
        <v>5</v>
      </c>
      <c r="D442" t="s">
        <v>13</v>
      </c>
      <c r="E442" s="3">
        <v>10000</v>
      </c>
      <c r="F442" s="6">
        <v>4.9000000000000004</v>
      </c>
      <c r="G442" t="s">
        <v>65</v>
      </c>
      <c r="H442" s="2">
        <v>0.95</v>
      </c>
      <c r="I442" s="3">
        <v>10000</v>
      </c>
      <c r="J442" s="3" t="str">
        <f t="shared" si="25"/>
        <v>High Price</v>
      </c>
      <c r="K442" t="s">
        <v>9</v>
      </c>
      <c r="L442" t="s">
        <v>17</v>
      </c>
      <c r="M442" t="s">
        <v>25</v>
      </c>
      <c r="N442">
        <v>1</v>
      </c>
      <c r="O442" t="str">
        <f t="shared" si="26"/>
        <v>High</v>
      </c>
      <c r="P442">
        <f t="shared" si="27"/>
        <v>200000</v>
      </c>
      <c r="Q442" s="2">
        <f t="shared" si="28"/>
        <v>0.41666666666666669</v>
      </c>
    </row>
    <row r="443" spans="1:17" x14ac:dyDescent="0.3">
      <c r="A443" s="3">
        <v>4</v>
      </c>
      <c r="B443" s="3">
        <v>1</v>
      </c>
      <c r="C443" s="6">
        <v>2</v>
      </c>
      <c r="D443" t="s">
        <v>20</v>
      </c>
      <c r="E443" s="3">
        <v>200</v>
      </c>
      <c r="F443" s="6">
        <v>1.9</v>
      </c>
      <c r="G443" t="s">
        <v>39</v>
      </c>
      <c r="H443" s="2">
        <v>-0.8</v>
      </c>
      <c r="I443" s="3">
        <v>200</v>
      </c>
      <c r="J443" s="3" t="str">
        <f t="shared" si="25"/>
        <v>Low Price</v>
      </c>
      <c r="K443" t="s">
        <v>179</v>
      </c>
      <c r="L443" t="s">
        <v>33</v>
      </c>
      <c r="M443" t="s">
        <v>34</v>
      </c>
      <c r="N443">
        <v>0.03</v>
      </c>
      <c r="O443" t="str">
        <f t="shared" si="26"/>
        <v>Low</v>
      </c>
      <c r="P443">
        <f t="shared" si="27"/>
        <v>200</v>
      </c>
      <c r="Q443" s="2">
        <f t="shared" si="28"/>
        <v>0.25</v>
      </c>
    </row>
    <row r="444" spans="1:17" x14ac:dyDescent="0.3">
      <c r="A444" s="3">
        <v>28</v>
      </c>
      <c r="B444" s="3">
        <v>12</v>
      </c>
      <c r="C444" s="6">
        <v>4</v>
      </c>
      <c r="D444" t="s">
        <v>13</v>
      </c>
      <c r="E444" s="3">
        <v>5000</v>
      </c>
      <c r="F444" s="6">
        <v>3.8</v>
      </c>
      <c r="G444" t="s">
        <v>76</v>
      </c>
      <c r="H444" s="2">
        <v>0.3</v>
      </c>
      <c r="I444" s="3">
        <v>5000</v>
      </c>
      <c r="J444" s="3" t="str">
        <f t="shared" si="25"/>
        <v>Medium Price</v>
      </c>
      <c r="K444" t="s">
        <v>179</v>
      </c>
      <c r="L444" t="s">
        <v>24</v>
      </c>
      <c r="M444" t="s">
        <v>25</v>
      </c>
      <c r="N444">
        <v>0.75</v>
      </c>
      <c r="O444" t="str">
        <f t="shared" si="26"/>
        <v>Medium</v>
      </c>
      <c r="P444">
        <f t="shared" si="27"/>
        <v>60000</v>
      </c>
      <c r="Q444" s="2">
        <f t="shared" si="28"/>
        <v>0.42857142857142855</v>
      </c>
    </row>
    <row r="445" spans="1:17" x14ac:dyDescent="0.3">
      <c r="A445" s="3">
        <v>14</v>
      </c>
      <c r="B445" s="3">
        <v>7</v>
      </c>
      <c r="C445" s="6">
        <v>3.8</v>
      </c>
      <c r="D445" t="s">
        <v>20</v>
      </c>
      <c r="E445" s="3">
        <v>700</v>
      </c>
      <c r="F445" s="6">
        <v>3.5</v>
      </c>
      <c r="G445" t="s">
        <v>42</v>
      </c>
      <c r="H445" s="2">
        <v>-0.3</v>
      </c>
      <c r="I445" s="3">
        <v>1200</v>
      </c>
      <c r="J445" s="3" t="str">
        <f t="shared" si="25"/>
        <v>Medium Price</v>
      </c>
      <c r="K445" t="s">
        <v>179</v>
      </c>
      <c r="L445" t="s">
        <v>29</v>
      </c>
      <c r="M445" t="s">
        <v>18</v>
      </c>
      <c r="N445">
        <v>0.6</v>
      </c>
      <c r="O445" t="str">
        <f t="shared" si="26"/>
        <v>Medium</v>
      </c>
      <c r="P445">
        <f t="shared" si="27"/>
        <v>8400</v>
      </c>
      <c r="Q445" s="2">
        <f t="shared" si="28"/>
        <v>0.5</v>
      </c>
    </row>
    <row r="446" spans="1:17" x14ac:dyDescent="0.3">
      <c r="A446" s="3">
        <v>43</v>
      </c>
      <c r="B446" s="3">
        <v>18</v>
      </c>
      <c r="C446" s="6">
        <v>4.8</v>
      </c>
      <c r="D446" t="s">
        <v>13</v>
      </c>
      <c r="E446" s="3">
        <v>9000</v>
      </c>
      <c r="F446" s="6">
        <v>4.7</v>
      </c>
      <c r="G446" t="s">
        <v>65</v>
      </c>
      <c r="H446" s="2">
        <v>0.9</v>
      </c>
      <c r="I446" s="3">
        <v>9000</v>
      </c>
      <c r="J446" s="3" t="str">
        <f t="shared" si="25"/>
        <v>High Price</v>
      </c>
      <c r="K446" t="s">
        <v>9</v>
      </c>
      <c r="L446" t="s">
        <v>17</v>
      </c>
      <c r="M446" t="s">
        <v>25</v>
      </c>
      <c r="N446">
        <v>0.95</v>
      </c>
      <c r="O446" t="str">
        <f t="shared" si="26"/>
        <v>High</v>
      </c>
      <c r="P446">
        <f t="shared" si="27"/>
        <v>162000</v>
      </c>
      <c r="Q446" s="2">
        <f t="shared" si="28"/>
        <v>0.41860465116279072</v>
      </c>
    </row>
    <row r="447" spans="1:17" x14ac:dyDescent="0.3">
      <c r="A447" s="3">
        <v>9</v>
      </c>
      <c r="B447" s="3">
        <v>4</v>
      </c>
      <c r="C447" s="6">
        <v>3.2</v>
      </c>
      <c r="D447" t="s">
        <v>20</v>
      </c>
      <c r="E447" s="3">
        <v>400</v>
      </c>
      <c r="F447" s="6">
        <v>2.7</v>
      </c>
      <c r="G447" t="s">
        <v>62</v>
      </c>
      <c r="H447" s="2">
        <v>-0.5</v>
      </c>
      <c r="I447" s="3">
        <v>1000</v>
      </c>
      <c r="J447" s="3" t="str">
        <f t="shared" si="25"/>
        <v>Medium Price</v>
      </c>
      <c r="K447" t="s">
        <v>179</v>
      </c>
      <c r="L447" t="s">
        <v>29</v>
      </c>
      <c r="M447" t="s">
        <v>18</v>
      </c>
      <c r="N447">
        <v>0.4</v>
      </c>
      <c r="O447" t="str">
        <f t="shared" si="26"/>
        <v>Medium</v>
      </c>
      <c r="P447">
        <f t="shared" si="27"/>
        <v>4000</v>
      </c>
      <c r="Q447" s="2">
        <f t="shared" si="28"/>
        <v>0.44444444444444442</v>
      </c>
    </row>
    <row r="448" spans="1:17" x14ac:dyDescent="0.3">
      <c r="A448" s="3">
        <v>34</v>
      </c>
      <c r="B448" s="3">
        <v>15</v>
      </c>
      <c r="C448" s="6">
        <v>4.5</v>
      </c>
      <c r="D448" t="s">
        <v>13</v>
      </c>
      <c r="E448" s="3">
        <v>8000</v>
      </c>
      <c r="F448" s="6">
        <v>4.9000000000000004</v>
      </c>
      <c r="G448" t="s">
        <v>74</v>
      </c>
      <c r="H448" s="2">
        <v>0.95</v>
      </c>
      <c r="I448" s="3">
        <v>10000</v>
      </c>
      <c r="J448" s="3" t="str">
        <f t="shared" si="25"/>
        <v>High Price</v>
      </c>
      <c r="K448" t="s">
        <v>9</v>
      </c>
      <c r="L448" t="s">
        <v>17</v>
      </c>
      <c r="M448" t="s">
        <v>25</v>
      </c>
      <c r="N448">
        <v>0.9</v>
      </c>
      <c r="O448" t="str">
        <f t="shared" si="26"/>
        <v>High</v>
      </c>
      <c r="P448">
        <f t="shared" si="27"/>
        <v>150000</v>
      </c>
      <c r="Q448" s="2">
        <f t="shared" si="28"/>
        <v>0.44117647058823528</v>
      </c>
    </row>
    <row r="449" spans="1:17" x14ac:dyDescent="0.3">
      <c r="A449" s="3">
        <v>12</v>
      </c>
      <c r="B449" s="3">
        <v>6</v>
      </c>
      <c r="C449" s="6">
        <v>3.5</v>
      </c>
      <c r="D449" t="s">
        <v>20</v>
      </c>
      <c r="E449" s="3">
        <v>800</v>
      </c>
      <c r="F449" s="6">
        <v>3.3</v>
      </c>
      <c r="G449" t="s">
        <v>42</v>
      </c>
      <c r="H449" s="2">
        <v>-0.4</v>
      </c>
      <c r="I449" s="3">
        <v>1100</v>
      </c>
      <c r="J449" s="3" t="str">
        <f t="shared" si="25"/>
        <v>Medium Price</v>
      </c>
      <c r="K449" t="s">
        <v>179</v>
      </c>
      <c r="L449" t="s">
        <v>29</v>
      </c>
      <c r="M449" t="s">
        <v>18</v>
      </c>
      <c r="N449">
        <v>0.55000000000000004</v>
      </c>
      <c r="O449" t="str">
        <f t="shared" si="26"/>
        <v>Medium</v>
      </c>
      <c r="P449">
        <f t="shared" si="27"/>
        <v>6600</v>
      </c>
      <c r="Q449" s="2">
        <f t="shared" si="28"/>
        <v>0.5</v>
      </c>
    </row>
    <row r="450" spans="1:17" x14ac:dyDescent="0.3">
      <c r="A450" s="3">
        <v>49</v>
      </c>
      <c r="B450" s="3">
        <v>20</v>
      </c>
      <c r="C450" s="6">
        <v>4.9000000000000004</v>
      </c>
      <c r="D450" t="s">
        <v>13</v>
      </c>
      <c r="E450" s="3">
        <v>10000</v>
      </c>
      <c r="F450" s="6">
        <v>4.8</v>
      </c>
      <c r="G450" t="s">
        <v>65</v>
      </c>
      <c r="H450" s="2">
        <v>0.9</v>
      </c>
      <c r="I450" s="3">
        <v>10000</v>
      </c>
      <c r="J450" s="3" t="str">
        <f t="shared" ref="J450:J513" si="29">IF(I450&gt;5000, "High Price", IF(I450&gt;=1000, "Medium Price", IF(I450&lt;1000, "Low Price")))</f>
        <v>High Price</v>
      </c>
      <c r="K450" t="s">
        <v>9</v>
      </c>
      <c r="L450" t="s">
        <v>24</v>
      </c>
      <c r="M450" t="s">
        <v>25</v>
      </c>
      <c r="N450">
        <v>0.95</v>
      </c>
      <c r="O450" t="str">
        <f t="shared" ref="O450:O513" si="30">IF(N450&gt;=0.8,"High",IF(N450&gt;=0.4,"Medium",IF(N450&lt;0.4,"Low")))</f>
        <v>High</v>
      </c>
      <c r="P450">
        <f t="shared" si="27"/>
        <v>200000</v>
      </c>
      <c r="Q450" s="2">
        <f t="shared" si="28"/>
        <v>0.40816326530612246</v>
      </c>
    </row>
    <row r="451" spans="1:17" x14ac:dyDescent="0.3">
      <c r="A451" s="3">
        <v>5</v>
      </c>
      <c r="B451" s="3">
        <v>2</v>
      </c>
      <c r="C451" s="6">
        <v>2.2999999999999998</v>
      </c>
      <c r="D451" t="s">
        <v>20</v>
      </c>
      <c r="E451" s="3">
        <v>200</v>
      </c>
      <c r="F451" s="6">
        <v>2</v>
      </c>
      <c r="G451" t="s">
        <v>48</v>
      </c>
      <c r="H451" s="2">
        <v>-0.7</v>
      </c>
      <c r="I451" s="3">
        <v>500</v>
      </c>
      <c r="J451" s="3" t="str">
        <f t="shared" si="29"/>
        <v>Low Price</v>
      </c>
      <c r="K451" t="s">
        <v>179</v>
      </c>
      <c r="L451" t="s">
        <v>29</v>
      </c>
      <c r="M451" t="s">
        <v>18</v>
      </c>
      <c r="N451">
        <v>0.3</v>
      </c>
      <c r="O451" t="str">
        <f t="shared" si="30"/>
        <v>Low</v>
      </c>
      <c r="P451">
        <f t="shared" ref="P451:P514" si="31">I451*B451</f>
        <v>1000</v>
      </c>
      <c r="Q451" s="2">
        <f t="shared" ref="Q451:Q514" si="32">B451/A451</f>
        <v>0.4</v>
      </c>
    </row>
    <row r="452" spans="1:17" x14ac:dyDescent="0.3">
      <c r="A452" s="3">
        <v>31</v>
      </c>
      <c r="B452" s="3">
        <v>14</v>
      </c>
      <c r="C452" s="6">
        <v>4.5</v>
      </c>
      <c r="D452" t="s">
        <v>13</v>
      </c>
      <c r="E452" s="3">
        <v>6000</v>
      </c>
      <c r="F452" s="6">
        <v>4.7</v>
      </c>
      <c r="G452" t="s">
        <v>69</v>
      </c>
      <c r="H452" s="2">
        <v>0.75</v>
      </c>
      <c r="I452" s="3">
        <v>6000</v>
      </c>
      <c r="J452" s="3" t="str">
        <f t="shared" si="29"/>
        <v>High Price</v>
      </c>
      <c r="K452" t="s">
        <v>179</v>
      </c>
      <c r="L452" t="s">
        <v>24</v>
      </c>
      <c r="M452" t="s">
        <v>25</v>
      </c>
      <c r="N452">
        <v>0.85</v>
      </c>
      <c r="O452" t="str">
        <f t="shared" si="30"/>
        <v>High</v>
      </c>
      <c r="P452">
        <f t="shared" si="31"/>
        <v>84000</v>
      </c>
      <c r="Q452" s="2">
        <f t="shared" si="32"/>
        <v>0.45161290322580644</v>
      </c>
    </row>
    <row r="453" spans="1:17" x14ac:dyDescent="0.3">
      <c r="A453" s="3">
        <v>15</v>
      </c>
      <c r="B453" s="3">
        <v>8</v>
      </c>
      <c r="C453" s="6">
        <v>3.9</v>
      </c>
      <c r="D453" t="s">
        <v>20</v>
      </c>
      <c r="E453" s="3">
        <v>900</v>
      </c>
      <c r="F453" s="6">
        <v>3.6</v>
      </c>
      <c r="G453" t="s">
        <v>75</v>
      </c>
      <c r="H453" s="2">
        <v>-0.2</v>
      </c>
      <c r="I453" s="3">
        <v>1300</v>
      </c>
      <c r="J453" s="3" t="str">
        <f t="shared" si="29"/>
        <v>Medium Price</v>
      </c>
      <c r="K453" t="s">
        <v>179</v>
      </c>
      <c r="L453" t="s">
        <v>29</v>
      </c>
      <c r="M453" t="s">
        <v>18</v>
      </c>
      <c r="N453">
        <v>0.65</v>
      </c>
      <c r="O453" t="str">
        <f t="shared" si="30"/>
        <v>Medium</v>
      </c>
      <c r="P453">
        <f t="shared" si="31"/>
        <v>10400</v>
      </c>
      <c r="Q453" s="2">
        <f t="shared" si="32"/>
        <v>0.53333333333333333</v>
      </c>
    </row>
    <row r="454" spans="1:17" x14ac:dyDescent="0.3">
      <c r="A454" s="3">
        <v>10</v>
      </c>
      <c r="B454" s="3">
        <v>5</v>
      </c>
      <c r="C454" s="6">
        <v>3.3</v>
      </c>
      <c r="D454" t="s">
        <v>20</v>
      </c>
      <c r="E454" s="3">
        <v>600</v>
      </c>
      <c r="F454" s="6">
        <v>3.1</v>
      </c>
      <c r="G454" t="s">
        <v>62</v>
      </c>
      <c r="H454" s="2">
        <v>-0.4</v>
      </c>
      <c r="I454" s="3">
        <v>1100</v>
      </c>
      <c r="J454" s="3" t="str">
        <f t="shared" si="29"/>
        <v>Medium Price</v>
      </c>
      <c r="K454" t="s">
        <v>179</v>
      </c>
      <c r="L454" t="s">
        <v>29</v>
      </c>
      <c r="M454" t="s">
        <v>18</v>
      </c>
      <c r="N454">
        <v>0.5</v>
      </c>
      <c r="O454" t="str">
        <f t="shared" si="30"/>
        <v>Medium</v>
      </c>
      <c r="P454">
        <f t="shared" si="31"/>
        <v>5500</v>
      </c>
      <c r="Q454" s="2">
        <f t="shared" si="32"/>
        <v>0.5</v>
      </c>
    </row>
    <row r="455" spans="1:17" x14ac:dyDescent="0.3">
      <c r="A455" s="3">
        <v>36</v>
      </c>
      <c r="B455" s="3">
        <v>16</v>
      </c>
      <c r="C455" s="6">
        <v>4.5999999999999996</v>
      </c>
      <c r="D455" t="s">
        <v>13</v>
      </c>
      <c r="E455" s="3">
        <v>7000</v>
      </c>
      <c r="F455" s="6">
        <v>4.8</v>
      </c>
      <c r="G455" t="s">
        <v>69</v>
      </c>
      <c r="H455" s="2">
        <v>0.8</v>
      </c>
      <c r="I455" s="3">
        <v>5000</v>
      </c>
      <c r="J455" s="3" t="str">
        <f t="shared" si="29"/>
        <v>Medium Price</v>
      </c>
      <c r="K455" t="s">
        <v>9</v>
      </c>
      <c r="L455" t="s">
        <v>17</v>
      </c>
      <c r="M455" t="s">
        <v>25</v>
      </c>
      <c r="N455">
        <v>0.85</v>
      </c>
      <c r="O455" t="str">
        <f t="shared" si="30"/>
        <v>High</v>
      </c>
      <c r="P455">
        <f t="shared" si="31"/>
        <v>80000</v>
      </c>
      <c r="Q455" s="2">
        <f t="shared" si="32"/>
        <v>0.44444444444444442</v>
      </c>
    </row>
    <row r="456" spans="1:17" x14ac:dyDescent="0.3">
      <c r="A456" s="3">
        <v>17</v>
      </c>
      <c r="B456" s="3">
        <v>8</v>
      </c>
      <c r="C456" s="6">
        <v>3.8</v>
      </c>
      <c r="D456" t="s">
        <v>20</v>
      </c>
      <c r="E456" s="3">
        <v>900</v>
      </c>
      <c r="F456" s="6">
        <v>3.5</v>
      </c>
      <c r="G456" t="s">
        <v>75</v>
      </c>
      <c r="H456" s="2">
        <v>-0.2</v>
      </c>
      <c r="I456" s="3">
        <v>1300</v>
      </c>
      <c r="J456" s="3" t="str">
        <f t="shared" si="29"/>
        <v>Medium Price</v>
      </c>
      <c r="K456" t="s">
        <v>179</v>
      </c>
      <c r="L456" t="s">
        <v>29</v>
      </c>
      <c r="M456" t="s">
        <v>18</v>
      </c>
      <c r="N456">
        <v>0.6</v>
      </c>
      <c r="O456" t="str">
        <f t="shared" si="30"/>
        <v>Medium</v>
      </c>
      <c r="P456">
        <f t="shared" si="31"/>
        <v>10400</v>
      </c>
      <c r="Q456" s="2">
        <f t="shared" si="32"/>
        <v>0.47058823529411764</v>
      </c>
    </row>
    <row r="457" spans="1:17" x14ac:dyDescent="0.3">
      <c r="A457" s="3">
        <v>50</v>
      </c>
      <c r="B457" s="3">
        <v>20</v>
      </c>
      <c r="C457" s="6">
        <v>5</v>
      </c>
      <c r="D457" t="s">
        <v>13</v>
      </c>
      <c r="E457" s="3">
        <v>10000</v>
      </c>
      <c r="F457" s="6">
        <v>4.9000000000000004</v>
      </c>
      <c r="G457" t="s">
        <v>53</v>
      </c>
      <c r="H457" s="2">
        <v>1</v>
      </c>
      <c r="I457" s="3">
        <v>10000</v>
      </c>
      <c r="J457" s="3" t="str">
        <f t="shared" si="29"/>
        <v>High Price</v>
      </c>
      <c r="K457" t="s">
        <v>9</v>
      </c>
      <c r="L457" t="s">
        <v>17</v>
      </c>
      <c r="M457" t="s">
        <v>25</v>
      </c>
      <c r="N457">
        <v>1</v>
      </c>
      <c r="O457" t="str">
        <f t="shared" si="30"/>
        <v>High</v>
      </c>
      <c r="P457">
        <f t="shared" si="31"/>
        <v>200000</v>
      </c>
      <c r="Q457" s="2">
        <f t="shared" si="32"/>
        <v>0.4</v>
      </c>
    </row>
    <row r="458" spans="1:17" x14ac:dyDescent="0.3">
      <c r="A458" s="3">
        <v>32</v>
      </c>
      <c r="B458" s="3">
        <v>14</v>
      </c>
      <c r="C458" s="6">
        <v>4.5</v>
      </c>
      <c r="D458" t="s">
        <v>13</v>
      </c>
      <c r="E458" s="3">
        <v>6000</v>
      </c>
      <c r="F458" s="6">
        <v>4.8</v>
      </c>
      <c r="G458" t="s">
        <v>69</v>
      </c>
      <c r="H458" s="2">
        <v>0.8</v>
      </c>
      <c r="I458" s="3">
        <v>6000</v>
      </c>
      <c r="J458" s="3" t="str">
        <f t="shared" si="29"/>
        <v>High Price</v>
      </c>
      <c r="K458" t="s">
        <v>9</v>
      </c>
      <c r="L458" t="s">
        <v>17</v>
      </c>
      <c r="M458" t="s">
        <v>25</v>
      </c>
      <c r="N458">
        <v>0.9</v>
      </c>
      <c r="O458" t="str">
        <f t="shared" si="30"/>
        <v>High</v>
      </c>
      <c r="P458">
        <f t="shared" si="31"/>
        <v>84000</v>
      </c>
      <c r="Q458" s="2">
        <f t="shared" si="32"/>
        <v>0.4375</v>
      </c>
    </row>
    <row r="459" spans="1:17" x14ac:dyDescent="0.3">
      <c r="A459" s="3">
        <v>18</v>
      </c>
      <c r="B459" s="3">
        <v>9</v>
      </c>
      <c r="C459" s="6">
        <v>4</v>
      </c>
      <c r="D459" t="s">
        <v>20</v>
      </c>
      <c r="E459" s="3">
        <v>1000</v>
      </c>
      <c r="F459" s="6">
        <v>3.7</v>
      </c>
      <c r="G459" t="s">
        <v>95</v>
      </c>
      <c r="H459" s="2">
        <v>-0.1</v>
      </c>
      <c r="I459" s="3">
        <v>800</v>
      </c>
      <c r="J459" s="3" t="str">
        <f t="shared" si="29"/>
        <v>Low Price</v>
      </c>
      <c r="K459" t="s">
        <v>179</v>
      </c>
      <c r="L459" t="s">
        <v>29</v>
      </c>
      <c r="M459" t="s">
        <v>18</v>
      </c>
      <c r="N459">
        <v>0.6</v>
      </c>
      <c r="O459" t="str">
        <f t="shared" si="30"/>
        <v>Medium</v>
      </c>
      <c r="P459">
        <f t="shared" si="31"/>
        <v>7200</v>
      </c>
      <c r="Q459" s="2">
        <f t="shared" si="32"/>
        <v>0.5</v>
      </c>
    </row>
    <row r="460" spans="1:17" x14ac:dyDescent="0.3">
      <c r="A460" s="3">
        <v>37</v>
      </c>
      <c r="B460" s="3">
        <v>16</v>
      </c>
      <c r="C460" s="6">
        <v>4.7</v>
      </c>
      <c r="D460" t="s">
        <v>13</v>
      </c>
      <c r="E460" s="3">
        <v>7000</v>
      </c>
      <c r="F460" s="6">
        <v>4.8</v>
      </c>
      <c r="G460" t="s">
        <v>69</v>
      </c>
      <c r="H460" s="2">
        <v>0.85</v>
      </c>
      <c r="I460" s="3">
        <v>6000</v>
      </c>
      <c r="J460" s="3" t="str">
        <f t="shared" si="29"/>
        <v>High Price</v>
      </c>
      <c r="K460" t="s">
        <v>9</v>
      </c>
      <c r="L460" t="s">
        <v>17</v>
      </c>
      <c r="M460" t="s">
        <v>25</v>
      </c>
      <c r="N460">
        <v>0.9</v>
      </c>
      <c r="O460" t="str">
        <f t="shared" si="30"/>
        <v>High</v>
      </c>
      <c r="P460">
        <f t="shared" si="31"/>
        <v>96000</v>
      </c>
      <c r="Q460" s="2">
        <f t="shared" si="32"/>
        <v>0.43243243243243246</v>
      </c>
    </row>
    <row r="461" spans="1:17" x14ac:dyDescent="0.3">
      <c r="A461" s="3">
        <v>19</v>
      </c>
      <c r="B461" s="3">
        <v>8</v>
      </c>
      <c r="C461" s="6">
        <v>3.8</v>
      </c>
      <c r="D461" t="s">
        <v>20</v>
      </c>
      <c r="E461" s="3">
        <v>800</v>
      </c>
      <c r="F461" s="6">
        <v>3.6</v>
      </c>
      <c r="G461" t="s">
        <v>95</v>
      </c>
      <c r="H461" s="2">
        <v>-0.3</v>
      </c>
      <c r="I461" s="3">
        <v>700</v>
      </c>
      <c r="J461" s="3" t="str">
        <f t="shared" si="29"/>
        <v>Low Price</v>
      </c>
      <c r="K461" t="s">
        <v>179</v>
      </c>
      <c r="L461" t="s">
        <v>29</v>
      </c>
      <c r="M461" t="s">
        <v>18</v>
      </c>
      <c r="N461">
        <v>0.55000000000000004</v>
      </c>
      <c r="O461" t="str">
        <f t="shared" si="30"/>
        <v>Medium</v>
      </c>
      <c r="P461">
        <f t="shared" si="31"/>
        <v>5600</v>
      </c>
      <c r="Q461" s="2">
        <f t="shared" si="32"/>
        <v>0.42105263157894735</v>
      </c>
    </row>
    <row r="462" spans="1:17" x14ac:dyDescent="0.3">
      <c r="A462" s="3">
        <v>38</v>
      </c>
      <c r="B462" s="3">
        <v>17</v>
      </c>
      <c r="C462" s="6">
        <v>4.7</v>
      </c>
      <c r="D462" t="s">
        <v>13</v>
      </c>
      <c r="E462" s="3">
        <v>7000</v>
      </c>
      <c r="F462" s="6">
        <v>4.8</v>
      </c>
      <c r="G462" t="s">
        <v>77</v>
      </c>
      <c r="H462" s="2">
        <v>0.9</v>
      </c>
      <c r="I462" s="3">
        <v>8000</v>
      </c>
      <c r="J462" s="3" t="str">
        <f t="shared" si="29"/>
        <v>High Price</v>
      </c>
      <c r="K462" t="s">
        <v>9</v>
      </c>
      <c r="L462" t="s">
        <v>24</v>
      </c>
      <c r="M462" t="s">
        <v>25</v>
      </c>
      <c r="N462">
        <v>0.95</v>
      </c>
      <c r="O462" t="str">
        <f t="shared" si="30"/>
        <v>High</v>
      </c>
      <c r="P462">
        <f t="shared" si="31"/>
        <v>136000</v>
      </c>
      <c r="Q462" s="2">
        <f t="shared" si="32"/>
        <v>0.44736842105263158</v>
      </c>
    </row>
    <row r="463" spans="1:17" x14ac:dyDescent="0.3">
      <c r="A463" s="3">
        <v>6</v>
      </c>
      <c r="B463" s="3">
        <v>2</v>
      </c>
      <c r="C463" s="6">
        <v>2.5</v>
      </c>
      <c r="D463" t="s">
        <v>20</v>
      </c>
      <c r="E463" s="3">
        <v>200</v>
      </c>
      <c r="F463" s="6">
        <v>2.2999999999999998</v>
      </c>
      <c r="G463" t="s">
        <v>35</v>
      </c>
      <c r="H463" s="2">
        <v>-0.6</v>
      </c>
      <c r="I463" s="3">
        <v>600</v>
      </c>
      <c r="J463" s="3" t="str">
        <f t="shared" si="29"/>
        <v>Low Price</v>
      </c>
      <c r="K463" t="s">
        <v>179</v>
      </c>
      <c r="L463" t="s">
        <v>29</v>
      </c>
      <c r="M463" t="s">
        <v>18</v>
      </c>
      <c r="N463">
        <v>0.3</v>
      </c>
      <c r="O463" t="str">
        <f t="shared" si="30"/>
        <v>Low</v>
      </c>
      <c r="P463">
        <f t="shared" si="31"/>
        <v>1200</v>
      </c>
      <c r="Q463" s="2">
        <f t="shared" si="32"/>
        <v>0.33333333333333331</v>
      </c>
    </row>
    <row r="464" spans="1:17" x14ac:dyDescent="0.3">
      <c r="A464" s="3">
        <v>35</v>
      </c>
      <c r="B464" s="3">
        <v>15</v>
      </c>
      <c r="C464" s="6">
        <v>4.5999999999999996</v>
      </c>
      <c r="D464" t="s">
        <v>13</v>
      </c>
      <c r="E464" s="3">
        <v>6000</v>
      </c>
      <c r="F464" s="6">
        <v>4.9000000000000004</v>
      </c>
      <c r="G464" t="s">
        <v>74</v>
      </c>
      <c r="H464" s="2">
        <v>0.95</v>
      </c>
      <c r="I464" s="3">
        <v>10000</v>
      </c>
      <c r="J464" s="3" t="str">
        <f t="shared" si="29"/>
        <v>High Price</v>
      </c>
      <c r="K464" t="s">
        <v>9</v>
      </c>
      <c r="L464" t="s">
        <v>17</v>
      </c>
      <c r="M464" t="s">
        <v>25</v>
      </c>
      <c r="N464">
        <v>0.9</v>
      </c>
      <c r="O464" t="str">
        <f t="shared" si="30"/>
        <v>High</v>
      </c>
      <c r="P464">
        <f t="shared" si="31"/>
        <v>150000</v>
      </c>
      <c r="Q464" s="2">
        <f t="shared" si="32"/>
        <v>0.42857142857142855</v>
      </c>
    </row>
    <row r="465" spans="1:17" x14ac:dyDescent="0.3">
      <c r="A465" s="3">
        <v>21</v>
      </c>
      <c r="B465" s="3">
        <v>10</v>
      </c>
      <c r="C465" s="6">
        <v>4.0999999999999996</v>
      </c>
      <c r="D465" t="s">
        <v>20</v>
      </c>
      <c r="E465" s="3">
        <v>1000</v>
      </c>
      <c r="F465" s="6">
        <v>3.8</v>
      </c>
      <c r="G465" t="s">
        <v>72</v>
      </c>
      <c r="H465" s="2">
        <v>-0.1</v>
      </c>
      <c r="I465" s="3">
        <v>700</v>
      </c>
      <c r="J465" s="3" t="str">
        <f t="shared" si="29"/>
        <v>Low Price</v>
      </c>
      <c r="K465" t="s">
        <v>179</v>
      </c>
      <c r="L465" t="s">
        <v>29</v>
      </c>
      <c r="M465" t="s">
        <v>18</v>
      </c>
      <c r="N465">
        <v>0.6</v>
      </c>
      <c r="O465" t="str">
        <f t="shared" si="30"/>
        <v>Medium</v>
      </c>
      <c r="P465">
        <f t="shared" si="31"/>
        <v>7000</v>
      </c>
      <c r="Q465" s="2">
        <f t="shared" si="32"/>
        <v>0.47619047619047616</v>
      </c>
    </row>
    <row r="466" spans="1:17" x14ac:dyDescent="0.3">
      <c r="A466" s="3">
        <v>39</v>
      </c>
      <c r="B466" s="3">
        <v>17</v>
      </c>
      <c r="C466" s="6">
        <v>4.8</v>
      </c>
      <c r="D466" t="s">
        <v>13</v>
      </c>
      <c r="E466" s="3">
        <v>8000</v>
      </c>
      <c r="F466" s="6">
        <v>4.7</v>
      </c>
      <c r="G466" t="s">
        <v>65</v>
      </c>
      <c r="H466" s="2">
        <v>0.9</v>
      </c>
      <c r="I466" s="3">
        <v>8000</v>
      </c>
      <c r="J466" s="3" t="str">
        <f t="shared" si="29"/>
        <v>High Price</v>
      </c>
      <c r="K466" t="s">
        <v>9</v>
      </c>
      <c r="L466" t="s">
        <v>17</v>
      </c>
      <c r="M466" t="s">
        <v>25</v>
      </c>
      <c r="N466">
        <v>0.95</v>
      </c>
      <c r="O466" t="str">
        <f t="shared" si="30"/>
        <v>High</v>
      </c>
      <c r="P466">
        <f t="shared" si="31"/>
        <v>136000</v>
      </c>
      <c r="Q466" s="2">
        <f t="shared" si="32"/>
        <v>0.4358974358974359</v>
      </c>
    </row>
    <row r="467" spans="1:17" x14ac:dyDescent="0.3">
      <c r="A467" s="3">
        <v>20</v>
      </c>
      <c r="B467" s="3">
        <v>9</v>
      </c>
      <c r="C467" s="6">
        <v>4</v>
      </c>
      <c r="D467" t="s">
        <v>20</v>
      </c>
      <c r="E467" s="3">
        <v>1000</v>
      </c>
      <c r="F467" s="6">
        <v>3.7</v>
      </c>
      <c r="G467" t="s">
        <v>95</v>
      </c>
      <c r="H467" s="2">
        <v>-0.2</v>
      </c>
      <c r="I467" s="3">
        <v>800</v>
      </c>
      <c r="J467" s="3" t="str">
        <f t="shared" si="29"/>
        <v>Low Price</v>
      </c>
      <c r="K467" t="s">
        <v>179</v>
      </c>
      <c r="L467" t="s">
        <v>29</v>
      </c>
      <c r="M467" t="s">
        <v>18</v>
      </c>
      <c r="N467">
        <v>0.6</v>
      </c>
      <c r="O467" t="str">
        <f t="shared" si="30"/>
        <v>Medium</v>
      </c>
      <c r="P467">
        <f t="shared" si="31"/>
        <v>7200</v>
      </c>
      <c r="Q467" s="2">
        <f t="shared" si="32"/>
        <v>0.45</v>
      </c>
    </row>
    <row r="468" spans="1:17" x14ac:dyDescent="0.3">
      <c r="A468" s="3">
        <v>40</v>
      </c>
      <c r="B468" s="3">
        <v>17</v>
      </c>
      <c r="C468" s="6">
        <v>4.8</v>
      </c>
      <c r="D468" t="s">
        <v>13</v>
      </c>
      <c r="E468" s="3">
        <v>7000</v>
      </c>
      <c r="F468" s="6">
        <v>4.9000000000000004</v>
      </c>
      <c r="G468" t="s">
        <v>74</v>
      </c>
      <c r="H468" s="2">
        <v>0.95</v>
      </c>
      <c r="I468" s="3">
        <v>10000</v>
      </c>
      <c r="J468" s="3" t="str">
        <f t="shared" si="29"/>
        <v>High Price</v>
      </c>
      <c r="K468" t="s">
        <v>9</v>
      </c>
      <c r="L468" t="s">
        <v>17</v>
      </c>
      <c r="M468" t="s">
        <v>25</v>
      </c>
      <c r="N468">
        <v>0.9</v>
      </c>
      <c r="O468" t="str">
        <f t="shared" si="30"/>
        <v>High</v>
      </c>
      <c r="P468">
        <f t="shared" si="31"/>
        <v>170000</v>
      </c>
      <c r="Q468" s="2">
        <f t="shared" si="32"/>
        <v>0.42499999999999999</v>
      </c>
    </row>
    <row r="469" spans="1:17" x14ac:dyDescent="0.3">
      <c r="A469" s="3">
        <v>26</v>
      </c>
      <c r="B469" s="3">
        <v>12</v>
      </c>
      <c r="C469" s="6">
        <v>4.2</v>
      </c>
      <c r="D469" t="s">
        <v>20</v>
      </c>
      <c r="E469" s="3">
        <v>1000</v>
      </c>
      <c r="F469" s="6">
        <v>3.9</v>
      </c>
      <c r="G469" t="s">
        <v>48</v>
      </c>
      <c r="H469" s="2">
        <v>-0.1</v>
      </c>
      <c r="I469" s="3">
        <v>1500</v>
      </c>
      <c r="J469" s="3" t="str">
        <f t="shared" si="29"/>
        <v>Medium Price</v>
      </c>
      <c r="K469" t="s">
        <v>179</v>
      </c>
      <c r="L469" t="s">
        <v>29</v>
      </c>
      <c r="M469" t="s">
        <v>18</v>
      </c>
      <c r="N469">
        <v>0.6</v>
      </c>
      <c r="O469" t="str">
        <f t="shared" si="30"/>
        <v>Medium</v>
      </c>
      <c r="P469">
        <f t="shared" si="31"/>
        <v>18000</v>
      </c>
      <c r="Q469" s="2">
        <f t="shared" si="32"/>
        <v>0.46153846153846156</v>
      </c>
    </row>
    <row r="470" spans="1:17" x14ac:dyDescent="0.3">
      <c r="A470" s="3">
        <v>41</v>
      </c>
      <c r="B470" s="3">
        <v>18</v>
      </c>
      <c r="C470" s="6">
        <v>4.8</v>
      </c>
      <c r="D470" t="s">
        <v>13</v>
      </c>
      <c r="E470" s="3">
        <v>8000</v>
      </c>
      <c r="F470" s="6">
        <v>4.7</v>
      </c>
      <c r="G470" t="s">
        <v>65</v>
      </c>
      <c r="H470" s="2">
        <v>0.9</v>
      </c>
      <c r="I470" s="3">
        <v>8000</v>
      </c>
      <c r="J470" s="3" t="str">
        <f t="shared" si="29"/>
        <v>High Price</v>
      </c>
      <c r="K470" t="s">
        <v>9</v>
      </c>
      <c r="L470" t="s">
        <v>24</v>
      </c>
      <c r="M470" t="s">
        <v>25</v>
      </c>
      <c r="N470">
        <v>0.95</v>
      </c>
      <c r="O470" t="str">
        <f t="shared" si="30"/>
        <v>High</v>
      </c>
      <c r="P470">
        <f t="shared" si="31"/>
        <v>144000</v>
      </c>
      <c r="Q470" s="2">
        <f t="shared" si="32"/>
        <v>0.43902439024390244</v>
      </c>
    </row>
    <row r="471" spans="1:17" x14ac:dyDescent="0.3">
      <c r="A471" s="3">
        <v>8</v>
      </c>
      <c r="B471" s="3">
        <v>4</v>
      </c>
      <c r="C471" s="6">
        <v>3</v>
      </c>
      <c r="D471" t="s">
        <v>20</v>
      </c>
      <c r="E471" s="3">
        <v>300</v>
      </c>
      <c r="F471" s="6">
        <v>2.6</v>
      </c>
      <c r="G471" t="s">
        <v>48</v>
      </c>
      <c r="H471" s="2">
        <v>-0.6</v>
      </c>
      <c r="I471" s="3">
        <v>400</v>
      </c>
      <c r="J471" s="3" t="str">
        <f t="shared" si="29"/>
        <v>Low Price</v>
      </c>
      <c r="K471" t="s">
        <v>179</v>
      </c>
      <c r="L471" t="s">
        <v>29</v>
      </c>
      <c r="M471" t="s">
        <v>18</v>
      </c>
      <c r="N471">
        <v>0.35</v>
      </c>
      <c r="O471" t="str">
        <f t="shared" si="30"/>
        <v>Low</v>
      </c>
      <c r="P471">
        <f t="shared" si="31"/>
        <v>1600</v>
      </c>
      <c r="Q471" s="2">
        <f t="shared" si="32"/>
        <v>0.5</v>
      </c>
    </row>
    <row r="472" spans="1:17" x14ac:dyDescent="0.3">
      <c r="A472" s="3">
        <v>34</v>
      </c>
      <c r="B472" s="3">
        <v>15</v>
      </c>
      <c r="C472" s="6">
        <v>4.4000000000000004</v>
      </c>
      <c r="D472" t="s">
        <v>13</v>
      </c>
      <c r="E472" s="3">
        <v>6000</v>
      </c>
      <c r="F472" s="6">
        <v>4.7</v>
      </c>
      <c r="G472" t="s">
        <v>69</v>
      </c>
      <c r="H472" s="2">
        <v>0.75</v>
      </c>
      <c r="I472" s="3">
        <v>5000</v>
      </c>
      <c r="J472" s="3" t="str">
        <f t="shared" si="29"/>
        <v>Medium Price</v>
      </c>
      <c r="K472" t="s">
        <v>9</v>
      </c>
      <c r="L472" t="s">
        <v>17</v>
      </c>
      <c r="M472" t="s">
        <v>25</v>
      </c>
      <c r="N472">
        <v>0.85</v>
      </c>
      <c r="O472" t="str">
        <f t="shared" si="30"/>
        <v>High</v>
      </c>
      <c r="P472">
        <f t="shared" si="31"/>
        <v>75000</v>
      </c>
      <c r="Q472" s="2">
        <f t="shared" si="32"/>
        <v>0.44117647058823528</v>
      </c>
    </row>
    <row r="473" spans="1:17" x14ac:dyDescent="0.3">
      <c r="A473" s="3">
        <v>4</v>
      </c>
      <c r="B473" s="3">
        <v>2</v>
      </c>
      <c r="C473" s="6">
        <v>2.2000000000000002</v>
      </c>
      <c r="D473" t="s">
        <v>20</v>
      </c>
      <c r="E473" s="3">
        <v>200</v>
      </c>
      <c r="F473" s="6">
        <v>2</v>
      </c>
      <c r="G473" t="s">
        <v>39</v>
      </c>
      <c r="H473" s="2">
        <v>-0.8</v>
      </c>
      <c r="I473" s="3">
        <v>300</v>
      </c>
      <c r="J473" s="3" t="str">
        <f t="shared" si="29"/>
        <v>Low Price</v>
      </c>
      <c r="K473" t="s">
        <v>179</v>
      </c>
      <c r="L473" t="s">
        <v>33</v>
      </c>
      <c r="M473" t="s">
        <v>34</v>
      </c>
      <c r="N473">
        <v>2.5000000000000001E-2</v>
      </c>
      <c r="O473" t="str">
        <f t="shared" si="30"/>
        <v>Low</v>
      </c>
      <c r="P473">
        <f t="shared" si="31"/>
        <v>600</v>
      </c>
      <c r="Q473" s="2">
        <f t="shared" si="32"/>
        <v>0.5</v>
      </c>
    </row>
    <row r="474" spans="1:17" x14ac:dyDescent="0.3">
      <c r="A474" s="3">
        <v>30</v>
      </c>
      <c r="B474" s="3">
        <v>14</v>
      </c>
      <c r="C474" s="6">
        <v>4.5</v>
      </c>
      <c r="D474" t="s">
        <v>13</v>
      </c>
      <c r="E474" s="3">
        <v>5000</v>
      </c>
      <c r="F474" s="6">
        <v>4.5999999999999996</v>
      </c>
      <c r="G474" t="s">
        <v>80</v>
      </c>
      <c r="H474" s="2">
        <v>0.7</v>
      </c>
      <c r="I474" s="3">
        <v>6000</v>
      </c>
      <c r="J474" s="3" t="str">
        <f t="shared" si="29"/>
        <v>High Price</v>
      </c>
      <c r="K474" t="s">
        <v>179</v>
      </c>
      <c r="L474" t="s">
        <v>24</v>
      </c>
      <c r="M474" t="s">
        <v>25</v>
      </c>
      <c r="N474">
        <v>0.85</v>
      </c>
      <c r="O474" t="str">
        <f t="shared" si="30"/>
        <v>High</v>
      </c>
      <c r="P474">
        <f t="shared" si="31"/>
        <v>84000</v>
      </c>
      <c r="Q474" s="2">
        <f t="shared" si="32"/>
        <v>0.46666666666666667</v>
      </c>
    </row>
    <row r="475" spans="1:17" x14ac:dyDescent="0.3">
      <c r="A475" s="3">
        <v>17</v>
      </c>
      <c r="B475" s="3">
        <v>8</v>
      </c>
      <c r="C475" s="6">
        <v>3.8</v>
      </c>
      <c r="D475" t="s">
        <v>20</v>
      </c>
      <c r="E475" s="3">
        <v>700</v>
      </c>
      <c r="F475" s="6">
        <v>3.4</v>
      </c>
      <c r="G475" t="s">
        <v>75</v>
      </c>
      <c r="H475" s="2">
        <v>-0.2</v>
      </c>
      <c r="I475" s="3">
        <v>1200</v>
      </c>
      <c r="J475" s="3" t="str">
        <f t="shared" si="29"/>
        <v>Medium Price</v>
      </c>
      <c r="K475" t="s">
        <v>179</v>
      </c>
      <c r="L475" t="s">
        <v>29</v>
      </c>
      <c r="M475" t="s">
        <v>18</v>
      </c>
      <c r="N475">
        <v>0.6</v>
      </c>
      <c r="O475" t="str">
        <f t="shared" si="30"/>
        <v>Medium</v>
      </c>
      <c r="P475">
        <f t="shared" si="31"/>
        <v>9600</v>
      </c>
      <c r="Q475" s="2">
        <f t="shared" si="32"/>
        <v>0.47058823529411764</v>
      </c>
    </row>
    <row r="476" spans="1:17" x14ac:dyDescent="0.3">
      <c r="A476" s="3">
        <v>47</v>
      </c>
      <c r="B476" s="3">
        <v>20</v>
      </c>
      <c r="C476" s="6">
        <v>5</v>
      </c>
      <c r="D476" t="s">
        <v>13</v>
      </c>
      <c r="E476" s="3">
        <v>10000</v>
      </c>
      <c r="F476" s="6">
        <v>4.9000000000000004</v>
      </c>
      <c r="G476" t="s">
        <v>65</v>
      </c>
      <c r="H476" s="2">
        <v>0.95</v>
      </c>
      <c r="I476" s="3">
        <v>10000</v>
      </c>
      <c r="J476" s="3" t="str">
        <f t="shared" si="29"/>
        <v>High Price</v>
      </c>
      <c r="K476" t="s">
        <v>9</v>
      </c>
      <c r="L476" t="s">
        <v>17</v>
      </c>
      <c r="M476" t="s">
        <v>25</v>
      </c>
      <c r="N476">
        <v>1</v>
      </c>
      <c r="O476" t="str">
        <f t="shared" si="30"/>
        <v>High</v>
      </c>
      <c r="P476">
        <f t="shared" si="31"/>
        <v>200000</v>
      </c>
      <c r="Q476" s="2">
        <f t="shared" si="32"/>
        <v>0.42553191489361702</v>
      </c>
    </row>
    <row r="477" spans="1:17" x14ac:dyDescent="0.3">
      <c r="A477" s="3">
        <v>2</v>
      </c>
      <c r="B477" s="3">
        <v>1</v>
      </c>
      <c r="C477" s="6">
        <v>1.3</v>
      </c>
      <c r="D477" t="s">
        <v>20</v>
      </c>
      <c r="E477" s="3">
        <v>100</v>
      </c>
      <c r="F477" s="6">
        <v>1.2</v>
      </c>
      <c r="G477" t="s">
        <v>39</v>
      </c>
      <c r="H477" s="2">
        <v>-0.9</v>
      </c>
      <c r="I477" s="3">
        <v>100</v>
      </c>
      <c r="J477" s="3" t="str">
        <f t="shared" si="29"/>
        <v>Low Price</v>
      </c>
      <c r="K477" t="s">
        <v>179</v>
      </c>
      <c r="L477" t="s">
        <v>33</v>
      </c>
      <c r="M477" t="s">
        <v>34</v>
      </c>
      <c r="N477">
        <v>1.4999999999999999E-2</v>
      </c>
      <c r="O477" t="str">
        <f t="shared" si="30"/>
        <v>Low</v>
      </c>
      <c r="P477">
        <f t="shared" si="31"/>
        <v>100</v>
      </c>
      <c r="Q477" s="2">
        <f t="shared" si="32"/>
        <v>0.5</v>
      </c>
    </row>
    <row r="478" spans="1:17" x14ac:dyDescent="0.3">
      <c r="A478" s="3">
        <v>31</v>
      </c>
      <c r="B478" s="3">
        <v>15</v>
      </c>
      <c r="C478" s="6">
        <v>4.5999999999999996</v>
      </c>
      <c r="D478" t="s">
        <v>13</v>
      </c>
      <c r="E478" s="3">
        <v>6000</v>
      </c>
      <c r="F478" s="6">
        <v>4.8</v>
      </c>
      <c r="G478" t="s">
        <v>69</v>
      </c>
      <c r="H478" s="2">
        <v>0.8</v>
      </c>
      <c r="I478" s="3">
        <v>6000</v>
      </c>
      <c r="J478" s="3" t="str">
        <f t="shared" si="29"/>
        <v>High Price</v>
      </c>
      <c r="K478" t="s">
        <v>9</v>
      </c>
      <c r="L478" t="s">
        <v>17</v>
      </c>
      <c r="M478" t="s">
        <v>25</v>
      </c>
      <c r="N478">
        <v>0.9</v>
      </c>
      <c r="O478" t="str">
        <f t="shared" si="30"/>
        <v>High</v>
      </c>
      <c r="P478">
        <f t="shared" si="31"/>
        <v>90000</v>
      </c>
      <c r="Q478" s="2">
        <f t="shared" si="32"/>
        <v>0.4838709677419355</v>
      </c>
    </row>
    <row r="479" spans="1:17" x14ac:dyDescent="0.3">
      <c r="A479" s="3">
        <v>14</v>
      </c>
      <c r="B479" s="3">
        <v>7</v>
      </c>
      <c r="C479" s="6">
        <v>3.9</v>
      </c>
      <c r="D479" t="s">
        <v>20</v>
      </c>
      <c r="E479" s="3">
        <v>800</v>
      </c>
      <c r="F479" s="6">
        <v>3.6</v>
      </c>
      <c r="G479" t="s">
        <v>42</v>
      </c>
      <c r="H479" s="2">
        <v>-0.3</v>
      </c>
      <c r="I479" s="3">
        <v>1100</v>
      </c>
      <c r="J479" s="3" t="str">
        <f t="shared" si="29"/>
        <v>Medium Price</v>
      </c>
      <c r="K479" t="s">
        <v>179</v>
      </c>
      <c r="L479" t="s">
        <v>29</v>
      </c>
      <c r="M479" t="s">
        <v>18</v>
      </c>
      <c r="N479">
        <v>0.6</v>
      </c>
      <c r="O479" t="str">
        <f t="shared" si="30"/>
        <v>Medium</v>
      </c>
      <c r="P479">
        <f t="shared" si="31"/>
        <v>7700</v>
      </c>
      <c r="Q479" s="2">
        <f t="shared" si="32"/>
        <v>0.5</v>
      </c>
    </row>
    <row r="480" spans="1:17" x14ac:dyDescent="0.3">
      <c r="A480" s="3">
        <v>6</v>
      </c>
      <c r="B480" s="3">
        <v>3</v>
      </c>
      <c r="C480" s="6">
        <v>2.5</v>
      </c>
      <c r="D480" t="s">
        <v>20</v>
      </c>
      <c r="E480" s="3">
        <v>200</v>
      </c>
      <c r="F480" s="6">
        <v>2.2999999999999998</v>
      </c>
      <c r="G480" t="s">
        <v>35</v>
      </c>
      <c r="H480" s="2">
        <v>-0.6</v>
      </c>
      <c r="I480" s="3">
        <v>600</v>
      </c>
      <c r="J480" s="3" t="str">
        <f t="shared" si="29"/>
        <v>Low Price</v>
      </c>
      <c r="K480" t="s">
        <v>179</v>
      </c>
      <c r="L480" t="s">
        <v>29</v>
      </c>
      <c r="M480" t="s">
        <v>18</v>
      </c>
      <c r="N480">
        <v>0.3</v>
      </c>
      <c r="O480" t="str">
        <f t="shared" si="30"/>
        <v>Low</v>
      </c>
      <c r="P480">
        <f t="shared" si="31"/>
        <v>1800</v>
      </c>
      <c r="Q480" s="2">
        <f t="shared" si="32"/>
        <v>0.5</v>
      </c>
    </row>
    <row r="481" spans="1:17" x14ac:dyDescent="0.3">
      <c r="A481" s="3">
        <v>32</v>
      </c>
      <c r="B481" s="3">
        <v>15</v>
      </c>
      <c r="C481" s="6">
        <v>4.4000000000000004</v>
      </c>
      <c r="D481" t="s">
        <v>13</v>
      </c>
      <c r="E481" s="3">
        <v>6000</v>
      </c>
      <c r="F481" s="6">
        <v>4.7</v>
      </c>
      <c r="G481" t="s">
        <v>69</v>
      </c>
      <c r="H481" s="2">
        <v>0.75</v>
      </c>
      <c r="I481" s="3">
        <v>6000</v>
      </c>
      <c r="J481" s="3" t="str">
        <f t="shared" si="29"/>
        <v>High Price</v>
      </c>
      <c r="K481" t="s">
        <v>9</v>
      </c>
      <c r="L481" t="s">
        <v>17</v>
      </c>
      <c r="M481" t="s">
        <v>25</v>
      </c>
      <c r="N481">
        <v>0.85</v>
      </c>
      <c r="O481" t="str">
        <f t="shared" si="30"/>
        <v>High</v>
      </c>
      <c r="P481">
        <f t="shared" si="31"/>
        <v>90000</v>
      </c>
      <c r="Q481" s="2">
        <f t="shared" si="32"/>
        <v>0.46875</v>
      </c>
    </row>
    <row r="482" spans="1:17" x14ac:dyDescent="0.3">
      <c r="A482" s="3">
        <v>15</v>
      </c>
      <c r="B482" s="3">
        <v>8</v>
      </c>
      <c r="C482" s="6">
        <v>3.9</v>
      </c>
      <c r="D482" t="s">
        <v>20</v>
      </c>
      <c r="E482" s="3">
        <v>900</v>
      </c>
      <c r="F482" s="6">
        <v>3.5</v>
      </c>
      <c r="G482" t="s">
        <v>75</v>
      </c>
      <c r="H482" s="2">
        <v>-0.2</v>
      </c>
      <c r="I482" s="3">
        <v>1300</v>
      </c>
      <c r="J482" s="3" t="str">
        <f t="shared" si="29"/>
        <v>Medium Price</v>
      </c>
      <c r="K482" t="s">
        <v>179</v>
      </c>
      <c r="L482" t="s">
        <v>29</v>
      </c>
      <c r="M482" t="s">
        <v>18</v>
      </c>
      <c r="N482">
        <v>0.65</v>
      </c>
      <c r="O482" t="str">
        <f t="shared" si="30"/>
        <v>Medium</v>
      </c>
      <c r="P482">
        <f t="shared" si="31"/>
        <v>10400</v>
      </c>
      <c r="Q482" s="2">
        <f t="shared" si="32"/>
        <v>0.53333333333333333</v>
      </c>
    </row>
    <row r="483" spans="1:17" x14ac:dyDescent="0.3">
      <c r="A483" s="3">
        <v>48</v>
      </c>
      <c r="B483" s="3">
        <v>19</v>
      </c>
      <c r="C483" s="6">
        <v>4.9000000000000004</v>
      </c>
      <c r="D483" t="s">
        <v>13</v>
      </c>
      <c r="E483" s="3">
        <v>10000</v>
      </c>
      <c r="F483" s="6">
        <v>4.8</v>
      </c>
      <c r="G483" t="s">
        <v>65</v>
      </c>
      <c r="H483" s="2">
        <v>0.9</v>
      </c>
      <c r="I483" s="3">
        <v>9000</v>
      </c>
      <c r="J483" s="3" t="str">
        <f t="shared" si="29"/>
        <v>High Price</v>
      </c>
      <c r="K483" t="s">
        <v>9</v>
      </c>
      <c r="L483" t="s">
        <v>24</v>
      </c>
      <c r="M483" t="s">
        <v>25</v>
      </c>
      <c r="N483">
        <v>0.95</v>
      </c>
      <c r="O483" t="str">
        <f t="shared" si="30"/>
        <v>High</v>
      </c>
      <c r="P483">
        <f t="shared" si="31"/>
        <v>171000</v>
      </c>
      <c r="Q483" s="2">
        <f t="shared" si="32"/>
        <v>0.39583333333333331</v>
      </c>
    </row>
    <row r="484" spans="1:17" x14ac:dyDescent="0.3">
      <c r="A484" s="3">
        <v>10</v>
      </c>
      <c r="B484" s="3">
        <v>6</v>
      </c>
      <c r="C484" s="6">
        <v>3.2</v>
      </c>
      <c r="D484" t="s">
        <v>20</v>
      </c>
      <c r="E484" s="3">
        <v>600</v>
      </c>
      <c r="F484" s="6">
        <v>3.1</v>
      </c>
      <c r="G484" t="s">
        <v>62</v>
      </c>
      <c r="H484" s="2">
        <v>-0.4</v>
      </c>
      <c r="I484" s="3">
        <v>1100</v>
      </c>
      <c r="J484" s="3" t="str">
        <f t="shared" si="29"/>
        <v>Medium Price</v>
      </c>
      <c r="K484" t="s">
        <v>179</v>
      </c>
      <c r="L484" t="s">
        <v>29</v>
      </c>
      <c r="M484" t="s">
        <v>18</v>
      </c>
      <c r="N484">
        <v>0.5</v>
      </c>
      <c r="O484" t="str">
        <f t="shared" si="30"/>
        <v>Medium</v>
      </c>
      <c r="P484">
        <f t="shared" si="31"/>
        <v>6600</v>
      </c>
      <c r="Q484" s="2">
        <f t="shared" si="32"/>
        <v>0.6</v>
      </c>
    </row>
    <row r="485" spans="1:17" x14ac:dyDescent="0.3">
      <c r="A485" s="3">
        <v>37</v>
      </c>
      <c r="B485" s="3">
        <v>17</v>
      </c>
      <c r="C485" s="6">
        <v>4.7</v>
      </c>
      <c r="D485" t="s">
        <v>13</v>
      </c>
      <c r="E485" s="3">
        <v>7000</v>
      </c>
      <c r="F485" s="6">
        <v>4.8</v>
      </c>
      <c r="G485" t="s">
        <v>69</v>
      </c>
      <c r="H485" s="2">
        <v>0.85</v>
      </c>
      <c r="I485" s="3">
        <v>6000</v>
      </c>
      <c r="J485" s="3" t="str">
        <f t="shared" si="29"/>
        <v>High Price</v>
      </c>
      <c r="K485" t="s">
        <v>9</v>
      </c>
      <c r="L485" t="s">
        <v>17</v>
      </c>
      <c r="M485" t="s">
        <v>25</v>
      </c>
      <c r="N485">
        <v>0.9</v>
      </c>
      <c r="O485" t="str">
        <f t="shared" si="30"/>
        <v>High</v>
      </c>
      <c r="P485">
        <f t="shared" si="31"/>
        <v>102000</v>
      </c>
      <c r="Q485" s="2">
        <f t="shared" si="32"/>
        <v>0.45945945945945948</v>
      </c>
    </row>
    <row r="486" spans="1:17" x14ac:dyDescent="0.3">
      <c r="A486" s="3">
        <v>12</v>
      </c>
      <c r="B486" s="3">
        <v>7</v>
      </c>
      <c r="C486" s="6">
        <v>3.5</v>
      </c>
      <c r="D486" t="s">
        <v>20</v>
      </c>
      <c r="E486" s="3">
        <v>800</v>
      </c>
      <c r="F486" s="6">
        <v>3.3</v>
      </c>
      <c r="G486" t="s">
        <v>42</v>
      </c>
      <c r="H486" s="2">
        <v>-0.4</v>
      </c>
      <c r="I486" s="3">
        <v>1100</v>
      </c>
      <c r="J486" s="3" t="str">
        <f t="shared" si="29"/>
        <v>Medium Price</v>
      </c>
      <c r="K486" t="s">
        <v>179</v>
      </c>
      <c r="L486" t="s">
        <v>29</v>
      </c>
      <c r="M486" t="s">
        <v>18</v>
      </c>
      <c r="N486">
        <v>0.55000000000000004</v>
      </c>
      <c r="O486" t="str">
        <f t="shared" si="30"/>
        <v>Medium</v>
      </c>
      <c r="P486">
        <f t="shared" si="31"/>
        <v>7700</v>
      </c>
      <c r="Q486" s="2">
        <f t="shared" si="32"/>
        <v>0.58333333333333337</v>
      </c>
    </row>
    <row r="487" spans="1:17" x14ac:dyDescent="0.3">
      <c r="A487" s="3">
        <v>5</v>
      </c>
      <c r="B487" s="3">
        <v>3</v>
      </c>
      <c r="C487" s="6">
        <v>2.5</v>
      </c>
      <c r="D487" t="s">
        <v>20</v>
      </c>
      <c r="E487" s="3">
        <v>200</v>
      </c>
      <c r="F487" s="6">
        <v>2.1</v>
      </c>
      <c r="G487" t="s">
        <v>48</v>
      </c>
      <c r="H487" s="2">
        <v>-0.7</v>
      </c>
      <c r="I487" s="3">
        <v>500</v>
      </c>
      <c r="J487" s="3" t="str">
        <f t="shared" si="29"/>
        <v>Low Price</v>
      </c>
      <c r="K487" t="s">
        <v>179</v>
      </c>
      <c r="L487" t="s">
        <v>29</v>
      </c>
      <c r="M487" t="s">
        <v>18</v>
      </c>
      <c r="N487">
        <v>0.3</v>
      </c>
      <c r="O487" t="str">
        <f t="shared" si="30"/>
        <v>Low</v>
      </c>
      <c r="P487">
        <f t="shared" si="31"/>
        <v>1500</v>
      </c>
      <c r="Q487" s="2">
        <f t="shared" si="32"/>
        <v>0.6</v>
      </c>
    </row>
    <row r="488" spans="1:17" x14ac:dyDescent="0.3">
      <c r="A488" s="3">
        <v>33</v>
      </c>
      <c r="B488" s="3">
        <v>15</v>
      </c>
      <c r="C488" s="6">
        <v>4.4000000000000004</v>
      </c>
      <c r="D488" t="s">
        <v>13</v>
      </c>
      <c r="E488" s="3">
        <v>6000</v>
      </c>
      <c r="F488" s="6">
        <v>4.8</v>
      </c>
      <c r="G488" t="s">
        <v>69</v>
      </c>
      <c r="H488" s="2">
        <v>0.8</v>
      </c>
      <c r="I488" s="3">
        <v>6000</v>
      </c>
      <c r="J488" s="3" t="str">
        <f t="shared" si="29"/>
        <v>High Price</v>
      </c>
      <c r="K488" t="s">
        <v>179</v>
      </c>
      <c r="L488" t="s">
        <v>17</v>
      </c>
      <c r="M488" t="s">
        <v>25</v>
      </c>
      <c r="N488">
        <v>0.9</v>
      </c>
      <c r="O488" t="str">
        <f t="shared" si="30"/>
        <v>High</v>
      </c>
      <c r="P488">
        <f t="shared" si="31"/>
        <v>90000</v>
      </c>
      <c r="Q488" s="2">
        <f t="shared" si="32"/>
        <v>0.45454545454545453</v>
      </c>
    </row>
    <row r="489" spans="1:17" x14ac:dyDescent="0.3">
      <c r="A489" s="3">
        <v>13</v>
      </c>
      <c r="B489" s="3">
        <v>7</v>
      </c>
      <c r="C489" s="6">
        <v>3.7</v>
      </c>
      <c r="D489" t="s">
        <v>20</v>
      </c>
      <c r="E489" s="3">
        <v>900</v>
      </c>
      <c r="F489" s="6">
        <v>3.5</v>
      </c>
      <c r="G489" t="s">
        <v>42</v>
      </c>
      <c r="H489" s="2">
        <v>-0.3</v>
      </c>
      <c r="I489" s="3">
        <v>1200</v>
      </c>
      <c r="J489" s="3" t="str">
        <f t="shared" si="29"/>
        <v>Medium Price</v>
      </c>
      <c r="K489" t="s">
        <v>179</v>
      </c>
      <c r="L489" t="s">
        <v>29</v>
      </c>
      <c r="M489" t="s">
        <v>18</v>
      </c>
      <c r="N489">
        <v>0.6</v>
      </c>
      <c r="O489" t="str">
        <f t="shared" si="30"/>
        <v>Medium</v>
      </c>
      <c r="P489">
        <f t="shared" si="31"/>
        <v>8400</v>
      </c>
      <c r="Q489" s="2">
        <f t="shared" si="32"/>
        <v>0.53846153846153844</v>
      </c>
    </row>
    <row r="490" spans="1:17" x14ac:dyDescent="0.3">
      <c r="A490" s="3">
        <v>7</v>
      </c>
      <c r="B490" s="3">
        <v>3</v>
      </c>
      <c r="C490" s="6">
        <v>2.5</v>
      </c>
      <c r="D490" t="s">
        <v>20</v>
      </c>
      <c r="E490" s="3">
        <v>200</v>
      </c>
      <c r="F490" s="6">
        <v>2.2000000000000002</v>
      </c>
      <c r="G490" t="s">
        <v>35</v>
      </c>
      <c r="H490" s="2">
        <v>-0.6</v>
      </c>
      <c r="I490" s="3">
        <v>600</v>
      </c>
      <c r="J490" s="3" t="str">
        <f t="shared" si="29"/>
        <v>Low Price</v>
      </c>
      <c r="K490" t="s">
        <v>179</v>
      </c>
      <c r="L490" t="s">
        <v>29</v>
      </c>
      <c r="M490" t="s">
        <v>18</v>
      </c>
      <c r="N490">
        <v>0.3</v>
      </c>
      <c r="O490" t="str">
        <f t="shared" si="30"/>
        <v>Low</v>
      </c>
      <c r="P490">
        <f t="shared" si="31"/>
        <v>1800</v>
      </c>
      <c r="Q490" s="2">
        <f t="shared" si="32"/>
        <v>0.42857142857142855</v>
      </c>
    </row>
    <row r="491" spans="1:17" x14ac:dyDescent="0.3">
      <c r="A491" s="3">
        <v>35</v>
      </c>
      <c r="B491" s="3">
        <v>16</v>
      </c>
      <c r="C491" s="6">
        <v>4.5999999999999996</v>
      </c>
      <c r="D491" t="s">
        <v>13</v>
      </c>
      <c r="E491" s="3">
        <v>6000</v>
      </c>
      <c r="F491" s="6">
        <v>4.9000000000000004</v>
      </c>
      <c r="G491" t="s">
        <v>74</v>
      </c>
      <c r="H491" s="2">
        <v>0.95</v>
      </c>
      <c r="I491" s="3">
        <v>10000</v>
      </c>
      <c r="J491" s="3" t="str">
        <f t="shared" si="29"/>
        <v>High Price</v>
      </c>
      <c r="K491" t="s">
        <v>9</v>
      </c>
      <c r="L491" t="s">
        <v>17</v>
      </c>
      <c r="M491" t="s">
        <v>25</v>
      </c>
      <c r="N491">
        <v>0.9</v>
      </c>
      <c r="O491" t="str">
        <f t="shared" si="30"/>
        <v>High</v>
      </c>
      <c r="P491">
        <f t="shared" si="31"/>
        <v>160000</v>
      </c>
      <c r="Q491" s="2">
        <f t="shared" si="32"/>
        <v>0.45714285714285713</v>
      </c>
    </row>
    <row r="492" spans="1:17" x14ac:dyDescent="0.3">
      <c r="A492" s="3">
        <v>20</v>
      </c>
      <c r="B492" s="3">
        <v>10</v>
      </c>
      <c r="C492" s="6">
        <v>4</v>
      </c>
      <c r="D492" t="s">
        <v>20</v>
      </c>
      <c r="E492" s="3">
        <v>1000</v>
      </c>
      <c r="F492" s="6">
        <v>3.7</v>
      </c>
      <c r="G492" t="s">
        <v>95</v>
      </c>
      <c r="H492" s="2">
        <v>-0.2</v>
      </c>
      <c r="I492" s="3">
        <v>800</v>
      </c>
      <c r="J492" s="3" t="str">
        <f t="shared" si="29"/>
        <v>Low Price</v>
      </c>
      <c r="K492" t="s">
        <v>179</v>
      </c>
      <c r="L492" t="s">
        <v>29</v>
      </c>
      <c r="M492" t="s">
        <v>18</v>
      </c>
      <c r="N492">
        <v>0.6</v>
      </c>
      <c r="O492" t="str">
        <f t="shared" si="30"/>
        <v>Medium</v>
      </c>
      <c r="P492">
        <f t="shared" si="31"/>
        <v>8000</v>
      </c>
      <c r="Q492" s="2">
        <f t="shared" si="32"/>
        <v>0.5</v>
      </c>
    </row>
    <row r="493" spans="1:17" x14ac:dyDescent="0.3">
      <c r="A493" s="3">
        <v>38</v>
      </c>
      <c r="B493" s="3">
        <v>18</v>
      </c>
      <c r="C493" s="6">
        <v>4.8</v>
      </c>
      <c r="D493" t="s">
        <v>13</v>
      </c>
      <c r="E493" s="3">
        <v>7000</v>
      </c>
      <c r="F493" s="6">
        <v>4.8</v>
      </c>
      <c r="G493" t="s">
        <v>77</v>
      </c>
      <c r="H493" s="2">
        <v>0.9</v>
      </c>
      <c r="I493" s="3">
        <v>8000</v>
      </c>
      <c r="J493" s="3" t="str">
        <f t="shared" si="29"/>
        <v>High Price</v>
      </c>
      <c r="K493" t="s">
        <v>9</v>
      </c>
      <c r="L493" t="s">
        <v>24</v>
      </c>
      <c r="M493" t="s">
        <v>25</v>
      </c>
      <c r="N493">
        <v>0.95</v>
      </c>
      <c r="O493" t="str">
        <f t="shared" si="30"/>
        <v>High</v>
      </c>
      <c r="P493">
        <f t="shared" si="31"/>
        <v>144000</v>
      </c>
      <c r="Q493" s="2">
        <f t="shared" si="32"/>
        <v>0.47368421052631576</v>
      </c>
    </row>
    <row r="494" spans="1:17" x14ac:dyDescent="0.3">
      <c r="A494" s="3">
        <v>9</v>
      </c>
      <c r="B494" s="3">
        <v>5</v>
      </c>
      <c r="C494" s="6">
        <v>3.2</v>
      </c>
      <c r="D494" t="s">
        <v>20</v>
      </c>
      <c r="E494" s="3">
        <v>600</v>
      </c>
      <c r="F494" s="6">
        <v>3</v>
      </c>
      <c r="G494" t="s">
        <v>62</v>
      </c>
      <c r="H494" s="2">
        <v>-0.4</v>
      </c>
      <c r="I494" s="3">
        <v>1100</v>
      </c>
      <c r="J494" s="3" t="str">
        <f t="shared" si="29"/>
        <v>Medium Price</v>
      </c>
      <c r="K494" t="s">
        <v>179</v>
      </c>
      <c r="L494" t="s">
        <v>29</v>
      </c>
      <c r="M494" t="s">
        <v>18</v>
      </c>
      <c r="N494">
        <v>0.5</v>
      </c>
      <c r="O494" t="str">
        <f t="shared" si="30"/>
        <v>Medium</v>
      </c>
      <c r="P494">
        <f t="shared" si="31"/>
        <v>5500</v>
      </c>
      <c r="Q494" s="2">
        <f t="shared" si="32"/>
        <v>0.55555555555555558</v>
      </c>
    </row>
    <row r="495" spans="1:17" x14ac:dyDescent="0.3">
      <c r="A495" s="3">
        <v>36</v>
      </c>
      <c r="B495" s="3">
        <v>17</v>
      </c>
      <c r="C495" s="6">
        <v>4.5999999999999996</v>
      </c>
      <c r="D495" t="s">
        <v>13</v>
      </c>
      <c r="E495" s="3">
        <v>7000</v>
      </c>
      <c r="F495" s="6">
        <v>4.8</v>
      </c>
      <c r="G495" t="s">
        <v>69</v>
      </c>
      <c r="H495" s="2">
        <v>0.85</v>
      </c>
      <c r="I495" s="3">
        <v>6000</v>
      </c>
      <c r="J495" s="3" t="str">
        <f t="shared" si="29"/>
        <v>High Price</v>
      </c>
      <c r="K495" t="s">
        <v>9</v>
      </c>
      <c r="L495" t="s">
        <v>17</v>
      </c>
      <c r="M495" t="s">
        <v>25</v>
      </c>
      <c r="N495">
        <v>0.9</v>
      </c>
      <c r="O495" t="str">
        <f t="shared" si="30"/>
        <v>High</v>
      </c>
      <c r="P495">
        <f t="shared" si="31"/>
        <v>102000</v>
      </c>
      <c r="Q495" s="2">
        <f t="shared" si="32"/>
        <v>0.47222222222222221</v>
      </c>
    </row>
    <row r="496" spans="1:17" x14ac:dyDescent="0.3">
      <c r="A496" s="3">
        <v>11</v>
      </c>
      <c r="B496" s="3">
        <v>6</v>
      </c>
      <c r="C496" s="6">
        <v>3.4</v>
      </c>
      <c r="D496" t="s">
        <v>20</v>
      </c>
      <c r="E496" s="3">
        <v>700</v>
      </c>
      <c r="F496" s="6">
        <v>3.2</v>
      </c>
      <c r="G496" t="s">
        <v>42</v>
      </c>
      <c r="H496" s="2">
        <v>-0.4</v>
      </c>
      <c r="I496" s="3">
        <v>1200</v>
      </c>
      <c r="J496" s="3" t="str">
        <f t="shared" si="29"/>
        <v>Medium Price</v>
      </c>
      <c r="K496" t="s">
        <v>179</v>
      </c>
      <c r="L496" t="s">
        <v>29</v>
      </c>
      <c r="M496" t="s">
        <v>18</v>
      </c>
      <c r="N496">
        <v>0.55000000000000004</v>
      </c>
      <c r="O496" t="str">
        <f t="shared" si="30"/>
        <v>Medium</v>
      </c>
      <c r="P496">
        <f t="shared" si="31"/>
        <v>7200</v>
      </c>
      <c r="Q496" s="2">
        <f t="shared" si="32"/>
        <v>0.54545454545454541</v>
      </c>
    </row>
    <row r="497" spans="1:17" x14ac:dyDescent="0.3">
      <c r="A497" s="3">
        <v>47</v>
      </c>
      <c r="B497" s="3">
        <v>20</v>
      </c>
      <c r="C497" s="6">
        <v>4.9000000000000004</v>
      </c>
      <c r="D497" t="s">
        <v>13</v>
      </c>
      <c r="E497" s="3">
        <v>10000</v>
      </c>
      <c r="F497" s="6">
        <v>4.8</v>
      </c>
      <c r="G497" t="s">
        <v>65</v>
      </c>
      <c r="H497" s="2">
        <v>0.9</v>
      </c>
      <c r="I497" s="3">
        <v>9000</v>
      </c>
      <c r="J497" s="3" t="str">
        <f t="shared" si="29"/>
        <v>High Price</v>
      </c>
      <c r="K497" t="s">
        <v>9</v>
      </c>
      <c r="L497" t="s">
        <v>24</v>
      </c>
      <c r="M497" t="s">
        <v>25</v>
      </c>
      <c r="N497">
        <v>0.95</v>
      </c>
      <c r="O497" t="str">
        <f t="shared" si="30"/>
        <v>High</v>
      </c>
      <c r="P497">
        <f t="shared" si="31"/>
        <v>180000</v>
      </c>
      <c r="Q497" s="2">
        <f t="shared" si="32"/>
        <v>0.42553191489361702</v>
      </c>
    </row>
    <row r="498" spans="1:17" x14ac:dyDescent="0.3">
      <c r="A498" s="3">
        <v>6</v>
      </c>
      <c r="B498" s="3">
        <v>4</v>
      </c>
      <c r="C498" s="6">
        <v>2.6</v>
      </c>
      <c r="D498" t="s">
        <v>20</v>
      </c>
      <c r="E498" s="3">
        <v>200</v>
      </c>
      <c r="F498" s="6">
        <v>2.4</v>
      </c>
      <c r="G498" t="s">
        <v>35</v>
      </c>
      <c r="H498" s="2">
        <v>-0.5</v>
      </c>
      <c r="I498" s="3">
        <v>700</v>
      </c>
      <c r="J498" s="3" t="str">
        <f t="shared" si="29"/>
        <v>Low Price</v>
      </c>
      <c r="K498" t="s">
        <v>179</v>
      </c>
      <c r="L498" t="s">
        <v>29</v>
      </c>
      <c r="M498" t="s">
        <v>18</v>
      </c>
      <c r="N498">
        <v>0.35</v>
      </c>
      <c r="O498" t="str">
        <f t="shared" si="30"/>
        <v>Low</v>
      </c>
      <c r="P498">
        <f t="shared" si="31"/>
        <v>2800</v>
      </c>
      <c r="Q498" s="2">
        <f t="shared" si="32"/>
        <v>0.66666666666666663</v>
      </c>
    </row>
    <row r="499" spans="1:17" x14ac:dyDescent="0.3">
      <c r="A499" s="3">
        <v>32</v>
      </c>
      <c r="B499" s="3">
        <v>16</v>
      </c>
      <c r="C499" s="6">
        <v>4.4000000000000004</v>
      </c>
      <c r="D499" t="s">
        <v>13</v>
      </c>
      <c r="E499" s="3">
        <v>6000</v>
      </c>
      <c r="F499" s="6">
        <v>4.7</v>
      </c>
      <c r="G499" t="s">
        <v>69</v>
      </c>
      <c r="H499" s="2">
        <v>0.8</v>
      </c>
      <c r="I499" s="3">
        <v>6000</v>
      </c>
      <c r="J499" s="3" t="str">
        <f t="shared" si="29"/>
        <v>High Price</v>
      </c>
      <c r="K499" t="s">
        <v>179</v>
      </c>
      <c r="L499" t="s">
        <v>17</v>
      </c>
      <c r="M499" t="s">
        <v>25</v>
      </c>
      <c r="N499">
        <v>0.9</v>
      </c>
      <c r="O499" t="str">
        <f t="shared" si="30"/>
        <v>High</v>
      </c>
      <c r="P499">
        <f t="shared" si="31"/>
        <v>96000</v>
      </c>
      <c r="Q499" s="2">
        <f t="shared" si="32"/>
        <v>0.5</v>
      </c>
    </row>
    <row r="500" spans="1:17" x14ac:dyDescent="0.3">
      <c r="A500" s="3">
        <v>14</v>
      </c>
      <c r="B500" s="3">
        <v>8</v>
      </c>
      <c r="C500" s="6">
        <v>4</v>
      </c>
      <c r="D500" t="s">
        <v>20</v>
      </c>
      <c r="E500" s="3">
        <v>1000</v>
      </c>
      <c r="F500" s="6">
        <v>3.8</v>
      </c>
      <c r="G500" t="s">
        <v>42</v>
      </c>
      <c r="H500" s="2">
        <v>-0.3</v>
      </c>
      <c r="I500" s="3">
        <v>1200</v>
      </c>
      <c r="J500" s="3" t="str">
        <f t="shared" si="29"/>
        <v>Medium Price</v>
      </c>
      <c r="K500" t="s">
        <v>179</v>
      </c>
      <c r="L500" t="s">
        <v>29</v>
      </c>
      <c r="M500" t="s">
        <v>18</v>
      </c>
      <c r="N500">
        <v>0.6</v>
      </c>
      <c r="O500" t="str">
        <f t="shared" si="30"/>
        <v>Medium</v>
      </c>
      <c r="P500">
        <f t="shared" si="31"/>
        <v>9600</v>
      </c>
      <c r="Q500" s="2">
        <f t="shared" si="32"/>
        <v>0.5714285714285714</v>
      </c>
    </row>
    <row r="501" spans="1:17" x14ac:dyDescent="0.3">
      <c r="A501" s="3">
        <v>5</v>
      </c>
      <c r="B501" s="3">
        <v>4</v>
      </c>
      <c r="C501" s="6">
        <v>2.7</v>
      </c>
      <c r="D501" t="s">
        <v>20</v>
      </c>
      <c r="E501" s="3">
        <v>200</v>
      </c>
      <c r="F501" s="6">
        <v>2.2000000000000002</v>
      </c>
      <c r="G501" t="s">
        <v>48</v>
      </c>
      <c r="H501" s="2">
        <v>-0.7</v>
      </c>
      <c r="I501" s="3">
        <v>500</v>
      </c>
      <c r="J501" s="3" t="str">
        <f t="shared" si="29"/>
        <v>Low Price</v>
      </c>
      <c r="K501" t="s">
        <v>179</v>
      </c>
      <c r="L501" t="s">
        <v>29</v>
      </c>
      <c r="M501" t="s">
        <v>18</v>
      </c>
      <c r="N501">
        <v>0.3</v>
      </c>
      <c r="O501" t="str">
        <f t="shared" si="30"/>
        <v>Low</v>
      </c>
      <c r="P501">
        <f t="shared" si="31"/>
        <v>2000</v>
      </c>
      <c r="Q501" s="2">
        <f t="shared" si="32"/>
        <v>0.8</v>
      </c>
    </row>
    <row r="502" spans="1:17" x14ac:dyDescent="0.3">
      <c r="A502" s="3">
        <v>33</v>
      </c>
      <c r="B502" s="3">
        <v>16</v>
      </c>
      <c r="C502" s="6">
        <v>4.5</v>
      </c>
      <c r="D502" t="s">
        <v>13</v>
      </c>
      <c r="E502" s="3">
        <v>6000</v>
      </c>
      <c r="F502" s="6">
        <v>4.8</v>
      </c>
      <c r="G502" t="s">
        <v>69</v>
      </c>
      <c r="H502" s="2">
        <v>0.8</v>
      </c>
      <c r="I502" s="3">
        <v>6000</v>
      </c>
      <c r="J502" s="3" t="str">
        <f t="shared" si="29"/>
        <v>High Price</v>
      </c>
      <c r="K502" t="s">
        <v>179</v>
      </c>
      <c r="L502" t="s">
        <v>17</v>
      </c>
      <c r="M502" t="s">
        <v>25</v>
      </c>
      <c r="N502">
        <v>0.9</v>
      </c>
      <c r="O502" t="str">
        <f t="shared" si="30"/>
        <v>High</v>
      </c>
      <c r="P502">
        <f t="shared" si="31"/>
        <v>96000</v>
      </c>
      <c r="Q502" s="2">
        <f t="shared" si="32"/>
        <v>0.48484848484848486</v>
      </c>
    </row>
    <row r="503" spans="1:17" x14ac:dyDescent="0.3">
      <c r="A503" s="3">
        <v>15</v>
      </c>
      <c r="B503" s="3">
        <v>9</v>
      </c>
      <c r="C503" s="6">
        <v>4.0999999999999996</v>
      </c>
      <c r="D503" t="s">
        <v>20</v>
      </c>
      <c r="E503" s="3">
        <v>1000</v>
      </c>
      <c r="F503" s="6">
        <v>3.8</v>
      </c>
      <c r="G503" t="s">
        <v>75</v>
      </c>
      <c r="H503" s="2">
        <v>-0.2</v>
      </c>
      <c r="I503" s="3">
        <v>1300</v>
      </c>
      <c r="J503" s="3" t="str">
        <f t="shared" si="29"/>
        <v>Medium Price</v>
      </c>
      <c r="K503" t="s">
        <v>179</v>
      </c>
      <c r="L503" t="s">
        <v>29</v>
      </c>
      <c r="M503" t="s">
        <v>18</v>
      </c>
      <c r="N503">
        <v>0.65</v>
      </c>
      <c r="O503" t="str">
        <f t="shared" si="30"/>
        <v>Medium</v>
      </c>
      <c r="P503">
        <f t="shared" si="31"/>
        <v>11700</v>
      </c>
      <c r="Q503" s="2">
        <f t="shared" si="32"/>
        <v>0.6</v>
      </c>
    </row>
    <row r="504" spans="1:17" x14ac:dyDescent="0.3">
      <c r="A504" s="3">
        <v>48</v>
      </c>
      <c r="B504" s="3">
        <v>20</v>
      </c>
      <c r="C504" s="6">
        <v>4.9000000000000004</v>
      </c>
      <c r="D504" t="s">
        <v>13</v>
      </c>
      <c r="E504" s="3">
        <v>10000</v>
      </c>
      <c r="F504" s="6">
        <v>4.8</v>
      </c>
      <c r="G504" t="s">
        <v>65</v>
      </c>
      <c r="H504" s="2">
        <v>0.9</v>
      </c>
      <c r="I504" s="3">
        <v>10000</v>
      </c>
      <c r="J504" s="3" t="str">
        <f t="shared" si="29"/>
        <v>High Price</v>
      </c>
      <c r="K504" t="s">
        <v>9</v>
      </c>
      <c r="L504" t="s">
        <v>17</v>
      </c>
      <c r="M504" t="s">
        <v>25</v>
      </c>
      <c r="N504">
        <v>0.95</v>
      </c>
      <c r="O504" t="str">
        <f t="shared" si="30"/>
        <v>High</v>
      </c>
      <c r="P504">
        <f t="shared" si="31"/>
        <v>200000</v>
      </c>
      <c r="Q504" s="2">
        <f t="shared" si="32"/>
        <v>0.41666666666666669</v>
      </c>
    </row>
    <row r="505" spans="1:17" x14ac:dyDescent="0.3">
      <c r="A505" s="3">
        <v>7</v>
      </c>
      <c r="B505" s="3">
        <v>4</v>
      </c>
      <c r="C505" s="6">
        <v>2.7</v>
      </c>
      <c r="D505" t="s">
        <v>20</v>
      </c>
      <c r="E505" s="3">
        <v>200</v>
      </c>
      <c r="F505" s="6">
        <v>2.2999999999999998</v>
      </c>
      <c r="G505" t="s">
        <v>35</v>
      </c>
      <c r="H505" s="2">
        <v>-0.5</v>
      </c>
      <c r="I505" s="3">
        <v>700</v>
      </c>
      <c r="J505" s="3" t="str">
        <f t="shared" si="29"/>
        <v>Low Price</v>
      </c>
      <c r="K505" t="s">
        <v>179</v>
      </c>
      <c r="L505" t="s">
        <v>29</v>
      </c>
      <c r="M505" t="s">
        <v>18</v>
      </c>
      <c r="N505">
        <v>0.35</v>
      </c>
      <c r="O505" t="str">
        <f t="shared" si="30"/>
        <v>Low</v>
      </c>
      <c r="P505">
        <f t="shared" si="31"/>
        <v>2800</v>
      </c>
      <c r="Q505" s="2">
        <f t="shared" si="32"/>
        <v>0.5714285714285714</v>
      </c>
    </row>
    <row r="506" spans="1:17" x14ac:dyDescent="0.3">
      <c r="A506" s="3">
        <v>34</v>
      </c>
      <c r="B506" s="3">
        <v>16</v>
      </c>
      <c r="C506" s="6">
        <v>4.5</v>
      </c>
      <c r="D506" t="s">
        <v>13</v>
      </c>
      <c r="E506" s="3">
        <v>6000</v>
      </c>
      <c r="F506" s="6">
        <v>4.8</v>
      </c>
      <c r="G506" t="s">
        <v>69</v>
      </c>
      <c r="H506" s="2">
        <v>0.8</v>
      </c>
      <c r="I506" s="3">
        <v>6000</v>
      </c>
      <c r="J506" s="3" t="str">
        <f t="shared" si="29"/>
        <v>High Price</v>
      </c>
      <c r="K506" t="s">
        <v>179</v>
      </c>
      <c r="L506" t="s">
        <v>17</v>
      </c>
      <c r="M506" t="s">
        <v>25</v>
      </c>
      <c r="N506">
        <v>0.9</v>
      </c>
      <c r="O506" t="str">
        <f t="shared" si="30"/>
        <v>High</v>
      </c>
      <c r="P506">
        <f t="shared" si="31"/>
        <v>96000</v>
      </c>
      <c r="Q506" s="2">
        <f t="shared" si="32"/>
        <v>0.47058823529411764</v>
      </c>
    </row>
    <row r="507" spans="1:17" x14ac:dyDescent="0.3">
      <c r="A507" s="3">
        <v>16</v>
      </c>
      <c r="B507" s="3">
        <v>8</v>
      </c>
      <c r="C507" s="6">
        <v>3.9</v>
      </c>
      <c r="D507" t="s">
        <v>20</v>
      </c>
      <c r="E507" s="3">
        <v>900</v>
      </c>
      <c r="F507" s="6">
        <v>3.6</v>
      </c>
      <c r="G507" t="s">
        <v>60</v>
      </c>
      <c r="H507" s="2">
        <v>-0.2</v>
      </c>
      <c r="I507" s="3">
        <v>1000</v>
      </c>
      <c r="J507" s="3" t="str">
        <f t="shared" si="29"/>
        <v>Medium Price</v>
      </c>
      <c r="K507" t="s">
        <v>179</v>
      </c>
      <c r="L507" t="s">
        <v>29</v>
      </c>
      <c r="M507" t="s">
        <v>18</v>
      </c>
      <c r="N507">
        <v>0.6</v>
      </c>
      <c r="O507" t="str">
        <f t="shared" si="30"/>
        <v>Medium</v>
      </c>
      <c r="P507">
        <f t="shared" si="31"/>
        <v>8000</v>
      </c>
      <c r="Q507" s="2">
        <f t="shared" si="32"/>
        <v>0.5</v>
      </c>
    </row>
    <row r="508" spans="1:17" x14ac:dyDescent="0.3">
      <c r="A508" s="3">
        <v>8</v>
      </c>
      <c r="B508" s="3">
        <v>5</v>
      </c>
      <c r="C508" s="6">
        <v>3</v>
      </c>
      <c r="D508" t="s">
        <v>20</v>
      </c>
      <c r="E508" s="3">
        <v>300</v>
      </c>
      <c r="F508" s="6">
        <v>2.7</v>
      </c>
      <c r="G508" t="s">
        <v>48</v>
      </c>
      <c r="H508" s="2">
        <v>-0.6</v>
      </c>
      <c r="I508" s="3">
        <v>400</v>
      </c>
      <c r="J508" s="3" t="str">
        <f t="shared" si="29"/>
        <v>Low Price</v>
      </c>
      <c r="K508" t="s">
        <v>179</v>
      </c>
      <c r="L508" t="s">
        <v>29</v>
      </c>
      <c r="M508" t="s">
        <v>18</v>
      </c>
      <c r="N508">
        <v>0.35</v>
      </c>
      <c r="O508" t="str">
        <f t="shared" si="30"/>
        <v>Low</v>
      </c>
      <c r="P508">
        <f t="shared" si="31"/>
        <v>2000</v>
      </c>
      <c r="Q508" s="2">
        <f t="shared" si="32"/>
        <v>0.625</v>
      </c>
    </row>
    <row r="509" spans="1:17" x14ac:dyDescent="0.3">
      <c r="A509" s="3">
        <v>35</v>
      </c>
      <c r="B509" s="3">
        <v>17</v>
      </c>
      <c r="C509" s="6">
        <v>4.5999999999999996</v>
      </c>
      <c r="D509" t="s">
        <v>13</v>
      </c>
      <c r="E509" s="3">
        <v>7000</v>
      </c>
      <c r="F509" s="6">
        <v>4.8</v>
      </c>
      <c r="G509" t="s">
        <v>74</v>
      </c>
      <c r="H509" s="2">
        <v>0.9</v>
      </c>
      <c r="I509" s="3">
        <v>10000</v>
      </c>
      <c r="J509" s="3" t="str">
        <f t="shared" si="29"/>
        <v>High Price</v>
      </c>
      <c r="K509" t="s">
        <v>9</v>
      </c>
      <c r="L509" t="s">
        <v>17</v>
      </c>
      <c r="M509" t="s">
        <v>25</v>
      </c>
      <c r="N509">
        <v>0.9</v>
      </c>
      <c r="O509" t="str">
        <f t="shared" si="30"/>
        <v>High</v>
      </c>
      <c r="P509">
        <f t="shared" si="31"/>
        <v>170000</v>
      </c>
      <c r="Q509" s="2">
        <f t="shared" si="32"/>
        <v>0.48571428571428571</v>
      </c>
    </row>
    <row r="510" spans="1:17" x14ac:dyDescent="0.3">
      <c r="A510" s="3">
        <v>21</v>
      </c>
      <c r="B510" s="3">
        <v>11</v>
      </c>
      <c r="C510" s="6">
        <v>4.0999999999999996</v>
      </c>
      <c r="D510" t="s">
        <v>20</v>
      </c>
      <c r="E510" s="3">
        <v>1000</v>
      </c>
      <c r="F510" s="6">
        <v>3.8</v>
      </c>
      <c r="G510" t="s">
        <v>72</v>
      </c>
      <c r="H510" s="2">
        <v>-0.1</v>
      </c>
      <c r="I510" s="3">
        <v>800</v>
      </c>
      <c r="J510" s="3" t="str">
        <f t="shared" si="29"/>
        <v>Low Price</v>
      </c>
      <c r="K510" t="s">
        <v>179</v>
      </c>
      <c r="L510" t="s">
        <v>29</v>
      </c>
      <c r="M510" t="s">
        <v>18</v>
      </c>
      <c r="N510">
        <v>0.6</v>
      </c>
      <c r="O510" t="str">
        <f t="shared" si="30"/>
        <v>Medium</v>
      </c>
      <c r="P510">
        <f t="shared" si="31"/>
        <v>8800</v>
      </c>
      <c r="Q510" s="2">
        <f t="shared" si="32"/>
        <v>0.52380952380952384</v>
      </c>
    </row>
    <row r="511" spans="1:17" x14ac:dyDescent="0.3">
      <c r="A511" s="3">
        <v>37</v>
      </c>
      <c r="B511" s="3">
        <v>18</v>
      </c>
      <c r="C511" s="6">
        <v>4.7</v>
      </c>
      <c r="D511" t="s">
        <v>13</v>
      </c>
      <c r="E511" s="3">
        <v>7000</v>
      </c>
      <c r="F511" s="6">
        <v>4.8</v>
      </c>
      <c r="G511" t="s">
        <v>69</v>
      </c>
      <c r="H511" s="2">
        <v>0.85</v>
      </c>
      <c r="I511" s="3">
        <v>6000</v>
      </c>
      <c r="J511" s="3" t="str">
        <f t="shared" si="29"/>
        <v>High Price</v>
      </c>
      <c r="K511" t="s">
        <v>9</v>
      </c>
      <c r="L511" t="s">
        <v>17</v>
      </c>
      <c r="M511" t="s">
        <v>25</v>
      </c>
      <c r="N511">
        <v>0.9</v>
      </c>
      <c r="O511" t="str">
        <f t="shared" si="30"/>
        <v>High</v>
      </c>
      <c r="P511">
        <f t="shared" si="31"/>
        <v>108000</v>
      </c>
      <c r="Q511" s="2">
        <f t="shared" si="32"/>
        <v>0.48648648648648651</v>
      </c>
    </row>
    <row r="512" spans="1:17" x14ac:dyDescent="0.3">
      <c r="A512" s="3">
        <v>10</v>
      </c>
      <c r="B512" s="3">
        <v>7</v>
      </c>
      <c r="C512" s="6">
        <v>3.2</v>
      </c>
      <c r="D512" t="s">
        <v>20</v>
      </c>
      <c r="E512" s="3">
        <v>600</v>
      </c>
      <c r="F512" s="6">
        <v>3</v>
      </c>
      <c r="G512" t="s">
        <v>62</v>
      </c>
      <c r="H512" s="2">
        <v>-0.4</v>
      </c>
      <c r="I512" s="3">
        <v>1100</v>
      </c>
      <c r="J512" s="3" t="str">
        <f t="shared" si="29"/>
        <v>Medium Price</v>
      </c>
      <c r="K512" t="s">
        <v>179</v>
      </c>
      <c r="L512" t="s">
        <v>29</v>
      </c>
      <c r="M512" t="s">
        <v>18</v>
      </c>
      <c r="N512">
        <v>0.5</v>
      </c>
      <c r="O512" t="str">
        <f t="shared" si="30"/>
        <v>Medium</v>
      </c>
      <c r="P512">
        <f t="shared" si="31"/>
        <v>7700</v>
      </c>
      <c r="Q512" s="2">
        <f t="shared" si="32"/>
        <v>0.7</v>
      </c>
    </row>
    <row r="513" spans="1:17" x14ac:dyDescent="0.3">
      <c r="A513" s="3">
        <v>38</v>
      </c>
      <c r="B513" s="3">
        <v>19</v>
      </c>
      <c r="C513" s="6">
        <v>4.8</v>
      </c>
      <c r="D513" t="s">
        <v>13</v>
      </c>
      <c r="E513" s="3">
        <v>7000</v>
      </c>
      <c r="F513" s="6">
        <v>4.8</v>
      </c>
      <c r="G513" t="s">
        <v>77</v>
      </c>
      <c r="H513" s="2">
        <v>0.9</v>
      </c>
      <c r="I513" s="3">
        <v>8000</v>
      </c>
      <c r="J513" s="3" t="str">
        <f t="shared" si="29"/>
        <v>High Price</v>
      </c>
      <c r="K513" t="s">
        <v>9</v>
      </c>
      <c r="L513" t="s">
        <v>24</v>
      </c>
      <c r="M513" t="s">
        <v>25</v>
      </c>
      <c r="N513">
        <v>0.95</v>
      </c>
      <c r="O513" t="str">
        <f t="shared" si="30"/>
        <v>High</v>
      </c>
      <c r="P513">
        <f t="shared" si="31"/>
        <v>152000</v>
      </c>
      <c r="Q513" s="2">
        <f t="shared" si="32"/>
        <v>0.5</v>
      </c>
    </row>
    <row r="514" spans="1:17" x14ac:dyDescent="0.3">
      <c r="A514" s="3">
        <v>39</v>
      </c>
      <c r="B514" s="3">
        <v>19</v>
      </c>
      <c r="C514" s="6">
        <v>4.8</v>
      </c>
      <c r="D514" t="s">
        <v>13</v>
      </c>
      <c r="E514" s="3">
        <v>8000</v>
      </c>
      <c r="F514" s="6">
        <v>4.7</v>
      </c>
      <c r="G514" t="s">
        <v>65</v>
      </c>
      <c r="H514" s="2">
        <v>0.9</v>
      </c>
      <c r="I514" s="3">
        <v>8000</v>
      </c>
      <c r="J514" s="3" t="str">
        <f t="shared" ref="J514:J577" si="33">IF(I514&gt;5000, "High Price", IF(I514&gt;=1000, "Medium Price", IF(I514&lt;1000, "Low Price")))</f>
        <v>High Price</v>
      </c>
      <c r="K514" t="s">
        <v>9</v>
      </c>
      <c r="L514" t="s">
        <v>17</v>
      </c>
      <c r="M514" t="s">
        <v>25</v>
      </c>
      <c r="N514">
        <v>0.95</v>
      </c>
      <c r="O514" t="str">
        <f t="shared" ref="O514:O577" si="34">IF(N514&gt;=0.8,"High",IF(N514&gt;=0.4,"Medium",IF(N514&lt;0.4,"Low")))</f>
        <v>High</v>
      </c>
      <c r="P514">
        <f t="shared" si="31"/>
        <v>152000</v>
      </c>
      <c r="Q514" s="2">
        <f t="shared" si="32"/>
        <v>0.48717948717948717</v>
      </c>
    </row>
    <row r="515" spans="1:17" x14ac:dyDescent="0.3">
      <c r="A515" s="3">
        <v>6</v>
      </c>
      <c r="B515" s="3">
        <v>5</v>
      </c>
      <c r="C515" s="6">
        <v>2.8</v>
      </c>
      <c r="D515" t="s">
        <v>20</v>
      </c>
      <c r="E515" s="3">
        <v>200</v>
      </c>
      <c r="F515" s="6">
        <v>2.5</v>
      </c>
      <c r="G515" t="s">
        <v>35</v>
      </c>
      <c r="H515" s="2">
        <v>-0.5</v>
      </c>
      <c r="I515" s="3">
        <v>800</v>
      </c>
      <c r="J515" s="3" t="str">
        <f t="shared" si="33"/>
        <v>Low Price</v>
      </c>
      <c r="K515" t="s">
        <v>179</v>
      </c>
      <c r="L515" t="s">
        <v>29</v>
      </c>
      <c r="M515" t="s">
        <v>18</v>
      </c>
      <c r="N515">
        <v>0.35</v>
      </c>
      <c r="O515" t="str">
        <f t="shared" si="34"/>
        <v>Low</v>
      </c>
      <c r="P515">
        <f t="shared" ref="P515:P578" si="35">I515*B515</f>
        <v>4000</v>
      </c>
      <c r="Q515" s="2">
        <f t="shared" ref="Q515:Q578" si="36">B515/A515</f>
        <v>0.83333333333333337</v>
      </c>
    </row>
    <row r="516" spans="1:17" x14ac:dyDescent="0.3">
      <c r="A516" s="3">
        <v>32</v>
      </c>
      <c r="B516" s="3">
        <v>17</v>
      </c>
      <c r="C516" s="6">
        <v>4.5</v>
      </c>
      <c r="D516" t="s">
        <v>13</v>
      </c>
      <c r="E516" s="3">
        <v>6000</v>
      </c>
      <c r="F516" s="6">
        <v>4.8</v>
      </c>
      <c r="G516" t="s">
        <v>69</v>
      </c>
      <c r="H516" s="2">
        <v>0.8</v>
      </c>
      <c r="I516" s="3">
        <v>6000</v>
      </c>
      <c r="J516" s="3" t="str">
        <f t="shared" si="33"/>
        <v>High Price</v>
      </c>
      <c r="K516" t="s">
        <v>179</v>
      </c>
      <c r="L516" t="s">
        <v>17</v>
      </c>
      <c r="M516" t="s">
        <v>25</v>
      </c>
      <c r="N516">
        <v>0.9</v>
      </c>
      <c r="O516" t="str">
        <f t="shared" si="34"/>
        <v>High</v>
      </c>
      <c r="P516">
        <f t="shared" si="35"/>
        <v>102000</v>
      </c>
      <c r="Q516" s="2">
        <f t="shared" si="36"/>
        <v>0.53125</v>
      </c>
    </row>
    <row r="517" spans="1:17" x14ac:dyDescent="0.3">
      <c r="A517" s="3">
        <v>13</v>
      </c>
      <c r="B517" s="3">
        <v>8</v>
      </c>
      <c r="C517" s="6">
        <v>3.6</v>
      </c>
      <c r="D517" t="s">
        <v>20</v>
      </c>
      <c r="E517" s="3">
        <v>900</v>
      </c>
      <c r="F517" s="6">
        <v>3.4</v>
      </c>
      <c r="G517" t="s">
        <v>42</v>
      </c>
      <c r="H517" s="2">
        <v>-0.3</v>
      </c>
      <c r="I517" s="3">
        <v>1200</v>
      </c>
      <c r="J517" s="3" t="str">
        <f t="shared" si="33"/>
        <v>Medium Price</v>
      </c>
      <c r="K517" t="s">
        <v>179</v>
      </c>
      <c r="L517" t="s">
        <v>29</v>
      </c>
      <c r="M517" t="s">
        <v>18</v>
      </c>
      <c r="N517">
        <v>0.6</v>
      </c>
      <c r="O517" t="str">
        <f t="shared" si="34"/>
        <v>Medium</v>
      </c>
      <c r="P517">
        <f t="shared" si="35"/>
        <v>9600</v>
      </c>
      <c r="Q517" s="2">
        <f t="shared" si="36"/>
        <v>0.61538461538461542</v>
      </c>
    </row>
    <row r="518" spans="1:17" x14ac:dyDescent="0.3">
      <c r="A518" s="3">
        <v>49</v>
      </c>
      <c r="B518" s="3">
        <v>20</v>
      </c>
      <c r="C518" s="6">
        <v>4.9000000000000004</v>
      </c>
      <c r="D518" t="s">
        <v>13</v>
      </c>
      <c r="E518" s="3">
        <v>10000</v>
      </c>
      <c r="F518" s="6">
        <v>4.8</v>
      </c>
      <c r="G518" t="s">
        <v>65</v>
      </c>
      <c r="H518" s="2">
        <v>0.9</v>
      </c>
      <c r="I518" s="3">
        <v>9000</v>
      </c>
      <c r="J518" s="3" t="str">
        <f t="shared" si="33"/>
        <v>High Price</v>
      </c>
      <c r="K518" t="s">
        <v>9</v>
      </c>
      <c r="L518" t="s">
        <v>24</v>
      </c>
      <c r="M518" t="s">
        <v>25</v>
      </c>
      <c r="N518">
        <v>0.95</v>
      </c>
      <c r="O518" t="str">
        <f t="shared" si="34"/>
        <v>High</v>
      </c>
      <c r="P518">
        <f t="shared" si="35"/>
        <v>180000</v>
      </c>
      <c r="Q518" s="2">
        <f t="shared" si="36"/>
        <v>0.40816326530612246</v>
      </c>
    </row>
    <row r="519" spans="1:17" x14ac:dyDescent="0.3">
      <c r="A519" s="3">
        <v>5</v>
      </c>
      <c r="B519" s="3">
        <v>5</v>
      </c>
      <c r="C519" s="6">
        <v>2.8</v>
      </c>
      <c r="D519" t="s">
        <v>20</v>
      </c>
      <c r="E519" s="3">
        <v>200</v>
      </c>
      <c r="F519" s="6">
        <v>2.4</v>
      </c>
      <c r="G519" t="s">
        <v>48</v>
      </c>
      <c r="H519" s="2">
        <v>-0.7</v>
      </c>
      <c r="I519" s="3">
        <v>500</v>
      </c>
      <c r="J519" s="3" t="str">
        <f t="shared" si="33"/>
        <v>Low Price</v>
      </c>
      <c r="K519" t="s">
        <v>179</v>
      </c>
      <c r="L519" t="s">
        <v>29</v>
      </c>
      <c r="M519" t="s">
        <v>18</v>
      </c>
      <c r="N519">
        <v>0.3</v>
      </c>
      <c r="O519" t="str">
        <f t="shared" si="34"/>
        <v>Low</v>
      </c>
      <c r="P519">
        <f t="shared" si="35"/>
        <v>2500</v>
      </c>
      <c r="Q519" s="2">
        <f t="shared" si="36"/>
        <v>1</v>
      </c>
    </row>
    <row r="520" spans="1:17" x14ac:dyDescent="0.3">
      <c r="A520" s="3">
        <v>33</v>
      </c>
      <c r="B520" s="3">
        <v>17</v>
      </c>
      <c r="C520" s="6">
        <v>4.5</v>
      </c>
      <c r="D520" t="s">
        <v>13</v>
      </c>
      <c r="E520" s="3">
        <v>6000</v>
      </c>
      <c r="F520" s="6">
        <v>4.8</v>
      </c>
      <c r="G520" t="s">
        <v>69</v>
      </c>
      <c r="H520" s="2">
        <v>0.8</v>
      </c>
      <c r="I520" s="3">
        <v>6000</v>
      </c>
      <c r="J520" s="3" t="str">
        <f t="shared" si="33"/>
        <v>High Price</v>
      </c>
      <c r="K520" t="s">
        <v>179</v>
      </c>
      <c r="L520" t="s">
        <v>17</v>
      </c>
      <c r="M520" t="s">
        <v>25</v>
      </c>
      <c r="N520">
        <v>0.9</v>
      </c>
      <c r="O520" t="str">
        <f t="shared" si="34"/>
        <v>High</v>
      </c>
      <c r="P520">
        <f t="shared" si="35"/>
        <v>102000</v>
      </c>
      <c r="Q520" s="2">
        <f t="shared" si="36"/>
        <v>0.51515151515151514</v>
      </c>
    </row>
    <row r="521" spans="1:17" x14ac:dyDescent="0.3">
      <c r="A521" s="3">
        <v>14</v>
      </c>
      <c r="B521" s="3">
        <v>9</v>
      </c>
      <c r="C521" s="6">
        <v>4</v>
      </c>
      <c r="D521" t="s">
        <v>20</v>
      </c>
      <c r="E521" s="3">
        <v>1000</v>
      </c>
      <c r="F521" s="6">
        <v>3.8</v>
      </c>
      <c r="G521" t="s">
        <v>42</v>
      </c>
      <c r="H521" s="2">
        <v>-0.3</v>
      </c>
      <c r="I521" s="3">
        <v>1200</v>
      </c>
      <c r="J521" s="3" t="str">
        <f t="shared" si="33"/>
        <v>Medium Price</v>
      </c>
      <c r="K521" t="s">
        <v>179</v>
      </c>
      <c r="L521" t="s">
        <v>29</v>
      </c>
      <c r="M521" t="s">
        <v>18</v>
      </c>
      <c r="N521">
        <v>0.6</v>
      </c>
      <c r="O521" t="str">
        <f t="shared" si="34"/>
        <v>Medium</v>
      </c>
      <c r="P521">
        <f t="shared" si="35"/>
        <v>10800</v>
      </c>
      <c r="Q521" s="2">
        <f t="shared" si="36"/>
        <v>0.6428571428571429</v>
      </c>
    </row>
    <row r="522" spans="1:17" x14ac:dyDescent="0.3">
      <c r="A522" s="3">
        <v>8</v>
      </c>
      <c r="B522" s="3">
        <v>6</v>
      </c>
      <c r="C522" s="6">
        <v>3</v>
      </c>
      <c r="D522" t="s">
        <v>20</v>
      </c>
      <c r="E522" s="3">
        <v>300</v>
      </c>
      <c r="F522" s="6">
        <v>2.8</v>
      </c>
      <c r="G522" t="s">
        <v>48</v>
      </c>
      <c r="H522" s="2">
        <v>-0.6</v>
      </c>
      <c r="I522" s="3">
        <v>400</v>
      </c>
      <c r="J522" s="3" t="str">
        <f t="shared" si="33"/>
        <v>Low Price</v>
      </c>
      <c r="K522" t="s">
        <v>179</v>
      </c>
      <c r="L522" t="s">
        <v>29</v>
      </c>
      <c r="M522" t="s">
        <v>18</v>
      </c>
      <c r="N522">
        <v>0.35</v>
      </c>
      <c r="O522" t="str">
        <f t="shared" si="34"/>
        <v>Low</v>
      </c>
      <c r="P522">
        <f t="shared" si="35"/>
        <v>2400</v>
      </c>
      <c r="Q522" s="2">
        <f t="shared" si="36"/>
        <v>0.75</v>
      </c>
    </row>
    <row r="523" spans="1:17" x14ac:dyDescent="0.3">
      <c r="A523" s="3">
        <v>35</v>
      </c>
      <c r="B523" s="3">
        <v>18</v>
      </c>
      <c r="C523" s="6">
        <v>4.5999999999999996</v>
      </c>
      <c r="D523" t="s">
        <v>13</v>
      </c>
      <c r="E523" s="3">
        <v>7000</v>
      </c>
      <c r="F523" s="6">
        <v>4.8</v>
      </c>
      <c r="G523" t="s">
        <v>74</v>
      </c>
      <c r="H523" s="2">
        <v>0.9</v>
      </c>
      <c r="I523" s="3">
        <v>10000</v>
      </c>
      <c r="J523" s="3" t="str">
        <f t="shared" si="33"/>
        <v>High Price</v>
      </c>
      <c r="K523" t="s">
        <v>9</v>
      </c>
      <c r="L523" t="s">
        <v>17</v>
      </c>
      <c r="M523" t="s">
        <v>25</v>
      </c>
      <c r="N523">
        <v>0.9</v>
      </c>
      <c r="O523" t="str">
        <f t="shared" si="34"/>
        <v>High</v>
      </c>
      <c r="P523">
        <f t="shared" si="35"/>
        <v>180000</v>
      </c>
      <c r="Q523" s="2">
        <f t="shared" si="36"/>
        <v>0.51428571428571423</v>
      </c>
    </row>
    <row r="524" spans="1:17" x14ac:dyDescent="0.3">
      <c r="A524" s="3">
        <v>22</v>
      </c>
      <c r="B524" s="3">
        <v>12</v>
      </c>
      <c r="C524" s="6">
        <v>4.2</v>
      </c>
      <c r="D524" t="s">
        <v>20</v>
      </c>
      <c r="E524" s="3">
        <v>1000</v>
      </c>
      <c r="F524" s="6">
        <v>3.9</v>
      </c>
      <c r="G524" t="s">
        <v>72</v>
      </c>
      <c r="H524" s="2">
        <v>-0.1</v>
      </c>
      <c r="I524" s="3">
        <v>800</v>
      </c>
      <c r="J524" s="3" t="str">
        <f t="shared" si="33"/>
        <v>Low Price</v>
      </c>
      <c r="K524" t="s">
        <v>179</v>
      </c>
      <c r="L524" t="s">
        <v>29</v>
      </c>
      <c r="M524" t="s">
        <v>18</v>
      </c>
      <c r="N524">
        <v>0.6</v>
      </c>
      <c r="O524" t="str">
        <f t="shared" si="34"/>
        <v>Medium</v>
      </c>
      <c r="P524">
        <f t="shared" si="35"/>
        <v>9600</v>
      </c>
      <c r="Q524" s="2">
        <f t="shared" si="36"/>
        <v>0.54545454545454541</v>
      </c>
    </row>
    <row r="525" spans="1:17" x14ac:dyDescent="0.3">
      <c r="A525" s="3">
        <v>37</v>
      </c>
      <c r="B525" s="3">
        <v>19</v>
      </c>
      <c r="C525" s="6">
        <v>4.7</v>
      </c>
      <c r="D525" t="s">
        <v>13</v>
      </c>
      <c r="E525" s="3">
        <v>7000</v>
      </c>
      <c r="F525" s="6">
        <v>4.8</v>
      </c>
      <c r="G525" t="s">
        <v>69</v>
      </c>
      <c r="H525" s="2">
        <v>0.85</v>
      </c>
      <c r="I525" s="3">
        <v>6000</v>
      </c>
      <c r="J525" s="3" t="str">
        <f t="shared" si="33"/>
        <v>High Price</v>
      </c>
      <c r="K525" t="s">
        <v>9</v>
      </c>
      <c r="L525" t="s">
        <v>17</v>
      </c>
      <c r="M525" t="s">
        <v>25</v>
      </c>
      <c r="N525">
        <v>0.9</v>
      </c>
      <c r="O525" t="str">
        <f t="shared" si="34"/>
        <v>High</v>
      </c>
      <c r="P525">
        <f t="shared" si="35"/>
        <v>114000</v>
      </c>
      <c r="Q525" s="2">
        <f t="shared" si="36"/>
        <v>0.51351351351351349</v>
      </c>
    </row>
    <row r="526" spans="1:17" x14ac:dyDescent="0.3">
      <c r="A526" s="3">
        <v>11</v>
      </c>
      <c r="B526" s="3">
        <v>7</v>
      </c>
      <c r="C526" s="6">
        <v>3.3</v>
      </c>
      <c r="D526" t="s">
        <v>20</v>
      </c>
      <c r="E526" s="3">
        <v>700</v>
      </c>
      <c r="F526" s="6">
        <v>3.1</v>
      </c>
      <c r="G526" t="s">
        <v>42</v>
      </c>
      <c r="H526" s="2">
        <v>-0.4</v>
      </c>
      <c r="I526" s="3">
        <v>1200</v>
      </c>
      <c r="J526" s="3" t="str">
        <f t="shared" si="33"/>
        <v>Medium Price</v>
      </c>
      <c r="K526" t="s">
        <v>179</v>
      </c>
      <c r="L526" t="s">
        <v>29</v>
      </c>
      <c r="M526" t="s">
        <v>18</v>
      </c>
      <c r="N526">
        <v>0.55000000000000004</v>
      </c>
      <c r="O526" t="str">
        <f t="shared" si="34"/>
        <v>Medium</v>
      </c>
      <c r="P526">
        <f t="shared" si="35"/>
        <v>8400</v>
      </c>
      <c r="Q526" s="2">
        <f t="shared" si="36"/>
        <v>0.63636363636363635</v>
      </c>
    </row>
    <row r="527" spans="1:17" x14ac:dyDescent="0.3">
      <c r="A527" s="3">
        <v>38</v>
      </c>
      <c r="B527" s="3">
        <v>20</v>
      </c>
      <c r="C527" s="6">
        <v>4.8</v>
      </c>
      <c r="D527" t="s">
        <v>13</v>
      </c>
      <c r="E527" s="3">
        <v>7000</v>
      </c>
      <c r="F527" s="6">
        <v>4.8</v>
      </c>
      <c r="G527" t="s">
        <v>77</v>
      </c>
      <c r="H527" s="2">
        <v>0.9</v>
      </c>
      <c r="I527" s="3">
        <v>8000</v>
      </c>
      <c r="J527" s="3" t="str">
        <f t="shared" si="33"/>
        <v>High Price</v>
      </c>
      <c r="K527" t="s">
        <v>9</v>
      </c>
      <c r="L527" t="s">
        <v>24</v>
      </c>
      <c r="M527" t="s">
        <v>25</v>
      </c>
      <c r="N527">
        <v>0.95</v>
      </c>
      <c r="O527" t="str">
        <f t="shared" si="34"/>
        <v>High</v>
      </c>
      <c r="P527">
        <f t="shared" si="35"/>
        <v>160000</v>
      </c>
      <c r="Q527" s="2">
        <f t="shared" si="36"/>
        <v>0.52631578947368418</v>
      </c>
    </row>
    <row r="528" spans="1:17" x14ac:dyDescent="0.3">
      <c r="A528" s="3">
        <v>7</v>
      </c>
      <c r="B528" s="3">
        <v>5</v>
      </c>
      <c r="C528" s="6">
        <v>2.9</v>
      </c>
      <c r="D528" t="s">
        <v>20</v>
      </c>
      <c r="E528" s="3">
        <v>200</v>
      </c>
      <c r="F528" s="6">
        <v>2.6</v>
      </c>
      <c r="G528" t="s">
        <v>35</v>
      </c>
      <c r="H528" s="2">
        <v>-0.5</v>
      </c>
      <c r="I528" s="3">
        <v>800</v>
      </c>
      <c r="J528" s="3" t="str">
        <f t="shared" si="33"/>
        <v>Low Price</v>
      </c>
      <c r="K528" t="s">
        <v>179</v>
      </c>
      <c r="L528" t="s">
        <v>29</v>
      </c>
      <c r="M528" t="s">
        <v>18</v>
      </c>
      <c r="N528">
        <v>0.35</v>
      </c>
      <c r="O528" t="str">
        <f t="shared" si="34"/>
        <v>Low</v>
      </c>
      <c r="P528">
        <f t="shared" si="35"/>
        <v>4000</v>
      </c>
      <c r="Q528" s="2">
        <f t="shared" si="36"/>
        <v>0.7142857142857143</v>
      </c>
    </row>
    <row r="529" spans="1:17" x14ac:dyDescent="0.3">
      <c r="A529" s="3">
        <v>34</v>
      </c>
      <c r="B529" s="3">
        <v>18</v>
      </c>
      <c r="C529" s="6">
        <v>4.5999999999999996</v>
      </c>
      <c r="D529" t="s">
        <v>13</v>
      </c>
      <c r="E529" s="3">
        <v>7000</v>
      </c>
      <c r="F529" s="6">
        <v>4.8</v>
      </c>
      <c r="G529" t="s">
        <v>69</v>
      </c>
      <c r="H529" s="2">
        <v>0.9</v>
      </c>
      <c r="I529" s="3">
        <v>7000</v>
      </c>
      <c r="J529" s="3" t="str">
        <f t="shared" si="33"/>
        <v>High Price</v>
      </c>
      <c r="K529" t="s">
        <v>179</v>
      </c>
      <c r="L529" t="s">
        <v>17</v>
      </c>
      <c r="M529" t="s">
        <v>25</v>
      </c>
      <c r="N529">
        <v>0.9</v>
      </c>
      <c r="O529" t="str">
        <f t="shared" si="34"/>
        <v>High</v>
      </c>
      <c r="P529">
        <f t="shared" si="35"/>
        <v>126000</v>
      </c>
      <c r="Q529" s="2">
        <f t="shared" si="36"/>
        <v>0.52941176470588236</v>
      </c>
    </row>
    <row r="530" spans="1:17" x14ac:dyDescent="0.3">
      <c r="A530" s="3">
        <v>15</v>
      </c>
      <c r="B530" s="3">
        <v>10</v>
      </c>
      <c r="C530" s="6">
        <v>4.0999999999999996</v>
      </c>
      <c r="D530" t="s">
        <v>20</v>
      </c>
      <c r="E530" s="3">
        <v>1000</v>
      </c>
      <c r="F530" s="6">
        <v>3.9</v>
      </c>
      <c r="G530" t="s">
        <v>75</v>
      </c>
      <c r="H530" s="2">
        <v>-0.1</v>
      </c>
      <c r="I530" s="3">
        <v>1300</v>
      </c>
      <c r="J530" s="3" t="str">
        <f t="shared" si="33"/>
        <v>Medium Price</v>
      </c>
      <c r="K530" t="s">
        <v>179</v>
      </c>
      <c r="L530" t="s">
        <v>29</v>
      </c>
      <c r="M530" t="s">
        <v>18</v>
      </c>
      <c r="N530">
        <v>0.65</v>
      </c>
      <c r="O530" t="str">
        <f t="shared" si="34"/>
        <v>Medium</v>
      </c>
      <c r="P530">
        <f t="shared" si="35"/>
        <v>13000</v>
      </c>
      <c r="Q530" s="2">
        <f t="shared" si="36"/>
        <v>0.66666666666666663</v>
      </c>
    </row>
    <row r="531" spans="1:17" x14ac:dyDescent="0.3">
      <c r="A531" s="3">
        <v>40</v>
      </c>
      <c r="B531" s="3">
        <v>19</v>
      </c>
      <c r="C531" s="6">
        <v>4.8</v>
      </c>
      <c r="D531" t="s">
        <v>13</v>
      </c>
      <c r="E531" s="3">
        <v>7000</v>
      </c>
      <c r="F531" s="6">
        <v>4.8</v>
      </c>
      <c r="G531" t="s">
        <v>77</v>
      </c>
      <c r="H531" s="2">
        <v>0.9</v>
      </c>
      <c r="I531" s="3">
        <v>8000</v>
      </c>
      <c r="J531" s="3" t="str">
        <f t="shared" si="33"/>
        <v>High Price</v>
      </c>
      <c r="K531" t="s">
        <v>9</v>
      </c>
      <c r="L531" t="s">
        <v>24</v>
      </c>
      <c r="M531" t="s">
        <v>25</v>
      </c>
      <c r="N531">
        <v>0.95</v>
      </c>
      <c r="O531" t="str">
        <f t="shared" si="34"/>
        <v>High</v>
      </c>
      <c r="P531">
        <f t="shared" si="35"/>
        <v>152000</v>
      </c>
      <c r="Q531" s="2">
        <f t="shared" si="36"/>
        <v>0.47499999999999998</v>
      </c>
    </row>
    <row r="532" spans="1:17" x14ac:dyDescent="0.3">
      <c r="A532" s="3">
        <v>9</v>
      </c>
      <c r="B532" s="3">
        <v>6</v>
      </c>
      <c r="C532" s="6">
        <v>3.1</v>
      </c>
      <c r="D532" t="s">
        <v>20</v>
      </c>
      <c r="E532" s="3">
        <v>300</v>
      </c>
      <c r="F532" s="6">
        <v>2.9</v>
      </c>
      <c r="G532" t="s">
        <v>62</v>
      </c>
      <c r="H532" s="2">
        <v>-0.4</v>
      </c>
      <c r="I532" s="3">
        <v>1100</v>
      </c>
      <c r="J532" s="3" t="str">
        <f t="shared" si="33"/>
        <v>Medium Price</v>
      </c>
      <c r="K532" t="s">
        <v>179</v>
      </c>
      <c r="L532" t="s">
        <v>29</v>
      </c>
      <c r="M532" t="s">
        <v>18</v>
      </c>
      <c r="N532">
        <v>0.5</v>
      </c>
      <c r="O532" t="str">
        <f t="shared" si="34"/>
        <v>Medium</v>
      </c>
      <c r="P532">
        <f t="shared" si="35"/>
        <v>6600</v>
      </c>
      <c r="Q532" s="2">
        <f t="shared" si="36"/>
        <v>0.66666666666666663</v>
      </c>
    </row>
    <row r="533" spans="1:17" x14ac:dyDescent="0.3">
      <c r="A533" s="3">
        <v>40</v>
      </c>
      <c r="B533" s="3">
        <v>20</v>
      </c>
      <c r="C533" s="6">
        <v>4.8</v>
      </c>
      <c r="D533" t="s">
        <v>13</v>
      </c>
      <c r="E533" s="3">
        <v>7000</v>
      </c>
      <c r="F533" s="6">
        <v>4.8</v>
      </c>
      <c r="G533" t="s">
        <v>77</v>
      </c>
      <c r="H533" s="2">
        <v>0.9</v>
      </c>
      <c r="I533" s="3">
        <v>8000</v>
      </c>
      <c r="J533" s="3" t="str">
        <f t="shared" si="33"/>
        <v>High Price</v>
      </c>
      <c r="K533" t="s">
        <v>9</v>
      </c>
      <c r="L533" t="s">
        <v>24</v>
      </c>
      <c r="M533" t="s">
        <v>25</v>
      </c>
      <c r="N533">
        <v>0.95</v>
      </c>
      <c r="O533" t="str">
        <f t="shared" si="34"/>
        <v>High</v>
      </c>
      <c r="P533">
        <f t="shared" si="35"/>
        <v>160000</v>
      </c>
      <c r="Q533" s="2">
        <f t="shared" si="36"/>
        <v>0.5</v>
      </c>
    </row>
    <row r="534" spans="1:17" x14ac:dyDescent="0.3">
      <c r="A534" s="3">
        <v>7</v>
      </c>
      <c r="B534" s="3">
        <v>6</v>
      </c>
      <c r="C534" s="6">
        <v>3</v>
      </c>
      <c r="D534" t="s">
        <v>20</v>
      </c>
      <c r="E534" s="3">
        <v>300</v>
      </c>
      <c r="F534" s="6">
        <v>2.9</v>
      </c>
      <c r="G534" t="s">
        <v>35</v>
      </c>
      <c r="H534" s="2">
        <v>-0.4</v>
      </c>
      <c r="I534" s="3">
        <v>800</v>
      </c>
      <c r="J534" s="3" t="str">
        <f t="shared" si="33"/>
        <v>Low Price</v>
      </c>
      <c r="K534" t="s">
        <v>179</v>
      </c>
      <c r="L534" t="s">
        <v>29</v>
      </c>
      <c r="M534" t="s">
        <v>18</v>
      </c>
      <c r="N534">
        <v>0.5</v>
      </c>
      <c r="O534" t="str">
        <f t="shared" si="34"/>
        <v>Medium</v>
      </c>
      <c r="P534">
        <f t="shared" si="35"/>
        <v>4800</v>
      </c>
      <c r="Q534" s="2">
        <f t="shared" si="36"/>
        <v>0.8571428571428571</v>
      </c>
    </row>
    <row r="535" spans="1:17" x14ac:dyDescent="0.3">
      <c r="A535" s="3">
        <v>35</v>
      </c>
      <c r="B535" s="3">
        <v>19</v>
      </c>
      <c r="C535" s="6">
        <v>4.7</v>
      </c>
      <c r="D535" t="s">
        <v>13</v>
      </c>
      <c r="E535" s="3">
        <v>7000</v>
      </c>
      <c r="F535" s="6">
        <v>4.8</v>
      </c>
      <c r="G535" t="s">
        <v>74</v>
      </c>
      <c r="H535" s="2">
        <v>0.9</v>
      </c>
      <c r="I535" s="3">
        <v>10000</v>
      </c>
      <c r="J535" s="3" t="str">
        <f t="shared" si="33"/>
        <v>High Price</v>
      </c>
      <c r="K535" t="s">
        <v>9</v>
      </c>
      <c r="L535" t="s">
        <v>17</v>
      </c>
      <c r="M535" t="s">
        <v>25</v>
      </c>
      <c r="N535">
        <v>0.9</v>
      </c>
      <c r="O535" t="str">
        <f t="shared" si="34"/>
        <v>High</v>
      </c>
      <c r="P535">
        <f t="shared" si="35"/>
        <v>190000</v>
      </c>
      <c r="Q535" s="2">
        <f t="shared" si="36"/>
        <v>0.54285714285714282</v>
      </c>
    </row>
    <row r="536" spans="1:17" x14ac:dyDescent="0.3">
      <c r="A536" s="3">
        <v>23</v>
      </c>
      <c r="B536" s="3">
        <v>13</v>
      </c>
      <c r="C536" s="6">
        <v>4.3</v>
      </c>
      <c r="D536" t="s">
        <v>20</v>
      </c>
      <c r="E536" s="3">
        <v>1000</v>
      </c>
      <c r="F536" s="6">
        <v>4</v>
      </c>
      <c r="G536" t="s">
        <v>72</v>
      </c>
      <c r="H536" s="2">
        <v>0</v>
      </c>
      <c r="I536" s="3">
        <v>800</v>
      </c>
      <c r="J536" s="3" t="str">
        <f t="shared" si="33"/>
        <v>Low Price</v>
      </c>
      <c r="K536" t="s">
        <v>179</v>
      </c>
      <c r="L536" t="s">
        <v>29</v>
      </c>
      <c r="M536" t="s">
        <v>18</v>
      </c>
      <c r="N536">
        <v>0.6</v>
      </c>
      <c r="O536" t="str">
        <f t="shared" si="34"/>
        <v>Medium</v>
      </c>
      <c r="P536">
        <f t="shared" si="35"/>
        <v>10400</v>
      </c>
      <c r="Q536" s="2">
        <f t="shared" si="36"/>
        <v>0.56521739130434778</v>
      </c>
    </row>
    <row r="537" spans="1:17" x14ac:dyDescent="0.3">
      <c r="A537" s="3">
        <v>8</v>
      </c>
      <c r="B537" s="3">
        <v>7</v>
      </c>
      <c r="C537" s="6">
        <v>3.1</v>
      </c>
      <c r="D537" t="s">
        <v>20</v>
      </c>
      <c r="E537" s="3">
        <v>300</v>
      </c>
      <c r="F537" s="6">
        <v>3</v>
      </c>
      <c r="G537" t="s">
        <v>48</v>
      </c>
      <c r="H537" s="2">
        <v>-0.6</v>
      </c>
      <c r="I537" s="3">
        <v>400</v>
      </c>
      <c r="J537" s="3" t="str">
        <f t="shared" si="33"/>
        <v>Low Price</v>
      </c>
      <c r="K537" t="s">
        <v>179</v>
      </c>
      <c r="L537" t="s">
        <v>29</v>
      </c>
      <c r="M537" t="s">
        <v>18</v>
      </c>
      <c r="N537">
        <v>0.35</v>
      </c>
      <c r="O537" t="str">
        <f t="shared" si="34"/>
        <v>Low</v>
      </c>
      <c r="P537">
        <f t="shared" si="35"/>
        <v>2800</v>
      </c>
      <c r="Q537" s="2">
        <f t="shared" si="36"/>
        <v>0.875</v>
      </c>
    </row>
    <row r="538" spans="1:17" x14ac:dyDescent="0.3">
      <c r="A538" s="3">
        <v>36</v>
      </c>
      <c r="B538" s="3">
        <v>18</v>
      </c>
      <c r="C538" s="6">
        <v>4.7</v>
      </c>
      <c r="D538" t="s">
        <v>13</v>
      </c>
      <c r="E538" s="3">
        <v>7000</v>
      </c>
      <c r="F538" s="6">
        <v>4.8</v>
      </c>
      <c r="G538" t="s">
        <v>69</v>
      </c>
      <c r="H538" s="2">
        <v>0.85</v>
      </c>
      <c r="I538" s="3">
        <v>6000</v>
      </c>
      <c r="J538" s="3" t="str">
        <f t="shared" si="33"/>
        <v>High Price</v>
      </c>
      <c r="K538" t="s">
        <v>9</v>
      </c>
      <c r="L538" t="s">
        <v>17</v>
      </c>
      <c r="M538" t="s">
        <v>25</v>
      </c>
      <c r="N538">
        <v>0.9</v>
      </c>
      <c r="O538" t="str">
        <f t="shared" si="34"/>
        <v>High</v>
      </c>
      <c r="P538">
        <f t="shared" si="35"/>
        <v>108000</v>
      </c>
      <c r="Q538" s="2">
        <f t="shared" si="36"/>
        <v>0.5</v>
      </c>
    </row>
    <row r="539" spans="1:17" x14ac:dyDescent="0.3">
      <c r="A539" s="3">
        <v>12</v>
      </c>
      <c r="B539" s="3">
        <v>8</v>
      </c>
      <c r="C539" s="6">
        <v>3.6</v>
      </c>
      <c r="D539" t="s">
        <v>20</v>
      </c>
      <c r="E539" s="3">
        <v>800</v>
      </c>
      <c r="F539" s="6">
        <v>3.4</v>
      </c>
      <c r="G539" t="s">
        <v>42</v>
      </c>
      <c r="H539" s="2">
        <v>-0.3</v>
      </c>
      <c r="I539" s="3">
        <v>1200</v>
      </c>
      <c r="J539" s="3" t="str">
        <f t="shared" si="33"/>
        <v>Medium Price</v>
      </c>
      <c r="K539" t="s">
        <v>179</v>
      </c>
      <c r="L539" t="s">
        <v>29</v>
      </c>
      <c r="M539" t="s">
        <v>18</v>
      </c>
      <c r="N539">
        <v>0.6</v>
      </c>
      <c r="O539" t="str">
        <f t="shared" si="34"/>
        <v>Medium</v>
      </c>
      <c r="P539">
        <f t="shared" si="35"/>
        <v>9600</v>
      </c>
      <c r="Q539" s="2">
        <f t="shared" si="36"/>
        <v>0.66666666666666663</v>
      </c>
    </row>
    <row r="540" spans="1:17" x14ac:dyDescent="0.3">
      <c r="A540" s="3">
        <v>9</v>
      </c>
      <c r="B540" s="3">
        <v>7</v>
      </c>
      <c r="C540" s="6">
        <v>3.1</v>
      </c>
      <c r="D540" t="s">
        <v>20</v>
      </c>
      <c r="E540" s="3">
        <v>300</v>
      </c>
      <c r="F540" s="6">
        <v>2.9</v>
      </c>
      <c r="G540" t="s">
        <v>62</v>
      </c>
      <c r="H540" s="2">
        <v>-0.4</v>
      </c>
      <c r="I540" s="3">
        <v>1100</v>
      </c>
      <c r="J540" s="3" t="str">
        <f t="shared" si="33"/>
        <v>Medium Price</v>
      </c>
      <c r="K540" t="s">
        <v>179</v>
      </c>
      <c r="L540" t="s">
        <v>29</v>
      </c>
      <c r="M540" t="s">
        <v>18</v>
      </c>
      <c r="N540">
        <v>0.5</v>
      </c>
      <c r="O540" t="str">
        <f t="shared" si="34"/>
        <v>Medium</v>
      </c>
      <c r="P540">
        <f t="shared" si="35"/>
        <v>7700</v>
      </c>
      <c r="Q540" s="2">
        <f t="shared" si="36"/>
        <v>0.77777777777777779</v>
      </c>
    </row>
    <row r="541" spans="1:17" x14ac:dyDescent="0.3">
      <c r="A541" s="3">
        <v>41</v>
      </c>
      <c r="B541" s="3">
        <v>20</v>
      </c>
      <c r="C541" s="6">
        <v>4.8</v>
      </c>
      <c r="D541" t="s">
        <v>13</v>
      </c>
      <c r="E541" s="3">
        <v>8000</v>
      </c>
      <c r="F541" s="6">
        <v>4.7</v>
      </c>
      <c r="G541" t="s">
        <v>65</v>
      </c>
      <c r="H541" s="2">
        <v>0.9</v>
      </c>
      <c r="I541" s="3">
        <v>8000</v>
      </c>
      <c r="J541" s="3" t="str">
        <f t="shared" si="33"/>
        <v>High Price</v>
      </c>
      <c r="K541" t="s">
        <v>9</v>
      </c>
      <c r="L541" t="s">
        <v>24</v>
      </c>
      <c r="M541" t="s">
        <v>25</v>
      </c>
      <c r="N541">
        <v>0.95</v>
      </c>
      <c r="O541" t="str">
        <f t="shared" si="34"/>
        <v>High</v>
      </c>
      <c r="P541">
        <f t="shared" si="35"/>
        <v>160000</v>
      </c>
      <c r="Q541" s="2">
        <f t="shared" si="36"/>
        <v>0.48780487804878048</v>
      </c>
    </row>
    <row r="542" spans="1:17" x14ac:dyDescent="0.3">
      <c r="A542" s="3">
        <v>7</v>
      </c>
      <c r="B542" s="3">
        <v>7</v>
      </c>
      <c r="C542" s="6">
        <v>3</v>
      </c>
      <c r="D542" t="s">
        <v>20</v>
      </c>
      <c r="E542" s="3">
        <v>300</v>
      </c>
      <c r="F542" s="6">
        <v>2.8</v>
      </c>
      <c r="G542" t="s">
        <v>35</v>
      </c>
      <c r="H542" s="2">
        <v>-0.4</v>
      </c>
      <c r="I542" s="3">
        <v>800</v>
      </c>
      <c r="J542" s="3" t="str">
        <f t="shared" si="33"/>
        <v>Low Price</v>
      </c>
      <c r="K542" t="s">
        <v>179</v>
      </c>
      <c r="L542" t="s">
        <v>29</v>
      </c>
      <c r="M542" t="s">
        <v>18</v>
      </c>
      <c r="N542">
        <v>0.5</v>
      </c>
      <c r="O542" t="str">
        <f t="shared" si="34"/>
        <v>Medium</v>
      </c>
      <c r="P542">
        <f t="shared" si="35"/>
        <v>5600</v>
      </c>
      <c r="Q542" s="2">
        <f t="shared" si="36"/>
        <v>1</v>
      </c>
    </row>
    <row r="543" spans="1:17" x14ac:dyDescent="0.3">
      <c r="A543" s="3">
        <v>36</v>
      </c>
      <c r="B543" s="3">
        <v>19</v>
      </c>
      <c r="C543" s="6">
        <v>4.8</v>
      </c>
      <c r="D543" t="s">
        <v>13</v>
      </c>
      <c r="E543" s="3">
        <v>7000</v>
      </c>
      <c r="F543" s="6">
        <v>4.8</v>
      </c>
      <c r="G543" t="s">
        <v>69</v>
      </c>
      <c r="H543" s="2">
        <v>0.85</v>
      </c>
      <c r="I543" s="3">
        <v>6000</v>
      </c>
      <c r="J543" s="3" t="str">
        <f t="shared" si="33"/>
        <v>High Price</v>
      </c>
      <c r="K543" t="s">
        <v>9</v>
      </c>
      <c r="L543" t="s">
        <v>17</v>
      </c>
      <c r="M543" t="s">
        <v>25</v>
      </c>
      <c r="N543">
        <v>0.9</v>
      </c>
      <c r="O543" t="str">
        <f t="shared" si="34"/>
        <v>High</v>
      </c>
      <c r="P543">
        <f t="shared" si="35"/>
        <v>114000</v>
      </c>
      <c r="Q543" s="2">
        <f t="shared" si="36"/>
        <v>0.52777777777777779</v>
      </c>
    </row>
    <row r="544" spans="1:17" x14ac:dyDescent="0.3">
      <c r="A544" s="3">
        <v>13</v>
      </c>
      <c r="B544" s="3">
        <v>9</v>
      </c>
      <c r="C544" s="6">
        <v>3.7</v>
      </c>
      <c r="D544" t="s">
        <v>20</v>
      </c>
      <c r="E544" s="3">
        <v>900</v>
      </c>
      <c r="F544" s="6">
        <v>3.5</v>
      </c>
      <c r="G544" t="s">
        <v>42</v>
      </c>
      <c r="H544" s="2">
        <v>-0.3</v>
      </c>
      <c r="I544" s="3">
        <v>1200</v>
      </c>
      <c r="J544" s="3" t="str">
        <f t="shared" si="33"/>
        <v>Medium Price</v>
      </c>
      <c r="K544" t="s">
        <v>179</v>
      </c>
      <c r="L544" t="s">
        <v>29</v>
      </c>
      <c r="M544" t="s">
        <v>18</v>
      </c>
      <c r="N544">
        <v>0.6</v>
      </c>
      <c r="O544" t="str">
        <f t="shared" si="34"/>
        <v>Medium</v>
      </c>
      <c r="P544">
        <f t="shared" si="35"/>
        <v>10800</v>
      </c>
      <c r="Q544" s="2">
        <f t="shared" si="36"/>
        <v>0.69230769230769229</v>
      </c>
    </row>
    <row r="545" spans="1:17" x14ac:dyDescent="0.3">
      <c r="A545" s="3">
        <v>37</v>
      </c>
      <c r="B545" s="3">
        <v>20</v>
      </c>
      <c r="C545" s="6">
        <v>4.8</v>
      </c>
      <c r="D545" t="s">
        <v>13</v>
      </c>
      <c r="E545" s="3">
        <v>7000</v>
      </c>
      <c r="F545" s="6">
        <v>4.8</v>
      </c>
      <c r="G545" t="s">
        <v>69</v>
      </c>
      <c r="H545" s="2">
        <v>0.85</v>
      </c>
      <c r="I545" s="3">
        <v>6000</v>
      </c>
      <c r="J545" s="3" t="str">
        <f t="shared" si="33"/>
        <v>High Price</v>
      </c>
      <c r="K545" t="s">
        <v>9</v>
      </c>
      <c r="L545" t="s">
        <v>17</v>
      </c>
      <c r="M545" t="s">
        <v>25</v>
      </c>
      <c r="N545">
        <v>0.9</v>
      </c>
      <c r="O545" t="str">
        <f t="shared" si="34"/>
        <v>High</v>
      </c>
      <c r="P545">
        <f t="shared" si="35"/>
        <v>120000</v>
      </c>
      <c r="Q545" s="2">
        <f t="shared" si="36"/>
        <v>0.54054054054054057</v>
      </c>
    </row>
    <row r="546" spans="1:17" x14ac:dyDescent="0.3">
      <c r="A546" s="3">
        <v>14</v>
      </c>
      <c r="B546" s="3">
        <v>10</v>
      </c>
      <c r="C546" s="6">
        <v>4</v>
      </c>
      <c r="D546" t="s">
        <v>20</v>
      </c>
      <c r="E546" s="3">
        <v>1000</v>
      </c>
      <c r="F546" s="6">
        <v>3.9</v>
      </c>
      <c r="G546" t="s">
        <v>42</v>
      </c>
      <c r="H546" s="2">
        <v>-0.3</v>
      </c>
      <c r="I546" s="3">
        <v>1200</v>
      </c>
      <c r="J546" s="3" t="str">
        <f t="shared" si="33"/>
        <v>Medium Price</v>
      </c>
      <c r="K546" t="s">
        <v>179</v>
      </c>
      <c r="L546" t="s">
        <v>29</v>
      </c>
      <c r="M546" t="s">
        <v>18</v>
      </c>
      <c r="N546">
        <v>0.6</v>
      </c>
      <c r="O546" t="str">
        <f t="shared" si="34"/>
        <v>Medium</v>
      </c>
      <c r="P546">
        <f t="shared" si="35"/>
        <v>12000</v>
      </c>
      <c r="Q546" s="2">
        <f t="shared" si="36"/>
        <v>0.7142857142857143</v>
      </c>
    </row>
    <row r="547" spans="1:17" x14ac:dyDescent="0.3">
      <c r="A547" s="3">
        <v>20</v>
      </c>
      <c r="B547" s="3">
        <v>5</v>
      </c>
      <c r="C547" s="6">
        <v>4.3</v>
      </c>
      <c r="D547" t="s">
        <v>20</v>
      </c>
      <c r="E547" s="3">
        <v>300</v>
      </c>
      <c r="F547" s="6">
        <v>4.7</v>
      </c>
      <c r="G547" t="s">
        <v>48</v>
      </c>
      <c r="H547" s="2">
        <v>0.8</v>
      </c>
      <c r="I547" s="3">
        <v>700</v>
      </c>
      <c r="J547" s="3" t="str">
        <f t="shared" si="33"/>
        <v>Low Price</v>
      </c>
      <c r="K547" t="s">
        <v>179</v>
      </c>
      <c r="L547" t="s">
        <v>33</v>
      </c>
      <c r="M547" t="s">
        <v>18</v>
      </c>
      <c r="N547">
        <v>0.9</v>
      </c>
      <c r="O547" t="str">
        <f t="shared" si="34"/>
        <v>High</v>
      </c>
      <c r="P547">
        <f t="shared" si="35"/>
        <v>3500</v>
      </c>
      <c r="Q547" s="2">
        <f t="shared" si="36"/>
        <v>0.25</v>
      </c>
    </row>
    <row r="548" spans="1:17" x14ac:dyDescent="0.3">
      <c r="A548" s="3">
        <v>10</v>
      </c>
      <c r="B548" s="3">
        <v>2</v>
      </c>
      <c r="C548" s="6">
        <v>3.8</v>
      </c>
      <c r="D548" t="s">
        <v>13</v>
      </c>
      <c r="E548" s="3">
        <v>1000</v>
      </c>
      <c r="F548" s="6">
        <v>4.2</v>
      </c>
      <c r="G548" t="s">
        <v>75</v>
      </c>
      <c r="H548" s="2">
        <v>0.6</v>
      </c>
      <c r="I548" s="3">
        <v>500</v>
      </c>
      <c r="J548" s="3" t="str">
        <f t="shared" si="33"/>
        <v>Low Price</v>
      </c>
      <c r="K548" t="s">
        <v>9</v>
      </c>
      <c r="L548" t="s">
        <v>17</v>
      </c>
      <c r="M548" t="s">
        <v>18</v>
      </c>
      <c r="N548">
        <v>0.6</v>
      </c>
      <c r="O548" t="str">
        <f t="shared" si="34"/>
        <v>Medium</v>
      </c>
      <c r="P548">
        <f t="shared" si="35"/>
        <v>1000</v>
      </c>
      <c r="Q548" s="2">
        <f t="shared" si="36"/>
        <v>0.2</v>
      </c>
    </row>
    <row r="549" spans="1:17" x14ac:dyDescent="0.3">
      <c r="A549" s="3">
        <v>5</v>
      </c>
      <c r="B549" s="3">
        <v>1</v>
      </c>
      <c r="C549" s="6">
        <v>4.5</v>
      </c>
      <c r="D549" t="s">
        <v>20</v>
      </c>
      <c r="E549" s="3">
        <v>1000</v>
      </c>
      <c r="F549" s="6">
        <v>3.9</v>
      </c>
      <c r="G549" t="s">
        <v>21</v>
      </c>
      <c r="H549" s="2">
        <v>0.9</v>
      </c>
      <c r="I549" s="3">
        <v>900</v>
      </c>
      <c r="J549" s="3" t="str">
        <f t="shared" si="33"/>
        <v>Low Price</v>
      </c>
      <c r="K549" t="s">
        <v>179</v>
      </c>
      <c r="L549" t="s">
        <v>24</v>
      </c>
      <c r="M549" t="s">
        <v>34</v>
      </c>
      <c r="N549">
        <v>0.8</v>
      </c>
      <c r="O549" t="str">
        <f t="shared" si="34"/>
        <v>High</v>
      </c>
      <c r="P549">
        <f t="shared" si="35"/>
        <v>900</v>
      </c>
      <c r="Q549" s="2">
        <f t="shared" si="36"/>
        <v>0.2</v>
      </c>
    </row>
    <row r="550" spans="1:17" x14ac:dyDescent="0.3">
      <c r="A550" s="3">
        <v>15</v>
      </c>
      <c r="B550" s="3">
        <v>3</v>
      </c>
      <c r="C550" s="6">
        <v>4.2</v>
      </c>
      <c r="D550" t="s">
        <v>20</v>
      </c>
      <c r="E550" s="3">
        <v>2000</v>
      </c>
      <c r="F550" s="6">
        <v>4.8</v>
      </c>
      <c r="G550" t="s">
        <v>77</v>
      </c>
      <c r="H550" s="2">
        <v>0.7</v>
      </c>
      <c r="I550" s="3">
        <v>1000</v>
      </c>
      <c r="J550" s="3" t="str">
        <f t="shared" si="33"/>
        <v>Medium Price</v>
      </c>
      <c r="K550" t="s">
        <v>9</v>
      </c>
      <c r="L550" t="s">
        <v>29</v>
      </c>
      <c r="M550" t="s">
        <v>25</v>
      </c>
      <c r="N550">
        <v>0.7</v>
      </c>
      <c r="O550" t="str">
        <f t="shared" si="34"/>
        <v>Medium</v>
      </c>
      <c r="P550">
        <f t="shared" si="35"/>
        <v>3000</v>
      </c>
      <c r="Q550" s="2">
        <f t="shared" si="36"/>
        <v>0.2</v>
      </c>
    </row>
    <row r="551" spans="1:17" x14ac:dyDescent="0.3">
      <c r="A551" s="3">
        <v>8</v>
      </c>
      <c r="B551" s="3">
        <v>0</v>
      </c>
      <c r="C551" s="6">
        <v>4</v>
      </c>
      <c r="D551" t="s">
        <v>13</v>
      </c>
      <c r="E551" s="3">
        <v>400</v>
      </c>
      <c r="F551" s="6">
        <v>3.5</v>
      </c>
      <c r="G551" t="s">
        <v>66</v>
      </c>
      <c r="H551" s="2">
        <v>-0.3</v>
      </c>
      <c r="I551" s="3">
        <v>800</v>
      </c>
      <c r="J551" s="3" t="str">
        <f t="shared" si="33"/>
        <v>Low Price</v>
      </c>
      <c r="K551" t="s">
        <v>179</v>
      </c>
      <c r="L551" t="s">
        <v>17</v>
      </c>
      <c r="M551" t="s">
        <v>25</v>
      </c>
      <c r="N551">
        <v>0.3</v>
      </c>
      <c r="O551" t="str">
        <f t="shared" si="34"/>
        <v>Low</v>
      </c>
      <c r="P551">
        <f t="shared" si="35"/>
        <v>0</v>
      </c>
      <c r="Q551" s="2">
        <f t="shared" si="36"/>
        <v>0</v>
      </c>
    </row>
    <row r="552" spans="1:17" x14ac:dyDescent="0.3">
      <c r="A552" s="3">
        <v>25</v>
      </c>
      <c r="B552" s="3">
        <v>7</v>
      </c>
      <c r="C552" s="6">
        <v>4.8</v>
      </c>
      <c r="D552" t="s">
        <v>13</v>
      </c>
      <c r="E552" s="3">
        <v>5000</v>
      </c>
      <c r="F552" s="6">
        <v>4.9000000000000004</v>
      </c>
      <c r="G552" t="s">
        <v>14</v>
      </c>
      <c r="H552" s="2">
        <v>0.9</v>
      </c>
      <c r="I552" s="3">
        <v>700</v>
      </c>
      <c r="J552" s="3" t="str">
        <f t="shared" si="33"/>
        <v>Low Price</v>
      </c>
      <c r="K552" t="s">
        <v>179</v>
      </c>
      <c r="L552" t="s">
        <v>33</v>
      </c>
      <c r="M552" t="s">
        <v>18</v>
      </c>
      <c r="N552">
        <v>0.9</v>
      </c>
      <c r="O552" t="str">
        <f t="shared" si="34"/>
        <v>High</v>
      </c>
      <c r="P552">
        <f t="shared" si="35"/>
        <v>4900</v>
      </c>
      <c r="Q552" s="2">
        <f t="shared" si="36"/>
        <v>0.28000000000000003</v>
      </c>
    </row>
    <row r="553" spans="1:17" x14ac:dyDescent="0.3">
      <c r="A553" s="3">
        <v>30</v>
      </c>
      <c r="B553" s="3">
        <v>10</v>
      </c>
      <c r="C553" s="6">
        <v>4.7</v>
      </c>
      <c r="D553" t="s">
        <v>20</v>
      </c>
      <c r="E553" s="3">
        <v>1000</v>
      </c>
      <c r="F553" s="6">
        <v>4.5999999999999996</v>
      </c>
      <c r="G553" t="s">
        <v>115</v>
      </c>
      <c r="H553" s="2">
        <v>0.5</v>
      </c>
      <c r="I553" s="3">
        <v>400</v>
      </c>
      <c r="J553" s="3" t="str">
        <f t="shared" si="33"/>
        <v>Low Price</v>
      </c>
      <c r="K553" t="s">
        <v>9</v>
      </c>
      <c r="L553" t="s">
        <v>17</v>
      </c>
      <c r="M553" t="s">
        <v>18</v>
      </c>
      <c r="N553">
        <v>0.8</v>
      </c>
      <c r="O553" t="str">
        <f t="shared" si="34"/>
        <v>High</v>
      </c>
      <c r="P553">
        <f t="shared" si="35"/>
        <v>4000</v>
      </c>
      <c r="Q553" s="2">
        <f t="shared" si="36"/>
        <v>0.33333333333333331</v>
      </c>
    </row>
    <row r="554" spans="1:17" x14ac:dyDescent="0.3">
      <c r="A554" s="3">
        <v>12</v>
      </c>
      <c r="B554" s="3">
        <v>4</v>
      </c>
      <c r="C554" s="6">
        <v>3.5</v>
      </c>
      <c r="D554" t="s">
        <v>20</v>
      </c>
      <c r="E554" s="3">
        <v>2000</v>
      </c>
      <c r="F554" s="6">
        <v>3.4</v>
      </c>
      <c r="G554" t="s">
        <v>116</v>
      </c>
      <c r="H554" s="2">
        <v>-0.1</v>
      </c>
      <c r="I554" s="3">
        <v>900</v>
      </c>
      <c r="J554" s="3" t="str">
        <f t="shared" si="33"/>
        <v>Low Price</v>
      </c>
      <c r="K554" t="s">
        <v>179</v>
      </c>
      <c r="L554" t="s">
        <v>33</v>
      </c>
      <c r="M554" t="s">
        <v>34</v>
      </c>
      <c r="N554">
        <v>0.4</v>
      </c>
      <c r="O554" t="str">
        <f t="shared" si="34"/>
        <v>Medium</v>
      </c>
      <c r="P554">
        <f t="shared" si="35"/>
        <v>3600</v>
      </c>
      <c r="Q554" s="2">
        <f t="shared" si="36"/>
        <v>0.33333333333333331</v>
      </c>
    </row>
    <row r="555" spans="1:17" x14ac:dyDescent="0.3">
      <c r="A555" s="3">
        <v>40</v>
      </c>
      <c r="B555" s="3">
        <v>15</v>
      </c>
      <c r="C555" s="6">
        <v>4.9000000000000004</v>
      </c>
      <c r="D555" t="s">
        <v>13</v>
      </c>
      <c r="E555" s="3">
        <v>8000</v>
      </c>
      <c r="F555" s="6">
        <v>4.7</v>
      </c>
      <c r="G555" t="s">
        <v>31</v>
      </c>
      <c r="H555" s="2">
        <v>0.9</v>
      </c>
      <c r="I555" s="3">
        <v>200</v>
      </c>
      <c r="J555" s="3" t="str">
        <f t="shared" si="33"/>
        <v>Low Price</v>
      </c>
      <c r="K555" t="s">
        <v>9</v>
      </c>
      <c r="L555" t="s">
        <v>24</v>
      </c>
      <c r="M555" t="s">
        <v>18</v>
      </c>
      <c r="N555">
        <v>0.9</v>
      </c>
      <c r="O555" t="str">
        <f t="shared" si="34"/>
        <v>High</v>
      </c>
      <c r="P555">
        <f t="shared" si="35"/>
        <v>3000</v>
      </c>
      <c r="Q555" s="2">
        <f t="shared" si="36"/>
        <v>0.375</v>
      </c>
    </row>
    <row r="556" spans="1:17" x14ac:dyDescent="0.3">
      <c r="A556" s="3">
        <v>5</v>
      </c>
      <c r="B556" s="3">
        <v>0</v>
      </c>
      <c r="C556" s="6">
        <v>2.5</v>
      </c>
      <c r="D556" t="s">
        <v>13</v>
      </c>
      <c r="E556" s="3">
        <v>1000</v>
      </c>
      <c r="F556" s="6">
        <v>2.8</v>
      </c>
      <c r="G556" t="s">
        <v>62</v>
      </c>
      <c r="H556" s="2">
        <v>-0.6</v>
      </c>
      <c r="I556" s="3">
        <v>100</v>
      </c>
      <c r="J556" s="3" t="str">
        <f t="shared" si="33"/>
        <v>Low Price</v>
      </c>
      <c r="K556" t="s">
        <v>179</v>
      </c>
      <c r="L556" t="s">
        <v>33</v>
      </c>
      <c r="M556" t="s">
        <v>25</v>
      </c>
      <c r="N556">
        <v>0.1</v>
      </c>
      <c r="O556" t="str">
        <f t="shared" si="34"/>
        <v>Low</v>
      </c>
      <c r="P556">
        <f t="shared" si="35"/>
        <v>0</v>
      </c>
      <c r="Q556" s="2">
        <f t="shared" si="36"/>
        <v>0</v>
      </c>
    </row>
    <row r="557" spans="1:17" x14ac:dyDescent="0.3">
      <c r="A557" s="3">
        <v>18</v>
      </c>
      <c r="B557" s="3">
        <v>6</v>
      </c>
      <c r="C557" s="6">
        <v>4.0999999999999996</v>
      </c>
      <c r="D557" t="s">
        <v>20</v>
      </c>
      <c r="E557" s="3">
        <v>3000</v>
      </c>
      <c r="F557" s="6">
        <v>4.5</v>
      </c>
      <c r="G557" t="s">
        <v>35</v>
      </c>
      <c r="H557" s="2">
        <v>0.8</v>
      </c>
      <c r="I557" s="3">
        <v>600</v>
      </c>
      <c r="J557" s="3" t="str">
        <f t="shared" si="33"/>
        <v>Low Price</v>
      </c>
      <c r="K557" t="s">
        <v>9</v>
      </c>
      <c r="L557" t="s">
        <v>17</v>
      </c>
      <c r="M557" t="s">
        <v>18</v>
      </c>
      <c r="N557">
        <v>0.7</v>
      </c>
      <c r="O557" t="str">
        <f t="shared" si="34"/>
        <v>Medium</v>
      </c>
      <c r="P557">
        <f t="shared" si="35"/>
        <v>3600</v>
      </c>
      <c r="Q557" s="2">
        <f t="shared" si="36"/>
        <v>0.33333333333333331</v>
      </c>
    </row>
    <row r="558" spans="1:17" x14ac:dyDescent="0.3">
      <c r="A558" s="3">
        <v>22</v>
      </c>
      <c r="B558" s="3">
        <v>8</v>
      </c>
      <c r="C558" s="6">
        <v>4.5999999999999996</v>
      </c>
      <c r="D558" t="s">
        <v>20</v>
      </c>
      <c r="E558" s="3">
        <v>600</v>
      </c>
      <c r="F558" s="6">
        <v>4.4000000000000004</v>
      </c>
      <c r="G558" t="s">
        <v>50</v>
      </c>
      <c r="H558" s="2">
        <v>0.4</v>
      </c>
      <c r="I558" s="3">
        <v>300</v>
      </c>
      <c r="J558" s="3" t="str">
        <f t="shared" si="33"/>
        <v>Low Price</v>
      </c>
      <c r="K558" t="s">
        <v>9</v>
      </c>
      <c r="L558" t="s">
        <v>29</v>
      </c>
      <c r="M558" t="s">
        <v>25</v>
      </c>
      <c r="N558">
        <v>0.6</v>
      </c>
      <c r="O558" t="str">
        <f t="shared" si="34"/>
        <v>Medium</v>
      </c>
      <c r="P558">
        <f t="shared" si="35"/>
        <v>2400</v>
      </c>
      <c r="Q558" s="2">
        <f t="shared" si="36"/>
        <v>0.36363636363636365</v>
      </c>
    </row>
    <row r="559" spans="1:17" x14ac:dyDescent="0.3">
      <c r="A559" s="3">
        <v>3</v>
      </c>
      <c r="B559" s="3">
        <v>0</v>
      </c>
      <c r="C559" s="6">
        <v>3</v>
      </c>
      <c r="D559" t="s">
        <v>13</v>
      </c>
      <c r="E559" s="3">
        <v>700</v>
      </c>
      <c r="F559" s="6">
        <v>3.2</v>
      </c>
      <c r="G559" t="s">
        <v>117</v>
      </c>
      <c r="H559" s="2">
        <v>-0.5</v>
      </c>
      <c r="I559" s="3">
        <v>1000</v>
      </c>
      <c r="J559" s="3" t="str">
        <f t="shared" si="33"/>
        <v>Medium Price</v>
      </c>
      <c r="K559" t="s">
        <v>9</v>
      </c>
      <c r="L559" t="s">
        <v>33</v>
      </c>
      <c r="M559" t="s">
        <v>18</v>
      </c>
      <c r="N559">
        <v>0.2</v>
      </c>
      <c r="O559" t="str">
        <f t="shared" si="34"/>
        <v>Low</v>
      </c>
      <c r="P559">
        <f t="shared" si="35"/>
        <v>0</v>
      </c>
      <c r="Q559" s="2">
        <f t="shared" si="36"/>
        <v>0</v>
      </c>
    </row>
    <row r="560" spans="1:17" x14ac:dyDescent="0.3">
      <c r="A560" s="3">
        <v>45</v>
      </c>
      <c r="B560" s="3">
        <v>18</v>
      </c>
      <c r="C560" s="6">
        <v>4.9000000000000004</v>
      </c>
      <c r="D560" t="s">
        <v>13</v>
      </c>
      <c r="E560" s="3">
        <v>9000</v>
      </c>
      <c r="F560" s="6">
        <v>4.9000000000000004</v>
      </c>
      <c r="G560" t="s">
        <v>42</v>
      </c>
      <c r="H560" s="2">
        <v>0.9</v>
      </c>
      <c r="I560" s="3">
        <v>900</v>
      </c>
      <c r="J560" s="3" t="str">
        <f t="shared" si="33"/>
        <v>Low Price</v>
      </c>
      <c r="K560" t="s">
        <v>9</v>
      </c>
      <c r="L560" t="s">
        <v>33</v>
      </c>
      <c r="M560" t="s">
        <v>34</v>
      </c>
      <c r="N560">
        <v>1</v>
      </c>
      <c r="O560" t="str">
        <f t="shared" si="34"/>
        <v>High</v>
      </c>
      <c r="P560">
        <f t="shared" si="35"/>
        <v>16200</v>
      </c>
      <c r="Q560" s="2">
        <f t="shared" si="36"/>
        <v>0.4</v>
      </c>
    </row>
    <row r="561" spans="1:17" x14ac:dyDescent="0.3">
      <c r="A561" s="3">
        <v>7</v>
      </c>
      <c r="B561" s="3">
        <v>2</v>
      </c>
      <c r="C561" s="6">
        <v>3.7</v>
      </c>
      <c r="D561" t="s">
        <v>20</v>
      </c>
      <c r="E561" s="3">
        <v>200</v>
      </c>
      <c r="F561" s="6">
        <v>3.8</v>
      </c>
      <c r="G561" t="s">
        <v>68</v>
      </c>
      <c r="H561" s="2">
        <v>0.2</v>
      </c>
      <c r="I561" s="3">
        <v>300</v>
      </c>
      <c r="J561" s="3" t="str">
        <f t="shared" si="33"/>
        <v>Low Price</v>
      </c>
      <c r="K561" t="s">
        <v>179</v>
      </c>
      <c r="L561" t="s">
        <v>17</v>
      </c>
      <c r="M561" t="s">
        <v>25</v>
      </c>
      <c r="N561">
        <v>0.5</v>
      </c>
      <c r="O561" t="str">
        <f t="shared" si="34"/>
        <v>Medium</v>
      </c>
      <c r="P561">
        <f t="shared" si="35"/>
        <v>600</v>
      </c>
      <c r="Q561" s="2">
        <f t="shared" si="36"/>
        <v>0.2857142857142857</v>
      </c>
    </row>
    <row r="562" spans="1:17" x14ac:dyDescent="0.3">
      <c r="A562" s="3">
        <v>10</v>
      </c>
      <c r="B562" s="3">
        <v>2</v>
      </c>
      <c r="C562" s="6">
        <v>4</v>
      </c>
      <c r="D562" t="s">
        <v>13</v>
      </c>
      <c r="E562" s="3">
        <v>800</v>
      </c>
      <c r="F562" s="6">
        <v>4.0999999999999996</v>
      </c>
      <c r="G562" t="s">
        <v>73</v>
      </c>
      <c r="H562" s="2">
        <v>0.7</v>
      </c>
      <c r="I562" s="3">
        <v>700</v>
      </c>
      <c r="J562" s="3" t="str">
        <f t="shared" si="33"/>
        <v>Low Price</v>
      </c>
      <c r="K562" t="s">
        <v>9</v>
      </c>
      <c r="L562" t="s">
        <v>33</v>
      </c>
      <c r="M562" t="s">
        <v>25</v>
      </c>
      <c r="N562">
        <v>0.8</v>
      </c>
      <c r="O562" t="str">
        <f t="shared" si="34"/>
        <v>High</v>
      </c>
      <c r="P562">
        <f t="shared" si="35"/>
        <v>1400</v>
      </c>
      <c r="Q562" s="2">
        <f t="shared" si="36"/>
        <v>0.2</v>
      </c>
    </row>
    <row r="563" spans="1:17" x14ac:dyDescent="0.3">
      <c r="A563" s="3">
        <v>28</v>
      </c>
      <c r="B563" s="3">
        <v>12</v>
      </c>
      <c r="C563" s="6">
        <v>4.5</v>
      </c>
      <c r="D563" t="s">
        <v>20</v>
      </c>
      <c r="E563" s="3">
        <v>1500</v>
      </c>
      <c r="F563" s="6">
        <v>4.5999999999999996</v>
      </c>
      <c r="G563" t="s">
        <v>95</v>
      </c>
      <c r="H563" s="2">
        <v>0.6</v>
      </c>
      <c r="I563" s="3">
        <v>200</v>
      </c>
      <c r="J563" s="3" t="str">
        <f t="shared" si="33"/>
        <v>Low Price</v>
      </c>
      <c r="K563" t="s">
        <v>179</v>
      </c>
      <c r="L563" t="s">
        <v>33</v>
      </c>
      <c r="M563" t="s">
        <v>18</v>
      </c>
      <c r="N563">
        <v>0.8</v>
      </c>
      <c r="O563" t="str">
        <f t="shared" si="34"/>
        <v>High</v>
      </c>
      <c r="P563">
        <f t="shared" si="35"/>
        <v>2400</v>
      </c>
      <c r="Q563" s="2">
        <f t="shared" si="36"/>
        <v>0.42857142857142855</v>
      </c>
    </row>
    <row r="564" spans="1:17" x14ac:dyDescent="0.3">
      <c r="A564" s="3">
        <v>35</v>
      </c>
      <c r="B564" s="3">
        <v>14</v>
      </c>
      <c r="C564" s="6">
        <v>4.8</v>
      </c>
      <c r="D564" t="s">
        <v>13</v>
      </c>
      <c r="E564" s="3">
        <v>4000</v>
      </c>
      <c r="F564" s="6">
        <v>4.8</v>
      </c>
      <c r="G564" t="s">
        <v>57</v>
      </c>
      <c r="H564" s="2">
        <v>0.8</v>
      </c>
      <c r="I564" s="3">
        <v>500</v>
      </c>
      <c r="J564" s="3" t="str">
        <f t="shared" si="33"/>
        <v>Low Price</v>
      </c>
      <c r="K564" t="s">
        <v>9</v>
      </c>
      <c r="L564" t="s">
        <v>29</v>
      </c>
      <c r="M564" t="s">
        <v>25</v>
      </c>
      <c r="N564">
        <v>0.9</v>
      </c>
      <c r="O564" t="str">
        <f t="shared" si="34"/>
        <v>High</v>
      </c>
      <c r="P564">
        <f t="shared" si="35"/>
        <v>7000</v>
      </c>
      <c r="Q564" s="2">
        <f t="shared" si="36"/>
        <v>0.4</v>
      </c>
    </row>
    <row r="565" spans="1:17" x14ac:dyDescent="0.3">
      <c r="A565" s="3">
        <v>2</v>
      </c>
      <c r="B565" s="3">
        <v>0</v>
      </c>
      <c r="C565" s="6">
        <v>2</v>
      </c>
      <c r="D565" t="s">
        <v>13</v>
      </c>
      <c r="E565" s="3">
        <v>200</v>
      </c>
      <c r="F565" s="6">
        <v>2.2999999999999998</v>
      </c>
      <c r="G565" t="s">
        <v>72</v>
      </c>
      <c r="H565" s="2">
        <v>-0.9</v>
      </c>
      <c r="I565" s="3">
        <v>100</v>
      </c>
      <c r="J565" s="3" t="str">
        <f t="shared" si="33"/>
        <v>Low Price</v>
      </c>
      <c r="K565" t="s">
        <v>179</v>
      </c>
      <c r="L565" t="s">
        <v>17</v>
      </c>
      <c r="M565" t="s">
        <v>18</v>
      </c>
      <c r="N565">
        <v>0.1</v>
      </c>
      <c r="O565" t="str">
        <f t="shared" si="34"/>
        <v>Low</v>
      </c>
      <c r="P565">
        <f t="shared" si="35"/>
        <v>0</v>
      </c>
      <c r="Q565" s="2">
        <f t="shared" si="36"/>
        <v>0</v>
      </c>
    </row>
    <row r="566" spans="1:17" x14ac:dyDescent="0.3">
      <c r="A566" s="3">
        <v>16</v>
      </c>
      <c r="B566" s="3">
        <v>5</v>
      </c>
      <c r="C566" s="6">
        <v>3.9</v>
      </c>
      <c r="D566" t="s">
        <v>20</v>
      </c>
      <c r="E566" s="3">
        <v>500</v>
      </c>
      <c r="F566" s="6">
        <v>3.7</v>
      </c>
      <c r="G566" t="s">
        <v>78</v>
      </c>
      <c r="H566" s="2">
        <v>0.3</v>
      </c>
      <c r="I566" s="3">
        <v>800</v>
      </c>
      <c r="J566" s="3" t="str">
        <f t="shared" si="33"/>
        <v>Low Price</v>
      </c>
      <c r="K566" t="s">
        <v>179</v>
      </c>
      <c r="L566" t="s">
        <v>24</v>
      </c>
      <c r="M566" t="s">
        <v>34</v>
      </c>
      <c r="N566">
        <v>0.5</v>
      </c>
      <c r="O566" t="str">
        <f t="shared" si="34"/>
        <v>Medium</v>
      </c>
      <c r="P566">
        <f t="shared" si="35"/>
        <v>4000</v>
      </c>
      <c r="Q566" s="2">
        <f t="shared" si="36"/>
        <v>0.3125</v>
      </c>
    </row>
    <row r="567" spans="1:17" x14ac:dyDescent="0.3">
      <c r="A567" s="3">
        <v>6</v>
      </c>
      <c r="B567" s="3">
        <v>1</v>
      </c>
      <c r="C567" s="6">
        <v>3.2</v>
      </c>
      <c r="D567" t="s">
        <v>13</v>
      </c>
      <c r="E567" s="3">
        <v>6000</v>
      </c>
      <c r="F567" s="6">
        <v>3.6</v>
      </c>
      <c r="G567" t="s">
        <v>55</v>
      </c>
      <c r="H567" s="2">
        <v>-0.2</v>
      </c>
      <c r="I567" s="3">
        <v>600</v>
      </c>
      <c r="J567" s="3" t="str">
        <f t="shared" si="33"/>
        <v>Low Price</v>
      </c>
      <c r="K567" t="s">
        <v>9</v>
      </c>
      <c r="L567" t="s">
        <v>17</v>
      </c>
      <c r="M567" t="s">
        <v>25</v>
      </c>
      <c r="N567">
        <v>0.4</v>
      </c>
      <c r="O567" t="str">
        <f t="shared" si="34"/>
        <v>Medium</v>
      </c>
      <c r="P567">
        <f t="shared" si="35"/>
        <v>600</v>
      </c>
      <c r="Q567" s="2">
        <f t="shared" si="36"/>
        <v>0.16666666666666666</v>
      </c>
    </row>
    <row r="568" spans="1:17" x14ac:dyDescent="0.3">
      <c r="A568" s="3">
        <v>38</v>
      </c>
      <c r="B568" s="3">
        <v>16</v>
      </c>
      <c r="C568" s="6">
        <v>4.7</v>
      </c>
      <c r="D568" t="s">
        <v>20</v>
      </c>
      <c r="E568" s="3">
        <v>7000</v>
      </c>
      <c r="F568" s="6">
        <v>4.7</v>
      </c>
      <c r="G568" t="s">
        <v>99</v>
      </c>
      <c r="H568" s="2">
        <v>0.9</v>
      </c>
      <c r="I568" s="3">
        <v>100</v>
      </c>
      <c r="J568" s="3" t="str">
        <f t="shared" si="33"/>
        <v>Low Price</v>
      </c>
      <c r="K568" t="s">
        <v>9</v>
      </c>
      <c r="L568" t="s">
        <v>29</v>
      </c>
      <c r="M568" t="s">
        <v>18</v>
      </c>
      <c r="N568">
        <v>1</v>
      </c>
      <c r="O568" t="str">
        <f t="shared" si="34"/>
        <v>High</v>
      </c>
      <c r="P568">
        <f t="shared" si="35"/>
        <v>1600</v>
      </c>
      <c r="Q568" s="2">
        <f t="shared" si="36"/>
        <v>0.42105263157894735</v>
      </c>
    </row>
    <row r="569" spans="1:17" x14ac:dyDescent="0.3">
      <c r="A569" s="3">
        <v>9</v>
      </c>
      <c r="B569" s="3">
        <v>3</v>
      </c>
      <c r="C569" s="6">
        <v>3.6</v>
      </c>
      <c r="D569" t="s">
        <v>13</v>
      </c>
      <c r="E569" s="3">
        <v>900</v>
      </c>
      <c r="F569" s="6">
        <v>3.3</v>
      </c>
      <c r="G569" t="s">
        <v>69</v>
      </c>
      <c r="H569" s="2">
        <v>-0.4</v>
      </c>
      <c r="I569" s="3">
        <v>400</v>
      </c>
      <c r="J569" s="3" t="str">
        <f t="shared" si="33"/>
        <v>Low Price</v>
      </c>
      <c r="K569" t="s">
        <v>179</v>
      </c>
      <c r="L569" t="s">
        <v>17</v>
      </c>
      <c r="M569" t="s">
        <v>18</v>
      </c>
      <c r="N569">
        <v>0.2</v>
      </c>
      <c r="O569" t="str">
        <f t="shared" si="34"/>
        <v>Low</v>
      </c>
      <c r="P569">
        <f t="shared" si="35"/>
        <v>1200</v>
      </c>
      <c r="Q569" s="2">
        <f t="shared" si="36"/>
        <v>0.33333333333333331</v>
      </c>
    </row>
    <row r="570" spans="1:17" x14ac:dyDescent="0.3">
      <c r="A570" s="3">
        <v>14</v>
      </c>
      <c r="B570" s="3">
        <v>4</v>
      </c>
      <c r="C570" s="6">
        <v>4.4000000000000004</v>
      </c>
      <c r="D570" t="s">
        <v>20</v>
      </c>
      <c r="E570" s="3">
        <v>4000</v>
      </c>
      <c r="F570" s="6">
        <v>4.4000000000000004</v>
      </c>
      <c r="G570" t="s">
        <v>37</v>
      </c>
      <c r="H570" s="2">
        <v>0.2</v>
      </c>
      <c r="I570" s="3">
        <v>800</v>
      </c>
      <c r="J570" s="3" t="str">
        <f t="shared" si="33"/>
        <v>Low Price</v>
      </c>
      <c r="K570" t="s">
        <v>179</v>
      </c>
      <c r="L570" t="s">
        <v>33</v>
      </c>
      <c r="M570" t="s">
        <v>18</v>
      </c>
      <c r="N570">
        <v>0.7</v>
      </c>
      <c r="O570" t="str">
        <f t="shared" si="34"/>
        <v>Medium</v>
      </c>
      <c r="P570">
        <f t="shared" si="35"/>
        <v>3200</v>
      </c>
      <c r="Q570" s="2">
        <f t="shared" si="36"/>
        <v>0.2857142857142857</v>
      </c>
    </row>
    <row r="571" spans="1:17" x14ac:dyDescent="0.3">
      <c r="A571" s="3">
        <v>21</v>
      </c>
      <c r="B571" s="3">
        <v>7</v>
      </c>
      <c r="C571" s="6">
        <v>4.5999999999999996</v>
      </c>
      <c r="D571" t="s">
        <v>20</v>
      </c>
      <c r="E571" s="3">
        <v>2000</v>
      </c>
      <c r="F571" s="6">
        <v>4.5</v>
      </c>
      <c r="G571" t="s">
        <v>82</v>
      </c>
      <c r="H571" s="2">
        <v>0.7</v>
      </c>
      <c r="I571" s="3">
        <v>800</v>
      </c>
      <c r="J571" s="3" t="str">
        <f t="shared" si="33"/>
        <v>Low Price</v>
      </c>
      <c r="K571" t="s">
        <v>9</v>
      </c>
      <c r="L571" t="s">
        <v>33</v>
      </c>
      <c r="M571" t="s">
        <v>18</v>
      </c>
      <c r="N571">
        <v>0.8</v>
      </c>
      <c r="O571" t="str">
        <f t="shared" si="34"/>
        <v>High</v>
      </c>
      <c r="P571">
        <f t="shared" si="35"/>
        <v>5600</v>
      </c>
      <c r="Q571" s="2">
        <f t="shared" si="36"/>
        <v>0.33333333333333331</v>
      </c>
    </row>
    <row r="572" spans="1:17" x14ac:dyDescent="0.3">
      <c r="A572" s="3">
        <v>33</v>
      </c>
      <c r="B572" s="3">
        <v>11</v>
      </c>
      <c r="C572" s="6">
        <v>4.3</v>
      </c>
      <c r="D572" t="s">
        <v>13</v>
      </c>
      <c r="E572" s="3">
        <v>3000</v>
      </c>
      <c r="F572" s="6">
        <v>4.2</v>
      </c>
      <c r="G572" t="s">
        <v>48</v>
      </c>
      <c r="H572" s="2">
        <v>0.4</v>
      </c>
      <c r="I572" s="3">
        <v>700</v>
      </c>
      <c r="J572" s="3" t="str">
        <f t="shared" si="33"/>
        <v>Low Price</v>
      </c>
      <c r="K572" t="s">
        <v>9</v>
      </c>
      <c r="L572" t="s">
        <v>24</v>
      </c>
      <c r="M572" t="s">
        <v>34</v>
      </c>
      <c r="N572">
        <v>0.6</v>
      </c>
      <c r="O572" t="str">
        <f t="shared" si="34"/>
        <v>Medium</v>
      </c>
      <c r="P572">
        <f t="shared" si="35"/>
        <v>7700</v>
      </c>
      <c r="Q572" s="2">
        <f t="shared" si="36"/>
        <v>0.33333333333333331</v>
      </c>
    </row>
    <row r="573" spans="1:17" x14ac:dyDescent="0.3">
      <c r="A573" s="3">
        <v>8</v>
      </c>
      <c r="B573" s="3">
        <v>1</v>
      </c>
      <c r="C573" s="6">
        <v>3.7</v>
      </c>
      <c r="D573" t="s">
        <v>13</v>
      </c>
      <c r="E573" s="3">
        <v>500</v>
      </c>
      <c r="F573" s="6">
        <v>3.8</v>
      </c>
      <c r="G573" t="s">
        <v>75</v>
      </c>
      <c r="H573" s="2">
        <v>0.3</v>
      </c>
      <c r="I573" s="3">
        <v>300</v>
      </c>
      <c r="J573" s="3" t="str">
        <f t="shared" si="33"/>
        <v>Low Price</v>
      </c>
      <c r="K573" t="s">
        <v>179</v>
      </c>
      <c r="L573" t="s">
        <v>33</v>
      </c>
      <c r="M573" t="s">
        <v>18</v>
      </c>
      <c r="N573">
        <v>0.4</v>
      </c>
      <c r="O573" t="str">
        <f t="shared" si="34"/>
        <v>Medium</v>
      </c>
      <c r="P573">
        <f t="shared" si="35"/>
        <v>300</v>
      </c>
      <c r="Q573" s="2">
        <f t="shared" si="36"/>
        <v>0.125</v>
      </c>
    </row>
    <row r="574" spans="1:17" x14ac:dyDescent="0.3">
      <c r="A574" s="3">
        <v>11</v>
      </c>
      <c r="B574" s="3">
        <v>3</v>
      </c>
      <c r="C574" s="6">
        <v>4.0999999999999996</v>
      </c>
      <c r="D574" t="s">
        <v>20</v>
      </c>
      <c r="E574" s="3">
        <v>7000</v>
      </c>
      <c r="F574" s="6">
        <v>4.4000000000000004</v>
      </c>
      <c r="G574" t="s">
        <v>21</v>
      </c>
      <c r="H574" s="2">
        <v>0.8</v>
      </c>
      <c r="I574" s="3">
        <v>900</v>
      </c>
      <c r="J574" s="3" t="str">
        <f t="shared" si="33"/>
        <v>Low Price</v>
      </c>
      <c r="K574" t="s">
        <v>9</v>
      </c>
      <c r="L574" t="s">
        <v>29</v>
      </c>
      <c r="M574" t="s">
        <v>34</v>
      </c>
      <c r="N574">
        <v>0.9</v>
      </c>
      <c r="O574" t="str">
        <f t="shared" si="34"/>
        <v>High</v>
      </c>
      <c r="P574">
        <f t="shared" si="35"/>
        <v>2700</v>
      </c>
      <c r="Q574" s="2">
        <f t="shared" si="36"/>
        <v>0.27272727272727271</v>
      </c>
    </row>
    <row r="575" spans="1:17" x14ac:dyDescent="0.3">
      <c r="A575" s="3">
        <v>25</v>
      </c>
      <c r="B575" s="3">
        <v>8</v>
      </c>
      <c r="C575" s="6">
        <v>4.8</v>
      </c>
      <c r="D575" t="s">
        <v>13</v>
      </c>
      <c r="E575" s="3">
        <v>10000</v>
      </c>
      <c r="F575" s="6">
        <v>4.9000000000000004</v>
      </c>
      <c r="G575" t="s">
        <v>118</v>
      </c>
      <c r="H575" s="2">
        <v>0.9</v>
      </c>
      <c r="I575" s="3">
        <v>600</v>
      </c>
      <c r="J575" s="3" t="str">
        <f t="shared" si="33"/>
        <v>Low Price</v>
      </c>
      <c r="K575" t="s">
        <v>9</v>
      </c>
      <c r="L575" t="s">
        <v>33</v>
      </c>
      <c r="M575" t="s">
        <v>25</v>
      </c>
      <c r="N575">
        <v>1</v>
      </c>
      <c r="O575" t="str">
        <f t="shared" si="34"/>
        <v>High</v>
      </c>
      <c r="P575">
        <f t="shared" si="35"/>
        <v>4800</v>
      </c>
      <c r="Q575" s="2">
        <f t="shared" si="36"/>
        <v>0.32</v>
      </c>
    </row>
    <row r="576" spans="1:17" x14ac:dyDescent="0.3">
      <c r="A576" s="3">
        <v>5</v>
      </c>
      <c r="B576" s="3">
        <v>2</v>
      </c>
      <c r="C576" s="6">
        <v>2.9</v>
      </c>
      <c r="D576" t="s">
        <v>20</v>
      </c>
      <c r="E576" s="3">
        <v>400</v>
      </c>
      <c r="F576" s="6">
        <v>3.1</v>
      </c>
      <c r="G576" t="s">
        <v>77</v>
      </c>
      <c r="H576" s="2">
        <v>-0.5</v>
      </c>
      <c r="I576" s="3">
        <v>400</v>
      </c>
      <c r="J576" s="3" t="str">
        <f t="shared" si="33"/>
        <v>Low Price</v>
      </c>
      <c r="K576" t="s">
        <v>179</v>
      </c>
      <c r="L576" t="s">
        <v>17</v>
      </c>
      <c r="M576" t="s">
        <v>18</v>
      </c>
      <c r="N576">
        <v>0.1</v>
      </c>
      <c r="O576" t="str">
        <f t="shared" si="34"/>
        <v>Low</v>
      </c>
      <c r="P576">
        <f t="shared" si="35"/>
        <v>800</v>
      </c>
      <c r="Q576" s="2">
        <f t="shared" si="36"/>
        <v>0.4</v>
      </c>
    </row>
    <row r="577" spans="1:17" x14ac:dyDescent="0.3">
      <c r="A577" s="3">
        <v>17</v>
      </c>
      <c r="B577" s="3">
        <v>6</v>
      </c>
      <c r="C577" s="6">
        <v>4.5</v>
      </c>
      <c r="D577" t="s">
        <v>13</v>
      </c>
      <c r="E577" s="3">
        <v>2000</v>
      </c>
      <c r="F577" s="6">
        <v>4.3</v>
      </c>
      <c r="G577" t="s">
        <v>66</v>
      </c>
      <c r="H577" s="2">
        <v>0.6</v>
      </c>
      <c r="I577" s="3">
        <v>700</v>
      </c>
      <c r="J577" s="3" t="str">
        <f t="shared" si="33"/>
        <v>Low Price</v>
      </c>
      <c r="K577" t="s">
        <v>9</v>
      </c>
      <c r="L577" t="s">
        <v>33</v>
      </c>
      <c r="M577" t="s">
        <v>18</v>
      </c>
      <c r="N577">
        <v>0.8</v>
      </c>
      <c r="O577" t="str">
        <f t="shared" si="34"/>
        <v>High</v>
      </c>
      <c r="P577">
        <f t="shared" si="35"/>
        <v>4200</v>
      </c>
      <c r="Q577" s="2">
        <f t="shared" si="36"/>
        <v>0.35294117647058826</v>
      </c>
    </row>
    <row r="578" spans="1:17" x14ac:dyDescent="0.3">
      <c r="A578" s="3">
        <v>29</v>
      </c>
      <c r="B578" s="3">
        <v>9</v>
      </c>
      <c r="C578" s="6">
        <v>4.7</v>
      </c>
      <c r="D578" t="s">
        <v>13</v>
      </c>
      <c r="E578" s="3">
        <v>700</v>
      </c>
      <c r="F578" s="6">
        <v>4.5999999999999996</v>
      </c>
      <c r="G578" t="s">
        <v>27</v>
      </c>
      <c r="H578" s="2">
        <v>0.7</v>
      </c>
      <c r="I578" s="3">
        <v>800</v>
      </c>
      <c r="J578" s="3" t="str">
        <f t="shared" ref="J578:J641" si="37">IF(I578&gt;5000, "High Price", IF(I578&gt;=1000, "Medium Price", IF(I578&lt;1000, "Low Price")))</f>
        <v>Low Price</v>
      </c>
      <c r="K578" t="s">
        <v>9</v>
      </c>
      <c r="L578" t="s">
        <v>33</v>
      </c>
      <c r="M578" t="s">
        <v>18</v>
      </c>
      <c r="N578">
        <v>0.8</v>
      </c>
      <c r="O578" t="str">
        <f t="shared" ref="O578:O641" si="38">IF(N578&gt;=0.8,"High",IF(N578&gt;=0.4,"Medium",IF(N578&lt;0.4,"Low")))</f>
        <v>High</v>
      </c>
      <c r="P578">
        <f t="shared" si="35"/>
        <v>7200</v>
      </c>
      <c r="Q578" s="2">
        <f t="shared" si="36"/>
        <v>0.31034482758620691</v>
      </c>
    </row>
    <row r="579" spans="1:17" x14ac:dyDescent="0.3">
      <c r="A579" s="3">
        <v>4</v>
      </c>
      <c r="B579" s="3">
        <v>0</v>
      </c>
      <c r="C579" s="6">
        <v>2</v>
      </c>
      <c r="D579" t="s">
        <v>20</v>
      </c>
      <c r="E579" s="3">
        <v>1000</v>
      </c>
      <c r="F579" s="6">
        <v>2.2999999999999998</v>
      </c>
      <c r="G579" t="s">
        <v>14</v>
      </c>
      <c r="H579" s="2">
        <v>-0.8</v>
      </c>
      <c r="I579" s="3">
        <v>200</v>
      </c>
      <c r="J579" s="3" t="str">
        <f t="shared" si="37"/>
        <v>Low Price</v>
      </c>
      <c r="K579" t="s">
        <v>179</v>
      </c>
      <c r="L579" t="s">
        <v>24</v>
      </c>
      <c r="M579" t="s">
        <v>34</v>
      </c>
      <c r="N579">
        <v>0.1</v>
      </c>
      <c r="O579" t="str">
        <f t="shared" si="38"/>
        <v>Low</v>
      </c>
      <c r="P579">
        <f t="shared" ref="P579:P642" si="39">I579*B579</f>
        <v>0</v>
      </c>
      <c r="Q579" s="2">
        <f t="shared" ref="Q579:Q642" si="40">B579/A579</f>
        <v>0</v>
      </c>
    </row>
    <row r="580" spans="1:17" x14ac:dyDescent="0.3">
      <c r="A580" s="3">
        <v>14</v>
      </c>
      <c r="B580" s="3">
        <v>4</v>
      </c>
      <c r="C580" s="6">
        <v>3.9</v>
      </c>
      <c r="D580" t="s">
        <v>13</v>
      </c>
      <c r="E580" s="3">
        <v>3000</v>
      </c>
      <c r="F580" s="6">
        <v>4.2</v>
      </c>
      <c r="G580" t="s">
        <v>115</v>
      </c>
      <c r="H580" s="2">
        <v>0.5</v>
      </c>
      <c r="I580" s="3">
        <v>900</v>
      </c>
      <c r="J580" s="3" t="str">
        <f t="shared" si="37"/>
        <v>Low Price</v>
      </c>
      <c r="K580" t="s">
        <v>179</v>
      </c>
      <c r="L580" t="s">
        <v>17</v>
      </c>
      <c r="M580" t="s">
        <v>18</v>
      </c>
      <c r="N580">
        <v>0.7</v>
      </c>
      <c r="O580" t="str">
        <f t="shared" si="38"/>
        <v>Medium</v>
      </c>
      <c r="P580">
        <f t="shared" si="39"/>
        <v>3600</v>
      </c>
      <c r="Q580" s="2">
        <f t="shared" si="40"/>
        <v>0.2857142857142857</v>
      </c>
    </row>
    <row r="581" spans="1:17" x14ac:dyDescent="0.3">
      <c r="A581" s="3">
        <v>6</v>
      </c>
      <c r="B581" s="3">
        <v>2</v>
      </c>
      <c r="C581" s="6">
        <v>3.2</v>
      </c>
      <c r="D581" t="s">
        <v>20</v>
      </c>
      <c r="E581" s="3">
        <v>4000</v>
      </c>
      <c r="F581" s="6">
        <v>3.5</v>
      </c>
      <c r="G581" t="s">
        <v>116</v>
      </c>
      <c r="H581" s="2">
        <v>0.1</v>
      </c>
      <c r="I581" s="3">
        <v>500</v>
      </c>
      <c r="J581" s="3" t="str">
        <f t="shared" si="37"/>
        <v>Low Price</v>
      </c>
      <c r="K581" t="s">
        <v>9</v>
      </c>
      <c r="L581" t="s">
        <v>33</v>
      </c>
      <c r="M581" t="s">
        <v>25</v>
      </c>
      <c r="N581">
        <v>0.3</v>
      </c>
      <c r="O581" t="str">
        <f t="shared" si="38"/>
        <v>Low</v>
      </c>
      <c r="P581">
        <f t="shared" si="39"/>
        <v>1000</v>
      </c>
      <c r="Q581" s="2">
        <f t="shared" si="40"/>
        <v>0.33333333333333331</v>
      </c>
    </row>
    <row r="582" spans="1:17" x14ac:dyDescent="0.3">
      <c r="A582" s="3">
        <v>19</v>
      </c>
      <c r="B582" s="3">
        <v>5</v>
      </c>
      <c r="C582" s="6">
        <v>4.2</v>
      </c>
      <c r="D582" t="s">
        <v>20</v>
      </c>
      <c r="E582" s="3">
        <v>6000</v>
      </c>
      <c r="F582" s="6">
        <v>4.7</v>
      </c>
      <c r="G582" t="s">
        <v>31</v>
      </c>
      <c r="H582" s="2">
        <v>0.8</v>
      </c>
      <c r="I582" s="3">
        <v>1000</v>
      </c>
      <c r="J582" s="3" t="str">
        <f t="shared" si="37"/>
        <v>Medium Price</v>
      </c>
      <c r="K582" t="s">
        <v>9</v>
      </c>
      <c r="L582" t="s">
        <v>17</v>
      </c>
      <c r="M582" t="s">
        <v>18</v>
      </c>
      <c r="N582">
        <v>0.9</v>
      </c>
      <c r="O582" t="str">
        <f t="shared" si="38"/>
        <v>High</v>
      </c>
      <c r="P582">
        <f t="shared" si="39"/>
        <v>5000</v>
      </c>
      <c r="Q582" s="2">
        <f t="shared" si="40"/>
        <v>0.26315789473684209</v>
      </c>
    </row>
    <row r="583" spans="1:17" x14ac:dyDescent="0.3">
      <c r="A583" s="3">
        <v>22</v>
      </c>
      <c r="B583" s="3">
        <v>10</v>
      </c>
      <c r="C583" s="6">
        <v>4.4000000000000004</v>
      </c>
      <c r="D583" t="s">
        <v>13</v>
      </c>
      <c r="E583" s="3">
        <v>1500</v>
      </c>
      <c r="F583" s="6">
        <v>4.5999999999999996</v>
      </c>
      <c r="G583" t="s">
        <v>62</v>
      </c>
      <c r="H583" s="2">
        <v>0.3</v>
      </c>
      <c r="I583" s="3">
        <v>300</v>
      </c>
      <c r="J583" s="3" t="str">
        <f t="shared" si="37"/>
        <v>Low Price</v>
      </c>
      <c r="K583" t="s">
        <v>9</v>
      </c>
      <c r="L583" t="s">
        <v>33</v>
      </c>
      <c r="M583" t="s">
        <v>34</v>
      </c>
      <c r="N583">
        <v>0.5</v>
      </c>
      <c r="O583" t="str">
        <f t="shared" si="38"/>
        <v>Medium</v>
      </c>
      <c r="P583">
        <f t="shared" si="39"/>
        <v>3000</v>
      </c>
      <c r="Q583" s="2">
        <f t="shared" si="40"/>
        <v>0.45454545454545453</v>
      </c>
    </row>
    <row r="584" spans="1:17" x14ac:dyDescent="0.3">
      <c r="A584" s="3">
        <v>12</v>
      </c>
      <c r="B584" s="3">
        <v>3</v>
      </c>
      <c r="C584" s="6">
        <v>3.8</v>
      </c>
      <c r="D584" t="s">
        <v>20</v>
      </c>
      <c r="E584" s="3">
        <v>5000</v>
      </c>
      <c r="F584" s="6">
        <v>3.9</v>
      </c>
      <c r="G584" t="s">
        <v>35</v>
      </c>
      <c r="H584" s="2">
        <v>0.6</v>
      </c>
      <c r="I584" s="3">
        <v>200</v>
      </c>
      <c r="J584" s="3" t="str">
        <f t="shared" si="37"/>
        <v>Low Price</v>
      </c>
      <c r="K584" t="s">
        <v>9</v>
      </c>
      <c r="L584" t="s">
        <v>24</v>
      </c>
      <c r="M584" t="s">
        <v>25</v>
      </c>
      <c r="N584">
        <v>0.7</v>
      </c>
      <c r="O584" t="str">
        <f t="shared" si="38"/>
        <v>Medium</v>
      </c>
      <c r="P584">
        <f t="shared" si="39"/>
        <v>600</v>
      </c>
      <c r="Q584" s="2">
        <f t="shared" si="40"/>
        <v>0.25</v>
      </c>
    </row>
    <row r="585" spans="1:17" x14ac:dyDescent="0.3">
      <c r="A585" s="3">
        <v>27</v>
      </c>
      <c r="B585" s="3">
        <v>13</v>
      </c>
      <c r="C585" s="6">
        <v>4.5999999999999996</v>
      </c>
      <c r="D585" t="s">
        <v>13</v>
      </c>
      <c r="E585" s="3">
        <v>8000</v>
      </c>
      <c r="F585" s="6">
        <v>4.8</v>
      </c>
      <c r="G585" t="s">
        <v>50</v>
      </c>
      <c r="H585" s="2">
        <v>0.9</v>
      </c>
      <c r="I585" s="3">
        <v>700</v>
      </c>
      <c r="J585" s="3" t="str">
        <f t="shared" si="37"/>
        <v>Low Price</v>
      </c>
      <c r="K585" t="s">
        <v>9</v>
      </c>
      <c r="L585" t="s">
        <v>17</v>
      </c>
      <c r="M585" t="s">
        <v>18</v>
      </c>
      <c r="N585">
        <v>0.9</v>
      </c>
      <c r="O585" t="str">
        <f t="shared" si="38"/>
        <v>High</v>
      </c>
      <c r="P585">
        <f t="shared" si="39"/>
        <v>9100</v>
      </c>
      <c r="Q585" s="2">
        <f t="shared" si="40"/>
        <v>0.48148148148148145</v>
      </c>
    </row>
    <row r="586" spans="1:17" x14ac:dyDescent="0.3">
      <c r="A586" s="3">
        <v>8</v>
      </c>
      <c r="B586" s="3">
        <v>2</v>
      </c>
      <c r="C586" s="6">
        <v>3</v>
      </c>
      <c r="D586" t="s">
        <v>20</v>
      </c>
      <c r="E586" s="3">
        <v>200</v>
      </c>
      <c r="F586" s="6">
        <v>3.4</v>
      </c>
      <c r="G586" t="s">
        <v>117</v>
      </c>
      <c r="H586" s="2">
        <v>-0.2</v>
      </c>
      <c r="I586" s="3">
        <v>600</v>
      </c>
      <c r="J586" s="3" t="str">
        <f t="shared" si="37"/>
        <v>Low Price</v>
      </c>
      <c r="K586" t="s">
        <v>9</v>
      </c>
      <c r="L586" t="s">
        <v>33</v>
      </c>
      <c r="M586" t="s">
        <v>34</v>
      </c>
      <c r="N586">
        <v>0.4</v>
      </c>
      <c r="O586" t="str">
        <f t="shared" si="38"/>
        <v>Medium</v>
      </c>
      <c r="P586">
        <f t="shared" si="39"/>
        <v>1200</v>
      </c>
      <c r="Q586" s="2">
        <f t="shared" si="40"/>
        <v>0.25</v>
      </c>
    </row>
    <row r="587" spans="1:17" x14ac:dyDescent="0.3">
      <c r="A587" s="3">
        <v>36</v>
      </c>
      <c r="B587" s="3">
        <v>15</v>
      </c>
      <c r="C587" s="6">
        <v>4.9000000000000004</v>
      </c>
      <c r="D587" t="s">
        <v>13</v>
      </c>
      <c r="E587" s="3">
        <v>900</v>
      </c>
      <c r="F587" s="6">
        <v>4.8</v>
      </c>
      <c r="G587" t="s">
        <v>42</v>
      </c>
      <c r="H587" s="2">
        <v>0.8</v>
      </c>
      <c r="I587" s="3">
        <v>800</v>
      </c>
      <c r="J587" s="3" t="str">
        <f t="shared" si="37"/>
        <v>Low Price</v>
      </c>
      <c r="K587" t="s">
        <v>9</v>
      </c>
      <c r="L587" t="s">
        <v>33</v>
      </c>
      <c r="M587" t="s">
        <v>25</v>
      </c>
      <c r="N587">
        <v>0.9</v>
      </c>
      <c r="O587" t="str">
        <f t="shared" si="38"/>
        <v>High</v>
      </c>
      <c r="P587">
        <f t="shared" si="39"/>
        <v>12000</v>
      </c>
      <c r="Q587" s="2">
        <f t="shared" si="40"/>
        <v>0.41666666666666669</v>
      </c>
    </row>
    <row r="588" spans="1:17" x14ac:dyDescent="0.3">
      <c r="A588" s="3">
        <v>15</v>
      </c>
      <c r="B588" s="3">
        <v>5</v>
      </c>
      <c r="C588" s="6">
        <v>3.8</v>
      </c>
      <c r="D588" t="s">
        <v>20</v>
      </c>
      <c r="E588" s="3">
        <v>300</v>
      </c>
      <c r="F588" s="6">
        <v>3.6</v>
      </c>
      <c r="G588" t="s">
        <v>68</v>
      </c>
      <c r="H588" s="2">
        <v>0.2</v>
      </c>
      <c r="I588" s="3">
        <v>900</v>
      </c>
      <c r="J588" s="3" t="str">
        <f t="shared" si="37"/>
        <v>Low Price</v>
      </c>
      <c r="K588" t="s">
        <v>179</v>
      </c>
      <c r="L588" t="s">
        <v>17</v>
      </c>
      <c r="M588" t="s">
        <v>18</v>
      </c>
      <c r="N588">
        <v>0.5</v>
      </c>
      <c r="O588" t="str">
        <f t="shared" si="38"/>
        <v>Medium</v>
      </c>
      <c r="P588">
        <f t="shared" si="39"/>
        <v>4500</v>
      </c>
      <c r="Q588" s="2">
        <f t="shared" si="40"/>
        <v>0.33333333333333331</v>
      </c>
    </row>
    <row r="589" spans="1:17" x14ac:dyDescent="0.3">
      <c r="A589" s="3">
        <v>10</v>
      </c>
      <c r="B589" s="3">
        <v>3</v>
      </c>
      <c r="C589" s="6">
        <v>3.5</v>
      </c>
      <c r="D589" t="s">
        <v>13</v>
      </c>
      <c r="E589" s="3">
        <v>6000</v>
      </c>
      <c r="F589" s="6">
        <v>3.7</v>
      </c>
      <c r="G589" t="s">
        <v>73</v>
      </c>
      <c r="H589" s="2">
        <v>0.5</v>
      </c>
      <c r="I589" s="3">
        <v>400</v>
      </c>
      <c r="J589" s="3" t="str">
        <f t="shared" si="37"/>
        <v>Low Price</v>
      </c>
      <c r="K589" t="s">
        <v>9</v>
      </c>
      <c r="L589" t="s">
        <v>29</v>
      </c>
      <c r="M589" t="s">
        <v>18</v>
      </c>
      <c r="N589">
        <v>0.6</v>
      </c>
      <c r="O589" t="str">
        <f t="shared" si="38"/>
        <v>Medium</v>
      </c>
      <c r="P589">
        <f t="shared" si="39"/>
        <v>1200</v>
      </c>
      <c r="Q589" s="2">
        <f t="shared" si="40"/>
        <v>0.3</v>
      </c>
    </row>
    <row r="590" spans="1:17" x14ac:dyDescent="0.3">
      <c r="A590" s="3">
        <v>24</v>
      </c>
      <c r="B590" s="3">
        <v>8</v>
      </c>
      <c r="C590" s="6">
        <v>4.3</v>
      </c>
      <c r="D590" t="s">
        <v>20</v>
      </c>
      <c r="E590" s="3">
        <v>2000</v>
      </c>
      <c r="F590" s="6">
        <v>4.5</v>
      </c>
      <c r="G590" t="s">
        <v>95</v>
      </c>
      <c r="H590" s="2">
        <v>0.7</v>
      </c>
      <c r="I590" s="3">
        <v>800</v>
      </c>
      <c r="J590" s="3" t="str">
        <f t="shared" si="37"/>
        <v>Low Price</v>
      </c>
      <c r="K590" t="s">
        <v>9</v>
      </c>
      <c r="L590" t="s">
        <v>33</v>
      </c>
      <c r="M590" t="s">
        <v>34</v>
      </c>
      <c r="N590">
        <v>0.9</v>
      </c>
      <c r="O590" t="str">
        <f t="shared" si="38"/>
        <v>High</v>
      </c>
      <c r="P590">
        <f t="shared" si="39"/>
        <v>6400</v>
      </c>
      <c r="Q590" s="2">
        <f t="shared" si="40"/>
        <v>0.33333333333333331</v>
      </c>
    </row>
    <row r="591" spans="1:17" x14ac:dyDescent="0.3">
      <c r="A591" s="3">
        <v>31</v>
      </c>
      <c r="B591" s="3">
        <v>12</v>
      </c>
      <c r="C591" s="6">
        <v>4.8</v>
      </c>
      <c r="D591" t="s">
        <v>13</v>
      </c>
      <c r="E591" s="3">
        <v>4000</v>
      </c>
      <c r="F591" s="6">
        <v>4.7</v>
      </c>
      <c r="G591" t="s">
        <v>57</v>
      </c>
      <c r="H591" s="2">
        <v>0.9</v>
      </c>
      <c r="I591" s="3">
        <v>600</v>
      </c>
      <c r="J591" s="3" t="str">
        <f t="shared" si="37"/>
        <v>Low Price</v>
      </c>
      <c r="K591" t="s">
        <v>9</v>
      </c>
      <c r="L591" t="s">
        <v>33</v>
      </c>
      <c r="M591" t="s">
        <v>18</v>
      </c>
      <c r="N591">
        <v>1</v>
      </c>
      <c r="O591" t="str">
        <f t="shared" si="38"/>
        <v>High</v>
      </c>
      <c r="P591">
        <f t="shared" si="39"/>
        <v>7200</v>
      </c>
      <c r="Q591" s="2">
        <f t="shared" si="40"/>
        <v>0.38709677419354838</v>
      </c>
    </row>
    <row r="592" spans="1:17" x14ac:dyDescent="0.3">
      <c r="A592" s="3">
        <v>3</v>
      </c>
      <c r="B592" s="3">
        <v>1</v>
      </c>
      <c r="C592" s="6">
        <v>2.5</v>
      </c>
      <c r="D592" t="s">
        <v>13</v>
      </c>
      <c r="E592" s="3">
        <v>300</v>
      </c>
      <c r="F592" s="6">
        <v>2.7</v>
      </c>
      <c r="G592" t="s">
        <v>72</v>
      </c>
      <c r="H592" s="2">
        <v>-0.7</v>
      </c>
      <c r="I592" s="3">
        <v>500</v>
      </c>
      <c r="J592" s="3" t="str">
        <f t="shared" si="37"/>
        <v>Low Price</v>
      </c>
      <c r="K592" t="s">
        <v>179</v>
      </c>
      <c r="L592" t="s">
        <v>33</v>
      </c>
      <c r="M592" t="s">
        <v>25</v>
      </c>
      <c r="N592">
        <v>0.1</v>
      </c>
      <c r="O592" t="str">
        <f t="shared" si="38"/>
        <v>Low</v>
      </c>
      <c r="P592">
        <f t="shared" si="39"/>
        <v>500</v>
      </c>
      <c r="Q592" s="2">
        <f t="shared" si="40"/>
        <v>0.33333333333333331</v>
      </c>
    </row>
    <row r="593" spans="1:17" x14ac:dyDescent="0.3">
      <c r="A593" s="3">
        <v>16</v>
      </c>
      <c r="B593" s="3">
        <v>4</v>
      </c>
      <c r="C593" s="6">
        <v>3.6</v>
      </c>
      <c r="D593" t="s">
        <v>20</v>
      </c>
      <c r="E593" s="3">
        <v>8000</v>
      </c>
      <c r="F593" s="6">
        <v>3.8</v>
      </c>
      <c r="G593" t="s">
        <v>78</v>
      </c>
      <c r="H593" s="2">
        <v>0.1</v>
      </c>
      <c r="I593" s="3">
        <v>200</v>
      </c>
      <c r="J593" s="3" t="str">
        <f t="shared" si="37"/>
        <v>Low Price</v>
      </c>
      <c r="K593" t="s">
        <v>9</v>
      </c>
      <c r="L593" t="s">
        <v>17</v>
      </c>
      <c r="M593" t="s">
        <v>34</v>
      </c>
      <c r="N593">
        <v>0.2</v>
      </c>
      <c r="O593" t="str">
        <f t="shared" si="38"/>
        <v>Low</v>
      </c>
      <c r="P593">
        <f t="shared" si="39"/>
        <v>800</v>
      </c>
      <c r="Q593" s="2">
        <f t="shared" si="40"/>
        <v>0.25</v>
      </c>
    </row>
    <row r="594" spans="1:17" x14ac:dyDescent="0.3">
      <c r="A594" s="3">
        <v>9</v>
      </c>
      <c r="B594" s="3">
        <v>2</v>
      </c>
      <c r="C594" s="6">
        <v>3</v>
      </c>
      <c r="D594" t="s">
        <v>13</v>
      </c>
      <c r="E594" s="3">
        <v>700</v>
      </c>
      <c r="F594" s="6">
        <v>3.3</v>
      </c>
      <c r="G594" t="s">
        <v>55</v>
      </c>
      <c r="H594" s="2">
        <v>-0.3</v>
      </c>
      <c r="I594" s="3">
        <v>100</v>
      </c>
      <c r="J594" s="3" t="str">
        <f t="shared" si="37"/>
        <v>Low Price</v>
      </c>
      <c r="K594" t="s">
        <v>179</v>
      </c>
      <c r="L594" t="s">
        <v>33</v>
      </c>
      <c r="M594" t="s">
        <v>18</v>
      </c>
      <c r="N594">
        <v>0.2</v>
      </c>
      <c r="O594" t="str">
        <f t="shared" si="38"/>
        <v>Low</v>
      </c>
      <c r="P594">
        <f t="shared" si="39"/>
        <v>200</v>
      </c>
      <c r="Q594" s="2">
        <f t="shared" si="40"/>
        <v>0.22222222222222221</v>
      </c>
    </row>
    <row r="595" spans="1:17" x14ac:dyDescent="0.3">
      <c r="A595" s="3">
        <v>39</v>
      </c>
      <c r="B595" s="3">
        <v>17</v>
      </c>
      <c r="C595" s="6">
        <v>4.8</v>
      </c>
      <c r="D595" t="s">
        <v>20</v>
      </c>
      <c r="E595" s="3">
        <v>8000</v>
      </c>
      <c r="F595" s="6">
        <v>4.8</v>
      </c>
      <c r="G595" t="s">
        <v>99</v>
      </c>
      <c r="H595" s="2">
        <v>0.9</v>
      </c>
      <c r="I595" s="3">
        <v>500</v>
      </c>
      <c r="J595" s="3" t="str">
        <f t="shared" si="37"/>
        <v>Low Price</v>
      </c>
      <c r="K595" t="s">
        <v>9</v>
      </c>
      <c r="L595" t="s">
        <v>29</v>
      </c>
      <c r="M595" t="s">
        <v>34</v>
      </c>
      <c r="N595">
        <v>1</v>
      </c>
      <c r="O595" t="str">
        <f t="shared" si="38"/>
        <v>High</v>
      </c>
      <c r="P595">
        <f t="shared" si="39"/>
        <v>8500</v>
      </c>
      <c r="Q595" s="2">
        <f t="shared" si="40"/>
        <v>0.4358974358974359</v>
      </c>
    </row>
    <row r="596" spans="1:17" x14ac:dyDescent="0.3">
      <c r="A596" s="3">
        <v>7</v>
      </c>
      <c r="B596" s="3">
        <v>1</v>
      </c>
      <c r="C596" s="6">
        <v>2.8</v>
      </c>
      <c r="D596" t="s">
        <v>13</v>
      </c>
      <c r="E596" s="3">
        <v>500</v>
      </c>
      <c r="F596" s="6">
        <v>3</v>
      </c>
      <c r="G596" t="s">
        <v>69</v>
      </c>
      <c r="H596" s="2">
        <v>-0.6</v>
      </c>
      <c r="I596" s="3">
        <v>300</v>
      </c>
      <c r="J596" s="3" t="str">
        <f t="shared" si="37"/>
        <v>Low Price</v>
      </c>
      <c r="K596" t="s">
        <v>179</v>
      </c>
      <c r="L596" t="s">
        <v>17</v>
      </c>
      <c r="M596" t="s">
        <v>18</v>
      </c>
      <c r="N596">
        <v>0.1</v>
      </c>
      <c r="O596" t="str">
        <f t="shared" si="38"/>
        <v>Low</v>
      </c>
      <c r="P596">
        <f t="shared" si="39"/>
        <v>300</v>
      </c>
      <c r="Q596" s="2">
        <f t="shared" si="40"/>
        <v>0.14285714285714285</v>
      </c>
    </row>
    <row r="597" spans="1:17" x14ac:dyDescent="0.3">
      <c r="A597" s="3">
        <v>20</v>
      </c>
      <c r="B597" s="3">
        <v>6</v>
      </c>
      <c r="C597" s="6">
        <v>4.0999999999999996</v>
      </c>
      <c r="D597" t="s">
        <v>20</v>
      </c>
      <c r="E597" s="3">
        <v>4000</v>
      </c>
      <c r="F597" s="6">
        <v>4.2</v>
      </c>
      <c r="G597" t="s">
        <v>37</v>
      </c>
      <c r="H597" s="2">
        <v>0.4</v>
      </c>
      <c r="I597" s="3">
        <v>700</v>
      </c>
      <c r="J597" s="3" t="str">
        <f t="shared" si="37"/>
        <v>Low Price</v>
      </c>
      <c r="K597" t="s">
        <v>9</v>
      </c>
      <c r="L597" t="s">
        <v>33</v>
      </c>
      <c r="M597" t="s">
        <v>25</v>
      </c>
      <c r="N597">
        <v>0.7</v>
      </c>
      <c r="O597" t="str">
        <f t="shared" si="38"/>
        <v>Medium</v>
      </c>
      <c r="P597">
        <f t="shared" si="39"/>
        <v>4200</v>
      </c>
      <c r="Q597" s="2">
        <f t="shared" si="40"/>
        <v>0.3</v>
      </c>
    </row>
    <row r="598" spans="1:17" x14ac:dyDescent="0.3">
      <c r="A598" s="3">
        <v>23</v>
      </c>
      <c r="B598" s="3">
        <v>7</v>
      </c>
      <c r="C598" s="6">
        <v>4.7</v>
      </c>
      <c r="D598" t="s">
        <v>20</v>
      </c>
      <c r="E598" s="3">
        <v>600</v>
      </c>
      <c r="F598" s="6">
        <v>4.5999999999999996</v>
      </c>
      <c r="G598" t="s">
        <v>82</v>
      </c>
      <c r="H598" s="2">
        <v>0.8</v>
      </c>
      <c r="I598" s="3">
        <v>400</v>
      </c>
      <c r="J598" s="3" t="str">
        <f t="shared" si="37"/>
        <v>Low Price</v>
      </c>
      <c r="K598" t="s">
        <v>9</v>
      </c>
      <c r="L598" t="s">
        <v>17</v>
      </c>
      <c r="M598" t="s">
        <v>18</v>
      </c>
      <c r="N598">
        <v>0.8</v>
      </c>
      <c r="O598" t="str">
        <f t="shared" si="38"/>
        <v>High</v>
      </c>
      <c r="P598">
        <f t="shared" si="39"/>
        <v>2800</v>
      </c>
      <c r="Q598" s="2">
        <f t="shared" si="40"/>
        <v>0.30434782608695654</v>
      </c>
    </row>
    <row r="599" spans="1:17" x14ac:dyDescent="0.3">
      <c r="A599" s="3">
        <v>35</v>
      </c>
      <c r="B599" s="3">
        <v>12</v>
      </c>
      <c r="C599" s="6">
        <v>4.4000000000000004</v>
      </c>
      <c r="D599" t="s">
        <v>13</v>
      </c>
      <c r="E599" s="3">
        <v>2000</v>
      </c>
      <c r="F599" s="6">
        <v>4.3</v>
      </c>
      <c r="G599" t="s">
        <v>48</v>
      </c>
      <c r="H599" s="2">
        <v>0.5</v>
      </c>
      <c r="I599" s="3">
        <v>300</v>
      </c>
      <c r="J599" s="3" t="str">
        <f t="shared" si="37"/>
        <v>Low Price</v>
      </c>
      <c r="K599" t="s">
        <v>179</v>
      </c>
      <c r="L599" t="s">
        <v>33</v>
      </c>
      <c r="M599" t="s">
        <v>34</v>
      </c>
      <c r="N599">
        <v>0.7</v>
      </c>
      <c r="O599" t="str">
        <f t="shared" si="38"/>
        <v>Medium</v>
      </c>
      <c r="P599">
        <f t="shared" si="39"/>
        <v>3600</v>
      </c>
      <c r="Q599" s="2">
        <f t="shared" si="40"/>
        <v>0.34285714285714286</v>
      </c>
    </row>
    <row r="600" spans="1:17" x14ac:dyDescent="0.3">
      <c r="A600" s="3">
        <v>10</v>
      </c>
      <c r="B600" s="3">
        <v>2</v>
      </c>
      <c r="C600" s="6">
        <v>3.6</v>
      </c>
      <c r="D600" t="s">
        <v>13</v>
      </c>
      <c r="E600" s="3">
        <v>5000</v>
      </c>
      <c r="F600" s="6">
        <v>3.8</v>
      </c>
      <c r="G600" t="s">
        <v>75</v>
      </c>
      <c r="H600" s="2">
        <v>0.2</v>
      </c>
      <c r="I600" s="3">
        <v>800</v>
      </c>
      <c r="J600" s="3" t="str">
        <f t="shared" si="37"/>
        <v>Low Price</v>
      </c>
      <c r="K600" t="s">
        <v>9</v>
      </c>
      <c r="L600" t="s">
        <v>33</v>
      </c>
      <c r="M600" t="s">
        <v>25</v>
      </c>
      <c r="N600">
        <v>0.5</v>
      </c>
      <c r="O600" t="str">
        <f t="shared" si="38"/>
        <v>Medium</v>
      </c>
      <c r="P600">
        <f t="shared" si="39"/>
        <v>1600</v>
      </c>
      <c r="Q600" s="2">
        <f t="shared" si="40"/>
        <v>0.2</v>
      </c>
    </row>
    <row r="601" spans="1:17" x14ac:dyDescent="0.3">
      <c r="A601" s="3">
        <v>13</v>
      </c>
      <c r="B601" s="3">
        <v>4</v>
      </c>
      <c r="C601" s="6">
        <v>4</v>
      </c>
      <c r="D601" t="s">
        <v>20</v>
      </c>
      <c r="E601" s="3">
        <v>9000</v>
      </c>
      <c r="F601" s="6">
        <v>4.5</v>
      </c>
      <c r="G601" t="s">
        <v>21</v>
      </c>
      <c r="H601" s="2">
        <v>0.9</v>
      </c>
      <c r="I601" s="3">
        <v>600</v>
      </c>
      <c r="J601" s="3" t="str">
        <f t="shared" si="37"/>
        <v>Low Price</v>
      </c>
      <c r="K601" t="s">
        <v>9</v>
      </c>
      <c r="L601" t="s">
        <v>17</v>
      </c>
      <c r="M601" t="s">
        <v>34</v>
      </c>
      <c r="N601">
        <v>0.9</v>
      </c>
      <c r="O601" t="str">
        <f t="shared" si="38"/>
        <v>High</v>
      </c>
      <c r="P601">
        <f t="shared" si="39"/>
        <v>2400</v>
      </c>
      <c r="Q601" s="2">
        <f t="shared" si="40"/>
        <v>0.30769230769230771</v>
      </c>
    </row>
    <row r="602" spans="1:17" x14ac:dyDescent="0.3">
      <c r="A602" s="3">
        <v>26</v>
      </c>
      <c r="B602" s="3">
        <v>9</v>
      </c>
      <c r="C602" s="6">
        <v>4.8</v>
      </c>
      <c r="D602" t="s">
        <v>13</v>
      </c>
      <c r="E602" s="3">
        <v>10000</v>
      </c>
      <c r="F602" s="6">
        <v>4.9000000000000004</v>
      </c>
      <c r="G602" t="s">
        <v>118</v>
      </c>
      <c r="H602" s="2">
        <v>0.9</v>
      </c>
      <c r="I602" s="3">
        <v>900</v>
      </c>
      <c r="J602" s="3" t="str">
        <f t="shared" si="37"/>
        <v>Low Price</v>
      </c>
      <c r="K602" t="s">
        <v>9</v>
      </c>
      <c r="L602" t="s">
        <v>29</v>
      </c>
      <c r="M602" t="s">
        <v>25</v>
      </c>
      <c r="N602">
        <v>1</v>
      </c>
      <c r="O602" t="str">
        <f t="shared" si="38"/>
        <v>High</v>
      </c>
      <c r="P602">
        <f t="shared" si="39"/>
        <v>8100</v>
      </c>
      <c r="Q602" s="2">
        <f t="shared" si="40"/>
        <v>0.34615384615384615</v>
      </c>
    </row>
    <row r="603" spans="1:17" x14ac:dyDescent="0.3">
      <c r="A603" s="3">
        <v>6</v>
      </c>
      <c r="B603" s="3">
        <v>1</v>
      </c>
      <c r="C603" s="6">
        <v>2.8</v>
      </c>
      <c r="D603" t="s">
        <v>20</v>
      </c>
      <c r="E603" s="3">
        <v>300</v>
      </c>
      <c r="F603" s="6">
        <v>3</v>
      </c>
      <c r="G603" t="s">
        <v>77</v>
      </c>
      <c r="H603" s="2">
        <v>-0.4</v>
      </c>
      <c r="I603" s="3">
        <v>200</v>
      </c>
      <c r="J603" s="3" t="str">
        <f t="shared" si="37"/>
        <v>Low Price</v>
      </c>
      <c r="K603" t="s">
        <v>179</v>
      </c>
      <c r="L603" t="s">
        <v>33</v>
      </c>
      <c r="M603" t="s">
        <v>18</v>
      </c>
      <c r="N603">
        <v>0.1</v>
      </c>
      <c r="O603" t="str">
        <f t="shared" si="38"/>
        <v>Low</v>
      </c>
      <c r="P603">
        <f t="shared" si="39"/>
        <v>200</v>
      </c>
      <c r="Q603" s="2">
        <f t="shared" si="40"/>
        <v>0.16666666666666666</v>
      </c>
    </row>
    <row r="604" spans="1:17" x14ac:dyDescent="0.3">
      <c r="A604" s="3">
        <v>18</v>
      </c>
      <c r="B604" s="3">
        <v>7</v>
      </c>
      <c r="C604" s="6">
        <v>4.5999999999999996</v>
      </c>
      <c r="D604" t="s">
        <v>13</v>
      </c>
      <c r="E604" s="3">
        <v>1500</v>
      </c>
      <c r="F604" s="6">
        <v>4.4000000000000004</v>
      </c>
      <c r="G604" t="s">
        <v>66</v>
      </c>
      <c r="H604" s="2">
        <v>0.7</v>
      </c>
      <c r="I604" s="3">
        <v>400</v>
      </c>
      <c r="J604" s="3" t="str">
        <f t="shared" si="37"/>
        <v>Low Price</v>
      </c>
      <c r="K604" t="s">
        <v>9</v>
      </c>
      <c r="L604" t="s">
        <v>33</v>
      </c>
      <c r="M604" t="s">
        <v>18</v>
      </c>
      <c r="N604">
        <v>0.8</v>
      </c>
      <c r="O604" t="str">
        <f t="shared" si="38"/>
        <v>High</v>
      </c>
      <c r="P604">
        <f t="shared" si="39"/>
        <v>2800</v>
      </c>
      <c r="Q604" s="2">
        <f t="shared" si="40"/>
        <v>0.3888888888888889</v>
      </c>
    </row>
    <row r="605" spans="1:17" x14ac:dyDescent="0.3">
      <c r="A605" s="3">
        <v>30</v>
      </c>
      <c r="B605" s="3">
        <v>10</v>
      </c>
      <c r="C605" s="6">
        <v>4.5</v>
      </c>
      <c r="D605" t="s">
        <v>13</v>
      </c>
      <c r="E605" s="3">
        <v>800</v>
      </c>
      <c r="F605" s="6">
        <v>4.5999999999999996</v>
      </c>
      <c r="G605" t="s">
        <v>27</v>
      </c>
      <c r="H605" s="2">
        <v>0.8</v>
      </c>
      <c r="I605" s="3">
        <v>500</v>
      </c>
      <c r="J605" s="3" t="str">
        <f t="shared" si="37"/>
        <v>Low Price</v>
      </c>
      <c r="K605" t="s">
        <v>9</v>
      </c>
      <c r="L605" t="s">
        <v>24</v>
      </c>
      <c r="M605" t="s">
        <v>18</v>
      </c>
      <c r="N605">
        <v>0.8</v>
      </c>
      <c r="O605" t="str">
        <f t="shared" si="38"/>
        <v>High</v>
      </c>
      <c r="P605">
        <f t="shared" si="39"/>
        <v>5000</v>
      </c>
      <c r="Q605" s="2">
        <f t="shared" si="40"/>
        <v>0.33333333333333331</v>
      </c>
    </row>
    <row r="606" spans="1:17" x14ac:dyDescent="0.3">
      <c r="A606" s="3">
        <v>5</v>
      </c>
      <c r="B606" s="3">
        <v>0</v>
      </c>
      <c r="C606" s="6">
        <v>1.8</v>
      </c>
      <c r="D606" t="s">
        <v>20</v>
      </c>
      <c r="E606" s="3">
        <v>1500</v>
      </c>
      <c r="F606" s="6">
        <v>2.2000000000000002</v>
      </c>
      <c r="G606" t="s">
        <v>14</v>
      </c>
      <c r="H606" s="2">
        <v>-0.9</v>
      </c>
      <c r="I606" s="3">
        <v>100</v>
      </c>
      <c r="J606" s="3" t="str">
        <f t="shared" si="37"/>
        <v>Low Price</v>
      </c>
      <c r="K606" t="s">
        <v>179</v>
      </c>
      <c r="L606" t="s">
        <v>33</v>
      </c>
      <c r="M606" t="s">
        <v>34</v>
      </c>
      <c r="N606">
        <v>0</v>
      </c>
      <c r="O606" t="str">
        <f t="shared" si="38"/>
        <v>Low</v>
      </c>
      <c r="P606">
        <f t="shared" si="39"/>
        <v>0</v>
      </c>
      <c r="Q606" s="2">
        <f t="shared" si="40"/>
        <v>0</v>
      </c>
    </row>
    <row r="607" spans="1:17" x14ac:dyDescent="0.3">
      <c r="A607" s="3">
        <v>16</v>
      </c>
      <c r="B607" s="3">
        <v>5</v>
      </c>
      <c r="C607" s="6">
        <v>3.8</v>
      </c>
      <c r="D607" t="s">
        <v>13</v>
      </c>
      <c r="E607" s="3">
        <v>4000</v>
      </c>
      <c r="F607" s="6">
        <v>4.0999999999999996</v>
      </c>
      <c r="G607" t="s">
        <v>115</v>
      </c>
      <c r="H607" s="2">
        <v>0.4</v>
      </c>
      <c r="I607" s="3">
        <v>700</v>
      </c>
      <c r="J607" s="3" t="str">
        <f t="shared" si="37"/>
        <v>Low Price</v>
      </c>
      <c r="K607" t="s">
        <v>9</v>
      </c>
      <c r="L607" t="s">
        <v>33</v>
      </c>
      <c r="M607" t="s">
        <v>25</v>
      </c>
      <c r="N607">
        <v>0.7</v>
      </c>
      <c r="O607" t="str">
        <f t="shared" si="38"/>
        <v>Medium</v>
      </c>
      <c r="P607">
        <f t="shared" si="39"/>
        <v>3500</v>
      </c>
      <c r="Q607" s="2">
        <f t="shared" si="40"/>
        <v>0.3125</v>
      </c>
    </row>
    <row r="608" spans="1:17" x14ac:dyDescent="0.3">
      <c r="A608" s="3">
        <v>7</v>
      </c>
      <c r="B608" s="3">
        <v>2</v>
      </c>
      <c r="C608" s="6">
        <v>3.1</v>
      </c>
      <c r="D608" t="s">
        <v>20</v>
      </c>
      <c r="E608" s="3">
        <v>5000</v>
      </c>
      <c r="F608" s="6">
        <v>3.3</v>
      </c>
      <c r="G608" t="s">
        <v>116</v>
      </c>
      <c r="H608" s="2">
        <v>0.1</v>
      </c>
      <c r="I608" s="3">
        <v>300</v>
      </c>
      <c r="J608" s="3" t="str">
        <f t="shared" si="37"/>
        <v>Low Price</v>
      </c>
      <c r="K608" t="s">
        <v>9</v>
      </c>
      <c r="L608" t="s">
        <v>17</v>
      </c>
      <c r="M608" t="s">
        <v>34</v>
      </c>
      <c r="N608">
        <v>0.4</v>
      </c>
      <c r="O608" t="str">
        <f t="shared" si="38"/>
        <v>Medium</v>
      </c>
      <c r="P608">
        <f t="shared" si="39"/>
        <v>600</v>
      </c>
      <c r="Q608" s="2">
        <f t="shared" si="40"/>
        <v>0.2857142857142857</v>
      </c>
    </row>
    <row r="609" spans="1:17" x14ac:dyDescent="0.3">
      <c r="A609" s="3">
        <v>20</v>
      </c>
      <c r="B609" s="3">
        <v>6</v>
      </c>
      <c r="C609" s="6">
        <v>4.3</v>
      </c>
      <c r="D609" t="s">
        <v>20</v>
      </c>
      <c r="E609" s="3">
        <v>700</v>
      </c>
      <c r="F609" s="6">
        <v>4.7</v>
      </c>
      <c r="G609" t="s">
        <v>31</v>
      </c>
      <c r="H609" s="2">
        <v>0.8</v>
      </c>
      <c r="I609" s="3">
        <v>800</v>
      </c>
      <c r="J609" s="3" t="str">
        <f t="shared" si="37"/>
        <v>Low Price</v>
      </c>
      <c r="K609" t="s">
        <v>9</v>
      </c>
      <c r="L609" t="s">
        <v>33</v>
      </c>
      <c r="M609" t="s">
        <v>18</v>
      </c>
      <c r="N609">
        <v>0.9</v>
      </c>
      <c r="O609" t="str">
        <f t="shared" si="38"/>
        <v>High</v>
      </c>
      <c r="P609">
        <f t="shared" si="39"/>
        <v>4800</v>
      </c>
      <c r="Q609" s="2">
        <f t="shared" si="40"/>
        <v>0.3</v>
      </c>
    </row>
    <row r="610" spans="1:17" x14ac:dyDescent="0.3">
      <c r="A610" s="3">
        <v>24</v>
      </c>
      <c r="B610" s="3">
        <v>8</v>
      </c>
      <c r="C610" s="6">
        <v>4.5</v>
      </c>
      <c r="D610" t="s">
        <v>13</v>
      </c>
      <c r="E610" s="3">
        <v>1000</v>
      </c>
      <c r="F610" s="6">
        <v>4.7</v>
      </c>
      <c r="G610" t="s">
        <v>62</v>
      </c>
      <c r="H610" s="2">
        <v>0.4</v>
      </c>
      <c r="I610" s="3">
        <v>600</v>
      </c>
      <c r="J610" s="3" t="str">
        <f t="shared" si="37"/>
        <v>Low Price</v>
      </c>
      <c r="K610" t="s">
        <v>9</v>
      </c>
      <c r="L610" t="s">
        <v>17</v>
      </c>
      <c r="M610" t="s">
        <v>18</v>
      </c>
      <c r="N610">
        <v>0.6</v>
      </c>
      <c r="O610" t="str">
        <f t="shared" si="38"/>
        <v>Medium</v>
      </c>
      <c r="P610">
        <f t="shared" si="39"/>
        <v>4800</v>
      </c>
      <c r="Q610" s="2">
        <f t="shared" si="40"/>
        <v>0.33333333333333331</v>
      </c>
    </row>
    <row r="611" spans="1:17" x14ac:dyDescent="0.3">
      <c r="A611" s="3">
        <v>14</v>
      </c>
      <c r="B611" s="3">
        <v>4</v>
      </c>
      <c r="C611" s="6">
        <v>3.9</v>
      </c>
      <c r="D611" t="s">
        <v>20</v>
      </c>
      <c r="E611" s="3">
        <v>6000</v>
      </c>
      <c r="F611" s="6">
        <v>4</v>
      </c>
      <c r="G611" t="s">
        <v>35</v>
      </c>
      <c r="H611" s="2">
        <v>0.6</v>
      </c>
      <c r="I611" s="3">
        <v>200</v>
      </c>
      <c r="J611" s="3" t="str">
        <f t="shared" si="37"/>
        <v>Low Price</v>
      </c>
      <c r="K611" t="s">
        <v>9</v>
      </c>
      <c r="L611" t="s">
        <v>33</v>
      </c>
      <c r="M611" t="s">
        <v>18</v>
      </c>
      <c r="N611">
        <v>0.5</v>
      </c>
      <c r="O611" t="str">
        <f t="shared" si="38"/>
        <v>Medium</v>
      </c>
      <c r="P611">
        <f t="shared" si="39"/>
        <v>800</v>
      </c>
      <c r="Q611" s="2">
        <f t="shared" si="40"/>
        <v>0.2857142857142857</v>
      </c>
    </row>
    <row r="612" spans="1:17" x14ac:dyDescent="0.3">
      <c r="A612" s="3">
        <v>28</v>
      </c>
      <c r="B612" s="3">
        <v>14</v>
      </c>
      <c r="C612" s="6">
        <v>4.7</v>
      </c>
      <c r="D612" t="s">
        <v>13</v>
      </c>
      <c r="E612" s="3">
        <v>9000</v>
      </c>
      <c r="F612" s="6">
        <v>4.8</v>
      </c>
      <c r="G612" t="s">
        <v>50</v>
      </c>
      <c r="H612" s="2">
        <v>0.9</v>
      </c>
      <c r="I612" s="3">
        <v>1000</v>
      </c>
      <c r="J612" s="3" t="str">
        <f t="shared" si="37"/>
        <v>Medium Price</v>
      </c>
      <c r="K612" t="s">
        <v>9</v>
      </c>
      <c r="L612" t="s">
        <v>17</v>
      </c>
      <c r="M612" t="s">
        <v>25</v>
      </c>
      <c r="N612">
        <v>0.9</v>
      </c>
      <c r="O612" t="str">
        <f t="shared" si="38"/>
        <v>High</v>
      </c>
      <c r="P612">
        <f t="shared" si="39"/>
        <v>14000</v>
      </c>
      <c r="Q612" s="2">
        <f t="shared" si="40"/>
        <v>0.5</v>
      </c>
    </row>
    <row r="613" spans="1:17" x14ac:dyDescent="0.3">
      <c r="A613" s="3">
        <v>9</v>
      </c>
      <c r="B613" s="3">
        <v>2</v>
      </c>
      <c r="C613" s="6">
        <v>2.9</v>
      </c>
      <c r="D613" t="s">
        <v>20</v>
      </c>
      <c r="E613" s="3">
        <v>200</v>
      </c>
      <c r="F613" s="6">
        <v>3.2</v>
      </c>
      <c r="G613" t="s">
        <v>117</v>
      </c>
      <c r="H613" s="2">
        <v>-0.1</v>
      </c>
      <c r="I613" s="3">
        <v>500</v>
      </c>
      <c r="J613" s="3" t="str">
        <f t="shared" si="37"/>
        <v>Low Price</v>
      </c>
      <c r="K613" t="s">
        <v>9</v>
      </c>
      <c r="L613" t="s">
        <v>33</v>
      </c>
      <c r="M613" t="s">
        <v>25</v>
      </c>
      <c r="N613">
        <v>0.3</v>
      </c>
      <c r="O613" t="str">
        <f t="shared" si="38"/>
        <v>Low</v>
      </c>
      <c r="P613">
        <f t="shared" si="39"/>
        <v>1000</v>
      </c>
      <c r="Q613" s="2">
        <f t="shared" si="40"/>
        <v>0.22222222222222221</v>
      </c>
    </row>
    <row r="614" spans="1:17" x14ac:dyDescent="0.3">
      <c r="A614" s="3">
        <v>38</v>
      </c>
      <c r="B614" s="3">
        <v>16</v>
      </c>
      <c r="C614" s="6">
        <v>4.9000000000000004</v>
      </c>
      <c r="D614" t="s">
        <v>13</v>
      </c>
      <c r="E614" s="3">
        <v>800</v>
      </c>
      <c r="F614" s="6">
        <v>4.8</v>
      </c>
      <c r="G614" t="s">
        <v>42</v>
      </c>
      <c r="H614" s="2">
        <v>0.9</v>
      </c>
      <c r="I614" s="3">
        <v>900</v>
      </c>
      <c r="J614" s="3" t="str">
        <f t="shared" si="37"/>
        <v>Low Price</v>
      </c>
      <c r="K614" t="s">
        <v>9</v>
      </c>
      <c r="L614" t="s">
        <v>29</v>
      </c>
      <c r="M614" t="s">
        <v>18</v>
      </c>
      <c r="N614">
        <v>1</v>
      </c>
      <c r="O614" t="str">
        <f t="shared" si="38"/>
        <v>High</v>
      </c>
      <c r="P614">
        <f t="shared" si="39"/>
        <v>14400</v>
      </c>
      <c r="Q614" s="2">
        <f t="shared" si="40"/>
        <v>0.42105263157894735</v>
      </c>
    </row>
    <row r="615" spans="1:17" x14ac:dyDescent="0.3">
      <c r="A615" s="3">
        <v>12</v>
      </c>
      <c r="B615" s="3">
        <v>3</v>
      </c>
      <c r="C615" s="6">
        <v>3.7</v>
      </c>
      <c r="D615" t="s">
        <v>20</v>
      </c>
      <c r="E615" s="3">
        <v>500</v>
      </c>
      <c r="F615" s="6">
        <v>3.5</v>
      </c>
      <c r="G615" t="s">
        <v>68</v>
      </c>
      <c r="H615" s="2">
        <v>0.3</v>
      </c>
      <c r="I615" s="3">
        <v>600</v>
      </c>
      <c r="J615" s="3" t="str">
        <f t="shared" si="37"/>
        <v>Low Price</v>
      </c>
      <c r="K615" t="s">
        <v>9</v>
      </c>
      <c r="L615" t="s">
        <v>33</v>
      </c>
      <c r="M615" t="s">
        <v>25</v>
      </c>
      <c r="N615">
        <v>0.6</v>
      </c>
      <c r="O615" t="str">
        <f t="shared" si="38"/>
        <v>Medium</v>
      </c>
      <c r="P615">
        <f t="shared" si="39"/>
        <v>1800</v>
      </c>
      <c r="Q615" s="2">
        <f t="shared" si="40"/>
        <v>0.25</v>
      </c>
    </row>
    <row r="616" spans="1:17" x14ac:dyDescent="0.3">
      <c r="A616" s="3">
        <v>11</v>
      </c>
      <c r="B616" s="3">
        <v>4</v>
      </c>
      <c r="C616" s="6">
        <v>3.4</v>
      </c>
      <c r="D616" t="s">
        <v>13</v>
      </c>
      <c r="E616" s="3">
        <v>7000</v>
      </c>
      <c r="F616" s="6">
        <v>3.6</v>
      </c>
      <c r="G616" t="s">
        <v>73</v>
      </c>
      <c r="H616" s="2">
        <v>0.6</v>
      </c>
      <c r="I616" s="3">
        <v>800</v>
      </c>
      <c r="J616" s="3" t="str">
        <f t="shared" si="37"/>
        <v>Low Price</v>
      </c>
      <c r="K616" t="s">
        <v>9</v>
      </c>
      <c r="L616" t="s">
        <v>17</v>
      </c>
      <c r="M616" t="s">
        <v>18</v>
      </c>
      <c r="N616">
        <v>0.8</v>
      </c>
      <c r="O616" t="str">
        <f t="shared" si="38"/>
        <v>High</v>
      </c>
      <c r="P616">
        <f t="shared" si="39"/>
        <v>3200</v>
      </c>
      <c r="Q616" s="2">
        <f t="shared" si="40"/>
        <v>0.36363636363636365</v>
      </c>
    </row>
    <row r="617" spans="1:17" x14ac:dyDescent="0.3">
      <c r="A617" s="3">
        <v>22</v>
      </c>
      <c r="B617" s="3">
        <v>7</v>
      </c>
      <c r="C617" s="6">
        <v>4.2</v>
      </c>
      <c r="D617" t="s">
        <v>20</v>
      </c>
      <c r="E617" s="3">
        <v>2500</v>
      </c>
      <c r="F617" s="6">
        <v>4.4000000000000004</v>
      </c>
      <c r="G617" t="s">
        <v>95</v>
      </c>
      <c r="H617" s="2">
        <v>0.7</v>
      </c>
      <c r="I617" s="3">
        <v>700</v>
      </c>
      <c r="J617" s="3" t="str">
        <f t="shared" si="37"/>
        <v>Low Price</v>
      </c>
      <c r="K617" t="s">
        <v>9</v>
      </c>
      <c r="L617" t="s">
        <v>33</v>
      </c>
      <c r="M617" t="s">
        <v>34</v>
      </c>
      <c r="N617">
        <v>0.9</v>
      </c>
      <c r="O617" t="str">
        <f t="shared" si="38"/>
        <v>High</v>
      </c>
      <c r="P617">
        <f t="shared" si="39"/>
        <v>4900</v>
      </c>
      <c r="Q617" s="2">
        <f t="shared" si="40"/>
        <v>0.31818181818181818</v>
      </c>
    </row>
    <row r="618" spans="1:17" x14ac:dyDescent="0.3">
      <c r="A618" s="3">
        <v>32</v>
      </c>
      <c r="B618" s="3">
        <v>13</v>
      </c>
      <c r="C618" s="6">
        <v>4.9000000000000004</v>
      </c>
      <c r="D618" t="s">
        <v>13</v>
      </c>
      <c r="E618" s="3">
        <v>4500</v>
      </c>
      <c r="F618" s="6">
        <v>4.7</v>
      </c>
      <c r="G618" t="s">
        <v>57</v>
      </c>
      <c r="H618" s="2">
        <v>0.9</v>
      </c>
      <c r="I618" s="3">
        <v>500</v>
      </c>
      <c r="J618" s="3" t="str">
        <f t="shared" si="37"/>
        <v>Low Price</v>
      </c>
      <c r="K618" t="s">
        <v>9</v>
      </c>
      <c r="L618" t="s">
        <v>33</v>
      </c>
      <c r="M618" t="s">
        <v>18</v>
      </c>
      <c r="N618">
        <v>1</v>
      </c>
      <c r="O618" t="str">
        <f t="shared" si="38"/>
        <v>High</v>
      </c>
      <c r="P618">
        <f t="shared" si="39"/>
        <v>6500</v>
      </c>
      <c r="Q618" s="2">
        <f t="shared" si="40"/>
        <v>0.40625</v>
      </c>
    </row>
    <row r="619" spans="1:17" x14ac:dyDescent="0.3">
      <c r="A619" s="3">
        <v>4</v>
      </c>
      <c r="B619" s="3">
        <v>1</v>
      </c>
      <c r="C619" s="6">
        <v>2.2999999999999998</v>
      </c>
      <c r="D619" t="s">
        <v>13</v>
      </c>
      <c r="E619" s="3">
        <v>400</v>
      </c>
      <c r="F619" s="6">
        <v>2.6</v>
      </c>
      <c r="G619" t="s">
        <v>72</v>
      </c>
      <c r="H619" s="2">
        <v>-0.6</v>
      </c>
      <c r="I619" s="3">
        <v>400</v>
      </c>
      <c r="J619" s="3" t="str">
        <f t="shared" si="37"/>
        <v>Low Price</v>
      </c>
      <c r="K619" t="s">
        <v>179</v>
      </c>
      <c r="L619" t="s">
        <v>33</v>
      </c>
      <c r="M619" t="s">
        <v>34</v>
      </c>
      <c r="N619">
        <v>0.2</v>
      </c>
      <c r="O619" t="str">
        <f t="shared" si="38"/>
        <v>Low</v>
      </c>
      <c r="P619">
        <f t="shared" si="39"/>
        <v>400</v>
      </c>
      <c r="Q619" s="2">
        <f t="shared" si="40"/>
        <v>0.25</v>
      </c>
    </row>
    <row r="620" spans="1:17" x14ac:dyDescent="0.3">
      <c r="A620" s="3">
        <v>15</v>
      </c>
      <c r="B620" s="3">
        <v>6</v>
      </c>
      <c r="C620" s="6">
        <v>3.7</v>
      </c>
      <c r="D620" t="s">
        <v>20</v>
      </c>
      <c r="E620" s="3">
        <v>10000</v>
      </c>
      <c r="F620" s="6">
        <v>3.9</v>
      </c>
      <c r="G620" t="s">
        <v>78</v>
      </c>
      <c r="H620" s="2">
        <v>0.2</v>
      </c>
      <c r="I620" s="3">
        <v>300</v>
      </c>
      <c r="J620" s="3" t="str">
        <f t="shared" si="37"/>
        <v>Low Price</v>
      </c>
      <c r="K620" t="s">
        <v>9</v>
      </c>
      <c r="L620" t="s">
        <v>17</v>
      </c>
      <c r="M620" t="s">
        <v>18</v>
      </c>
      <c r="N620">
        <v>0.3</v>
      </c>
      <c r="O620" t="str">
        <f t="shared" si="38"/>
        <v>Low</v>
      </c>
      <c r="P620">
        <f t="shared" si="39"/>
        <v>1800</v>
      </c>
      <c r="Q620" s="2">
        <f t="shared" si="40"/>
        <v>0.4</v>
      </c>
    </row>
    <row r="621" spans="1:17" x14ac:dyDescent="0.3">
      <c r="A621" s="3">
        <v>8</v>
      </c>
      <c r="B621" s="3">
        <v>3</v>
      </c>
      <c r="C621" s="6">
        <v>2.8</v>
      </c>
      <c r="D621" t="s">
        <v>13</v>
      </c>
      <c r="E621" s="3">
        <v>600</v>
      </c>
      <c r="F621" s="6">
        <v>3.1</v>
      </c>
      <c r="G621" t="s">
        <v>55</v>
      </c>
      <c r="H621" s="2">
        <v>-0.4</v>
      </c>
      <c r="I621" s="3">
        <v>700</v>
      </c>
      <c r="J621" s="3" t="str">
        <f t="shared" si="37"/>
        <v>Low Price</v>
      </c>
      <c r="K621" t="s">
        <v>9</v>
      </c>
      <c r="L621" t="s">
        <v>33</v>
      </c>
      <c r="M621" t="s">
        <v>25</v>
      </c>
      <c r="N621">
        <v>0.3</v>
      </c>
      <c r="O621" t="str">
        <f t="shared" si="38"/>
        <v>Low</v>
      </c>
      <c r="P621">
        <f t="shared" si="39"/>
        <v>2100</v>
      </c>
      <c r="Q621" s="2">
        <f t="shared" si="40"/>
        <v>0.375</v>
      </c>
    </row>
    <row r="622" spans="1:17" x14ac:dyDescent="0.3">
      <c r="A622" s="3">
        <v>37</v>
      </c>
      <c r="B622" s="3">
        <v>18</v>
      </c>
      <c r="C622" s="6">
        <v>4.8</v>
      </c>
      <c r="D622" t="s">
        <v>20</v>
      </c>
      <c r="E622" s="3">
        <v>7000</v>
      </c>
      <c r="F622" s="6">
        <v>4.8</v>
      </c>
      <c r="G622" t="s">
        <v>99</v>
      </c>
      <c r="H622" s="2">
        <v>0.9</v>
      </c>
      <c r="I622" s="3">
        <v>600</v>
      </c>
      <c r="J622" s="3" t="str">
        <f t="shared" si="37"/>
        <v>Low Price</v>
      </c>
      <c r="K622" t="s">
        <v>9</v>
      </c>
      <c r="L622" t="s">
        <v>29</v>
      </c>
      <c r="M622" t="s">
        <v>34</v>
      </c>
      <c r="N622">
        <v>1</v>
      </c>
      <c r="O622" t="str">
        <f t="shared" si="38"/>
        <v>High</v>
      </c>
      <c r="P622">
        <f t="shared" si="39"/>
        <v>10800</v>
      </c>
      <c r="Q622" s="2">
        <f t="shared" si="40"/>
        <v>0.48648648648648651</v>
      </c>
    </row>
    <row r="623" spans="1:17" x14ac:dyDescent="0.3">
      <c r="A623" s="3">
        <v>6</v>
      </c>
      <c r="B623" s="3">
        <v>1</v>
      </c>
      <c r="C623" s="6">
        <v>2.7</v>
      </c>
      <c r="D623" t="s">
        <v>13</v>
      </c>
      <c r="E623" s="3">
        <v>800</v>
      </c>
      <c r="F623" s="6">
        <v>2.9</v>
      </c>
      <c r="G623" t="s">
        <v>69</v>
      </c>
      <c r="H623" s="2">
        <v>-0.7</v>
      </c>
      <c r="I623" s="3">
        <v>200</v>
      </c>
      <c r="J623" s="3" t="str">
        <f t="shared" si="37"/>
        <v>Low Price</v>
      </c>
      <c r="K623" t="s">
        <v>179</v>
      </c>
      <c r="L623" t="s">
        <v>33</v>
      </c>
      <c r="M623" t="s">
        <v>18</v>
      </c>
      <c r="N623">
        <v>0.1</v>
      </c>
      <c r="O623" t="str">
        <f t="shared" si="38"/>
        <v>Low</v>
      </c>
      <c r="P623">
        <f t="shared" si="39"/>
        <v>200</v>
      </c>
      <c r="Q623" s="2">
        <f t="shared" si="40"/>
        <v>0.16666666666666666</v>
      </c>
    </row>
    <row r="624" spans="1:17" x14ac:dyDescent="0.3">
      <c r="A624" s="3">
        <v>19</v>
      </c>
      <c r="B624" s="3">
        <v>5</v>
      </c>
      <c r="C624" s="6">
        <v>4</v>
      </c>
      <c r="D624" t="s">
        <v>20</v>
      </c>
      <c r="E624" s="3">
        <v>4500</v>
      </c>
      <c r="F624" s="6">
        <v>4.0999999999999996</v>
      </c>
      <c r="G624" t="s">
        <v>37</v>
      </c>
      <c r="H624" s="2">
        <v>0.5</v>
      </c>
      <c r="I624" s="3">
        <v>800</v>
      </c>
      <c r="J624" s="3" t="str">
        <f t="shared" si="37"/>
        <v>Low Price</v>
      </c>
      <c r="K624" t="s">
        <v>9</v>
      </c>
      <c r="L624" t="s">
        <v>33</v>
      </c>
      <c r="M624" t="s">
        <v>34</v>
      </c>
      <c r="N624">
        <v>0.7</v>
      </c>
      <c r="O624" t="str">
        <f t="shared" si="38"/>
        <v>Medium</v>
      </c>
      <c r="P624">
        <f t="shared" si="39"/>
        <v>4000</v>
      </c>
      <c r="Q624" s="2">
        <f t="shared" si="40"/>
        <v>0.26315789473684209</v>
      </c>
    </row>
    <row r="625" spans="1:17" x14ac:dyDescent="0.3">
      <c r="A625" s="3">
        <v>25</v>
      </c>
      <c r="B625" s="3">
        <v>8</v>
      </c>
      <c r="C625" s="6">
        <v>4.8</v>
      </c>
      <c r="D625" t="s">
        <v>20</v>
      </c>
      <c r="E625" s="3">
        <v>700</v>
      </c>
      <c r="F625" s="6">
        <v>4.7</v>
      </c>
      <c r="G625" t="s">
        <v>82</v>
      </c>
      <c r="H625" s="2">
        <v>0.9</v>
      </c>
      <c r="I625" s="3">
        <v>700</v>
      </c>
      <c r="J625" s="3" t="str">
        <f t="shared" si="37"/>
        <v>Low Price</v>
      </c>
      <c r="K625" t="s">
        <v>9</v>
      </c>
      <c r="L625" t="s">
        <v>17</v>
      </c>
      <c r="M625" t="s">
        <v>18</v>
      </c>
      <c r="N625">
        <v>0.9</v>
      </c>
      <c r="O625" t="str">
        <f t="shared" si="38"/>
        <v>High</v>
      </c>
      <c r="P625">
        <f t="shared" si="39"/>
        <v>5600</v>
      </c>
      <c r="Q625" s="2">
        <f t="shared" si="40"/>
        <v>0.32</v>
      </c>
    </row>
    <row r="626" spans="1:17" x14ac:dyDescent="0.3">
      <c r="A626" s="3">
        <v>38</v>
      </c>
      <c r="B626" s="3">
        <v>13</v>
      </c>
      <c r="C626" s="6">
        <v>4.5</v>
      </c>
      <c r="D626" t="s">
        <v>13</v>
      </c>
      <c r="E626" s="3">
        <v>2500</v>
      </c>
      <c r="F626" s="6">
        <v>4.4000000000000004</v>
      </c>
      <c r="G626" t="s">
        <v>48</v>
      </c>
      <c r="H626" s="2">
        <v>0.6</v>
      </c>
      <c r="I626" s="3">
        <v>500</v>
      </c>
      <c r="J626" s="3" t="str">
        <f t="shared" si="37"/>
        <v>Low Price</v>
      </c>
      <c r="K626" t="s">
        <v>9</v>
      </c>
      <c r="L626" t="s">
        <v>33</v>
      </c>
      <c r="M626" t="s">
        <v>34</v>
      </c>
      <c r="N626">
        <v>0.8</v>
      </c>
      <c r="O626" t="str">
        <f t="shared" si="38"/>
        <v>High</v>
      </c>
      <c r="P626">
        <f t="shared" si="39"/>
        <v>6500</v>
      </c>
      <c r="Q626" s="2">
        <f t="shared" si="40"/>
        <v>0.34210526315789475</v>
      </c>
    </row>
    <row r="627" spans="1:17" x14ac:dyDescent="0.3">
      <c r="A627" s="3">
        <v>12</v>
      </c>
      <c r="B627" s="3">
        <v>2</v>
      </c>
      <c r="C627" s="6">
        <v>3.5</v>
      </c>
      <c r="D627" t="s">
        <v>13</v>
      </c>
      <c r="E627" s="3">
        <v>6000</v>
      </c>
      <c r="F627" s="6">
        <v>3.7</v>
      </c>
      <c r="G627" t="s">
        <v>75</v>
      </c>
      <c r="H627" s="2">
        <v>0.3</v>
      </c>
      <c r="I627" s="3">
        <v>600</v>
      </c>
      <c r="J627" s="3" t="str">
        <f t="shared" si="37"/>
        <v>Low Price</v>
      </c>
      <c r="K627" t="s">
        <v>9</v>
      </c>
      <c r="L627" t="s">
        <v>33</v>
      </c>
      <c r="M627" t="s">
        <v>25</v>
      </c>
      <c r="N627">
        <v>0.5</v>
      </c>
      <c r="O627" t="str">
        <f t="shared" si="38"/>
        <v>Medium</v>
      </c>
      <c r="P627">
        <f t="shared" si="39"/>
        <v>1200</v>
      </c>
      <c r="Q627" s="2">
        <f t="shared" si="40"/>
        <v>0.16666666666666666</v>
      </c>
    </row>
    <row r="628" spans="1:17" x14ac:dyDescent="0.3">
      <c r="A628" s="3">
        <v>15</v>
      </c>
      <c r="B628" s="3">
        <v>5</v>
      </c>
      <c r="C628" s="6">
        <v>3.9</v>
      </c>
      <c r="D628" t="s">
        <v>20</v>
      </c>
      <c r="E628" s="3">
        <v>8000</v>
      </c>
      <c r="F628" s="6">
        <v>4.3</v>
      </c>
      <c r="G628" t="s">
        <v>21</v>
      </c>
      <c r="H628" s="2">
        <v>0.8</v>
      </c>
      <c r="I628" s="3">
        <v>300</v>
      </c>
      <c r="J628" s="3" t="str">
        <f t="shared" si="37"/>
        <v>Low Price</v>
      </c>
      <c r="K628" t="s">
        <v>9</v>
      </c>
      <c r="L628" t="s">
        <v>17</v>
      </c>
      <c r="M628" t="s">
        <v>34</v>
      </c>
      <c r="N628">
        <v>0.8</v>
      </c>
      <c r="O628" t="str">
        <f t="shared" si="38"/>
        <v>High</v>
      </c>
      <c r="P628">
        <f t="shared" si="39"/>
        <v>1500</v>
      </c>
      <c r="Q628" s="2">
        <f t="shared" si="40"/>
        <v>0.33333333333333331</v>
      </c>
    </row>
    <row r="629" spans="1:17" x14ac:dyDescent="0.3">
      <c r="A629" s="3">
        <v>28</v>
      </c>
      <c r="B629" s="3">
        <v>10</v>
      </c>
      <c r="C629" s="6">
        <v>4.7</v>
      </c>
      <c r="D629" t="s">
        <v>13</v>
      </c>
      <c r="E629" s="3">
        <v>9000</v>
      </c>
      <c r="F629" s="6">
        <v>4.9000000000000004</v>
      </c>
      <c r="G629" t="s">
        <v>118</v>
      </c>
      <c r="H629" s="2">
        <v>0.9</v>
      </c>
      <c r="I629" s="3">
        <v>1000</v>
      </c>
      <c r="J629" s="3" t="str">
        <f t="shared" si="37"/>
        <v>Medium Price</v>
      </c>
      <c r="K629" t="s">
        <v>9</v>
      </c>
      <c r="L629" t="s">
        <v>29</v>
      </c>
      <c r="M629" t="s">
        <v>25</v>
      </c>
      <c r="N629">
        <v>1</v>
      </c>
      <c r="O629" t="str">
        <f t="shared" si="38"/>
        <v>High</v>
      </c>
      <c r="P629">
        <f t="shared" si="39"/>
        <v>10000</v>
      </c>
      <c r="Q629" s="2">
        <f t="shared" si="40"/>
        <v>0.35714285714285715</v>
      </c>
    </row>
    <row r="630" spans="1:17" x14ac:dyDescent="0.3">
      <c r="A630" s="3">
        <v>7</v>
      </c>
      <c r="B630" s="3">
        <v>1</v>
      </c>
      <c r="C630" s="6">
        <v>2.6</v>
      </c>
      <c r="D630" t="s">
        <v>20</v>
      </c>
      <c r="E630" s="3">
        <v>500</v>
      </c>
      <c r="F630" s="6">
        <v>2.8</v>
      </c>
      <c r="G630" t="s">
        <v>77</v>
      </c>
      <c r="H630" s="2">
        <v>-0.5</v>
      </c>
      <c r="I630" s="3">
        <v>300</v>
      </c>
      <c r="J630" s="3" t="str">
        <f t="shared" si="37"/>
        <v>Low Price</v>
      </c>
      <c r="K630" t="s">
        <v>179</v>
      </c>
      <c r="L630" t="s">
        <v>33</v>
      </c>
      <c r="M630" t="s">
        <v>18</v>
      </c>
      <c r="N630">
        <v>0.1</v>
      </c>
      <c r="O630" t="str">
        <f t="shared" si="38"/>
        <v>Low</v>
      </c>
      <c r="P630">
        <f t="shared" si="39"/>
        <v>300</v>
      </c>
      <c r="Q630" s="2">
        <f t="shared" si="40"/>
        <v>0.14285714285714285</v>
      </c>
    </row>
    <row r="631" spans="1:17" x14ac:dyDescent="0.3">
      <c r="A631" s="3">
        <v>21</v>
      </c>
      <c r="B631" s="3">
        <v>6</v>
      </c>
      <c r="C631" s="6">
        <v>4.5</v>
      </c>
      <c r="D631" t="s">
        <v>13</v>
      </c>
      <c r="E631" s="3">
        <v>1000</v>
      </c>
      <c r="F631" s="6">
        <v>4.3</v>
      </c>
      <c r="G631" t="s">
        <v>66</v>
      </c>
      <c r="H631" s="2">
        <v>0.7</v>
      </c>
      <c r="I631" s="3">
        <v>500</v>
      </c>
      <c r="J631" s="3" t="str">
        <f t="shared" si="37"/>
        <v>Low Price</v>
      </c>
      <c r="K631" t="s">
        <v>9</v>
      </c>
      <c r="L631" t="s">
        <v>33</v>
      </c>
      <c r="M631" t="s">
        <v>18</v>
      </c>
      <c r="N631">
        <v>0.8</v>
      </c>
      <c r="O631" t="str">
        <f t="shared" si="38"/>
        <v>High</v>
      </c>
      <c r="P631">
        <f t="shared" si="39"/>
        <v>3000</v>
      </c>
      <c r="Q631" s="2">
        <f t="shared" si="40"/>
        <v>0.2857142857142857</v>
      </c>
    </row>
    <row r="632" spans="1:17" x14ac:dyDescent="0.3">
      <c r="A632" s="3">
        <v>32</v>
      </c>
      <c r="B632" s="3">
        <v>11</v>
      </c>
      <c r="C632" s="6">
        <v>4.5999999999999996</v>
      </c>
      <c r="D632" t="s">
        <v>13</v>
      </c>
      <c r="E632" s="3">
        <v>800</v>
      </c>
      <c r="F632" s="6">
        <v>4.7</v>
      </c>
      <c r="G632" t="s">
        <v>27</v>
      </c>
      <c r="H632" s="2">
        <v>0.8</v>
      </c>
      <c r="I632" s="3">
        <v>400</v>
      </c>
      <c r="J632" s="3" t="str">
        <f t="shared" si="37"/>
        <v>Low Price</v>
      </c>
      <c r="K632" t="s">
        <v>9</v>
      </c>
      <c r="L632" t="s">
        <v>24</v>
      </c>
      <c r="M632" t="s">
        <v>18</v>
      </c>
      <c r="N632">
        <v>0.8</v>
      </c>
      <c r="O632" t="str">
        <f t="shared" si="38"/>
        <v>High</v>
      </c>
      <c r="P632">
        <f t="shared" si="39"/>
        <v>4400</v>
      </c>
      <c r="Q632" s="2">
        <f t="shared" si="40"/>
        <v>0.34375</v>
      </c>
    </row>
    <row r="633" spans="1:17" x14ac:dyDescent="0.3">
      <c r="A633" s="3">
        <v>4</v>
      </c>
      <c r="B633" s="3">
        <v>0</v>
      </c>
      <c r="C633" s="6">
        <v>1.6</v>
      </c>
      <c r="D633" t="s">
        <v>20</v>
      </c>
      <c r="E633" s="3">
        <v>2000</v>
      </c>
      <c r="F633" s="6">
        <v>2</v>
      </c>
      <c r="G633" t="s">
        <v>14</v>
      </c>
      <c r="H633" s="2">
        <v>-0.9</v>
      </c>
      <c r="I633" s="3">
        <v>200</v>
      </c>
      <c r="J633" s="3" t="str">
        <f t="shared" si="37"/>
        <v>Low Price</v>
      </c>
      <c r="K633" t="s">
        <v>179</v>
      </c>
      <c r="L633" t="s">
        <v>33</v>
      </c>
      <c r="M633" t="s">
        <v>34</v>
      </c>
      <c r="N633">
        <v>0</v>
      </c>
      <c r="O633" t="str">
        <f t="shared" si="38"/>
        <v>Low</v>
      </c>
      <c r="P633">
        <f t="shared" si="39"/>
        <v>0</v>
      </c>
      <c r="Q633" s="2">
        <f t="shared" si="40"/>
        <v>0</v>
      </c>
    </row>
    <row r="634" spans="1:17" x14ac:dyDescent="0.3">
      <c r="A634" s="3">
        <v>14</v>
      </c>
      <c r="B634" s="3">
        <v>4</v>
      </c>
      <c r="C634" s="6">
        <v>3.6</v>
      </c>
      <c r="D634" t="s">
        <v>13</v>
      </c>
      <c r="E634" s="3">
        <v>4500</v>
      </c>
      <c r="F634" s="6">
        <v>3.9</v>
      </c>
      <c r="G634" t="s">
        <v>115</v>
      </c>
      <c r="H634" s="2">
        <v>0.5</v>
      </c>
      <c r="I634" s="3">
        <v>800</v>
      </c>
      <c r="J634" s="3" t="str">
        <f t="shared" si="37"/>
        <v>Low Price</v>
      </c>
      <c r="K634" t="s">
        <v>9</v>
      </c>
      <c r="L634" t="s">
        <v>33</v>
      </c>
      <c r="M634" t="s">
        <v>25</v>
      </c>
      <c r="N634">
        <v>0.7</v>
      </c>
      <c r="O634" t="str">
        <f t="shared" si="38"/>
        <v>Medium</v>
      </c>
      <c r="P634">
        <f t="shared" si="39"/>
        <v>3200</v>
      </c>
      <c r="Q634" s="2">
        <f t="shared" si="40"/>
        <v>0.2857142857142857</v>
      </c>
    </row>
    <row r="635" spans="1:17" x14ac:dyDescent="0.3">
      <c r="A635" s="3">
        <v>8</v>
      </c>
      <c r="B635" s="3">
        <v>2</v>
      </c>
      <c r="C635" s="6">
        <v>3</v>
      </c>
      <c r="D635" t="s">
        <v>20</v>
      </c>
      <c r="E635" s="3">
        <v>6000</v>
      </c>
      <c r="F635" s="6">
        <v>3.2</v>
      </c>
      <c r="G635" t="s">
        <v>116</v>
      </c>
      <c r="H635" s="2">
        <v>0.2</v>
      </c>
      <c r="I635" s="3">
        <v>400</v>
      </c>
      <c r="J635" s="3" t="str">
        <f t="shared" si="37"/>
        <v>Low Price</v>
      </c>
      <c r="K635" t="s">
        <v>9</v>
      </c>
      <c r="L635" t="s">
        <v>17</v>
      </c>
      <c r="M635" t="s">
        <v>34</v>
      </c>
      <c r="N635">
        <v>0.4</v>
      </c>
      <c r="O635" t="str">
        <f t="shared" si="38"/>
        <v>Medium</v>
      </c>
      <c r="P635">
        <f t="shared" si="39"/>
        <v>800</v>
      </c>
      <c r="Q635" s="2">
        <f t="shared" si="40"/>
        <v>0.25</v>
      </c>
    </row>
    <row r="636" spans="1:17" x14ac:dyDescent="0.3">
      <c r="A636" s="3">
        <v>19</v>
      </c>
      <c r="B636" s="3">
        <v>7</v>
      </c>
      <c r="C636" s="6">
        <v>4.0999999999999996</v>
      </c>
      <c r="D636" t="s">
        <v>20</v>
      </c>
      <c r="E636" s="3">
        <v>800</v>
      </c>
      <c r="F636" s="6">
        <v>4.5</v>
      </c>
      <c r="G636" t="s">
        <v>31</v>
      </c>
      <c r="H636" s="2">
        <v>0.7</v>
      </c>
      <c r="I636" s="3">
        <v>700</v>
      </c>
      <c r="J636" s="3" t="str">
        <f t="shared" si="37"/>
        <v>Low Price</v>
      </c>
      <c r="K636" t="s">
        <v>9</v>
      </c>
      <c r="L636" t="s">
        <v>33</v>
      </c>
      <c r="M636" t="s">
        <v>18</v>
      </c>
      <c r="N636">
        <v>0.9</v>
      </c>
      <c r="O636" t="str">
        <f t="shared" si="38"/>
        <v>High</v>
      </c>
      <c r="P636">
        <f t="shared" si="39"/>
        <v>4900</v>
      </c>
      <c r="Q636" s="2">
        <f t="shared" si="40"/>
        <v>0.36842105263157893</v>
      </c>
    </row>
    <row r="637" spans="1:17" x14ac:dyDescent="0.3">
      <c r="A637" s="3">
        <v>23</v>
      </c>
      <c r="B637" s="3">
        <v>9</v>
      </c>
      <c r="C637" s="6">
        <v>4.3</v>
      </c>
      <c r="D637" t="s">
        <v>13</v>
      </c>
      <c r="E637" s="3">
        <v>1500</v>
      </c>
      <c r="F637" s="6">
        <v>4.5999999999999996</v>
      </c>
      <c r="G637" t="s">
        <v>62</v>
      </c>
      <c r="H637" s="2">
        <v>0.4</v>
      </c>
      <c r="I637" s="3">
        <v>500</v>
      </c>
      <c r="J637" s="3" t="str">
        <f t="shared" si="37"/>
        <v>Low Price</v>
      </c>
      <c r="K637" t="s">
        <v>9</v>
      </c>
      <c r="L637" t="s">
        <v>17</v>
      </c>
      <c r="M637" t="s">
        <v>18</v>
      </c>
      <c r="N637">
        <v>0.6</v>
      </c>
      <c r="O637" t="str">
        <f t="shared" si="38"/>
        <v>Medium</v>
      </c>
      <c r="P637">
        <f t="shared" si="39"/>
        <v>4500</v>
      </c>
      <c r="Q637" s="2">
        <f t="shared" si="40"/>
        <v>0.39130434782608697</v>
      </c>
    </row>
    <row r="638" spans="1:17" x14ac:dyDescent="0.3">
      <c r="A638" s="3">
        <v>13</v>
      </c>
      <c r="B638" s="3">
        <v>3</v>
      </c>
      <c r="C638" s="6">
        <v>3.8</v>
      </c>
      <c r="D638" t="s">
        <v>20</v>
      </c>
      <c r="E638" s="3">
        <v>5000</v>
      </c>
      <c r="F638" s="6">
        <v>3.9</v>
      </c>
      <c r="G638" t="s">
        <v>35</v>
      </c>
      <c r="H638" s="2">
        <v>0.6</v>
      </c>
      <c r="I638" s="3">
        <v>300</v>
      </c>
      <c r="J638" s="3" t="str">
        <f t="shared" si="37"/>
        <v>Low Price</v>
      </c>
      <c r="K638" t="s">
        <v>9</v>
      </c>
      <c r="L638" t="s">
        <v>33</v>
      </c>
      <c r="M638" t="s">
        <v>18</v>
      </c>
      <c r="N638">
        <v>0.5</v>
      </c>
      <c r="O638" t="str">
        <f t="shared" si="38"/>
        <v>Medium</v>
      </c>
      <c r="P638">
        <f t="shared" si="39"/>
        <v>900</v>
      </c>
      <c r="Q638" s="2">
        <f t="shared" si="40"/>
        <v>0.23076923076923078</v>
      </c>
    </row>
    <row r="639" spans="1:17" x14ac:dyDescent="0.3">
      <c r="A639" s="3">
        <v>30</v>
      </c>
      <c r="B639" s="3">
        <v>15</v>
      </c>
      <c r="C639" s="6">
        <v>4.5999999999999996</v>
      </c>
      <c r="D639" t="s">
        <v>13</v>
      </c>
      <c r="E639" s="3">
        <v>9500</v>
      </c>
      <c r="F639" s="6">
        <v>4.8</v>
      </c>
      <c r="G639" t="s">
        <v>50</v>
      </c>
      <c r="H639" s="2">
        <v>0.9</v>
      </c>
      <c r="I639" s="3">
        <v>1100</v>
      </c>
      <c r="J639" s="3" t="str">
        <f t="shared" si="37"/>
        <v>Medium Price</v>
      </c>
      <c r="K639" t="s">
        <v>9</v>
      </c>
      <c r="L639" t="s">
        <v>17</v>
      </c>
      <c r="M639" t="s">
        <v>25</v>
      </c>
      <c r="N639">
        <v>0.9</v>
      </c>
      <c r="O639" t="str">
        <f t="shared" si="38"/>
        <v>High</v>
      </c>
      <c r="P639">
        <f t="shared" si="39"/>
        <v>16500</v>
      </c>
      <c r="Q639" s="2">
        <f t="shared" si="40"/>
        <v>0.5</v>
      </c>
    </row>
    <row r="640" spans="1:17" x14ac:dyDescent="0.3">
      <c r="A640" s="3">
        <v>11</v>
      </c>
      <c r="B640" s="3">
        <v>1</v>
      </c>
      <c r="C640" s="6">
        <v>2.7</v>
      </c>
      <c r="D640" t="s">
        <v>20</v>
      </c>
      <c r="E640" s="3">
        <v>100</v>
      </c>
      <c r="F640" s="6">
        <v>3</v>
      </c>
      <c r="G640" t="s">
        <v>117</v>
      </c>
      <c r="H640" s="2">
        <v>-0.1</v>
      </c>
      <c r="I640" s="3">
        <v>600</v>
      </c>
      <c r="J640" s="3" t="str">
        <f t="shared" si="37"/>
        <v>Low Price</v>
      </c>
      <c r="K640" t="s">
        <v>9</v>
      </c>
      <c r="L640" t="s">
        <v>33</v>
      </c>
      <c r="M640" t="s">
        <v>25</v>
      </c>
      <c r="N640">
        <v>0.3</v>
      </c>
      <c r="O640" t="str">
        <f t="shared" si="38"/>
        <v>Low</v>
      </c>
      <c r="P640">
        <f t="shared" si="39"/>
        <v>600</v>
      </c>
      <c r="Q640" s="2">
        <f t="shared" si="40"/>
        <v>9.0909090909090912E-2</v>
      </c>
    </row>
    <row r="641" spans="1:17" x14ac:dyDescent="0.3">
      <c r="A641" s="3">
        <v>39</v>
      </c>
      <c r="B641" s="3">
        <v>17</v>
      </c>
      <c r="C641" s="6">
        <v>4.9000000000000004</v>
      </c>
      <c r="D641" t="s">
        <v>13</v>
      </c>
      <c r="E641" s="3">
        <v>750</v>
      </c>
      <c r="F641" s="6">
        <v>4.9000000000000004</v>
      </c>
      <c r="G641" t="s">
        <v>42</v>
      </c>
      <c r="H641" s="2">
        <v>0.9</v>
      </c>
      <c r="I641" s="3">
        <v>1000</v>
      </c>
      <c r="J641" s="3" t="str">
        <f t="shared" si="37"/>
        <v>Medium Price</v>
      </c>
      <c r="K641" t="s">
        <v>9</v>
      </c>
      <c r="L641" t="s">
        <v>29</v>
      </c>
      <c r="M641" t="s">
        <v>18</v>
      </c>
      <c r="N641">
        <v>1</v>
      </c>
      <c r="O641" t="str">
        <f t="shared" si="38"/>
        <v>High</v>
      </c>
      <c r="P641">
        <f t="shared" si="39"/>
        <v>17000</v>
      </c>
      <c r="Q641" s="2">
        <f t="shared" si="40"/>
        <v>0.4358974358974359</v>
      </c>
    </row>
    <row r="642" spans="1:17" x14ac:dyDescent="0.3">
      <c r="A642" s="3">
        <v>10</v>
      </c>
      <c r="B642" s="3">
        <v>3</v>
      </c>
      <c r="C642" s="6">
        <v>3.4</v>
      </c>
      <c r="D642" t="s">
        <v>20</v>
      </c>
      <c r="E642" s="3">
        <v>400</v>
      </c>
      <c r="F642" s="6">
        <v>3.6</v>
      </c>
      <c r="G642" t="s">
        <v>68</v>
      </c>
      <c r="H642" s="2">
        <v>0.3</v>
      </c>
      <c r="I642" s="3">
        <v>700</v>
      </c>
      <c r="J642" s="3" t="str">
        <f t="shared" ref="J642:J705" si="41">IF(I642&gt;5000, "High Price", IF(I642&gt;=1000, "Medium Price", IF(I642&lt;1000, "Low Price")))</f>
        <v>Low Price</v>
      </c>
      <c r="K642" t="s">
        <v>9</v>
      </c>
      <c r="L642" t="s">
        <v>33</v>
      </c>
      <c r="M642" t="s">
        <v>25</v>
      </c>
      <c r="N642">
        <v>0.6</v>
      </c>
      <c r="O642" t="str">
        <f t="shared" ref="O642:O705" si="42">IF(N642&gt;=0.8,"High",IF(N642&gt;=0.4,"Medium",IF(N642&lt;0.4,"Low")))</f>
        <v>Medium</v>
      </c>
      <c r="P642">
        <f t="shared" si="39"/>
        <v>2100</v>
      </c>
      <c r="Q642" s="2">
        <f t="shared" si="40"/>
        <v>0.3</v>
      </c>
    </row>
    <row r="643" spans="1:17" x14ac:dyDescent="0.3">
      <c r="A643" s="3">
        <v>9</v>
      </c>
      <c r="B643" s="3">
        <v>5</v>
      </c>
      <c r="C643" s="6">
        <v>3.2</v>
      </c>
      <c r="D643" t="s">
        <v>13</v>
      </c>
      <c r="E643" s="3">
        <v>6500</v>
      </c>
      <c r="F643" s="6">
        <v>3.4</v>
      </c>
      <c r="G643" t="s">
        <v>73</v>
      </c>
      <c r="H643" s="2">
        <v>0.6</v>
      </c>
      <c r="I643" s="3">
        <v>900</v>
      </c>
      <c r="J643" s="3" t="str">
        <f t="shared" si="41"/>
        <v>Low Price</v>
      </c>
      <c r="K643" t="s">
        <v>9</v>
      </c>
      <c r="L643" t="s">
        <v>17</v>
      </c>
      <c r="M643" t="s">
        <v>18</v>
      </c>
      <c r="N643">
        <v>0.8</v>
      </c>
      <c r="O643" t="str">
        <f t="shared" si="42"/>
        <v>High</v>
      </c>
      <c r="P643">
        <f t="shared" ref="P643:P706" si="43">I643*B643</f>
        <v>4500</v>
      </c>
      <c r="Q643" s="2">
        <f t="shared" ref="Q643:Q706" si="44">B643/A643</f>
        <v>0.55555555555555558</v>
      </c>
    </row>
    <row r="644" spans="1:17" x14ac:dyDescent="0.3">
      <c r="A644" s="3">
        <v>25</v>
      </c>
      <c r="B644" s="3">
        <v>8</v>
      </c>
      <c r="C644" s="6">
        <v>4.4000000000000004</v>
      </c>
      <c r="D644" t="s">
        <v>20</v>
      </c>
      <c r="E644" s="3">
        <v>2800</v>
      </c>
      <c r="F644" s="6">
        <v>4.5</v>
      </c>
      <c r="G644" t="s">
        <v>95</v>
      </c>
      <c r="H644" s="2">
        <v>0.8</v>
      </c>
      <c r="I644" s="3">
        <v>800</v>
      </c>
      <c r="J644" s="3" t="str">
        <f t="shared" si="41"/>
        <v>Low Price</v>
      </c>
      <c r="K644" t="s">
        <v>9</v>
      </c>
      <c r="L644" t="s">
        <v>33</v>
      </c>
      <c r="M644" t="s">
        <v>34</v>
      </c>
      <c r="N644">
        <v>0.9</v>
      </c>
      <c r="O644" t="str">
        <f t="shared" si="42"/>
        <v>High</v>
      </c>
      <c r="P644">
        <f t="shared" si="43"/>
        <v>6400</v>
      </c>
      <c r="Q644" s="2">
        <f t="shared" si="44"/>
        <v>0.32</v>
      </c>
    </row>
    <row r="645" spans="1:17" x14ac:dyDescent="0.3">
      <c r="A645" s="3">
        <v>36</v>
      </c>
      <c r="B645" s="3">
        <v>14</v>
      </c>
      <c r="C645" s="6">
        <v>4.8</v>
      </c>
      <c r="D645" t="s">
        <v>13</v>
      </c>
      <c r="E645" s="3">
        <v>4200</v>
      </c>
      <c r="F645" s="6">
        <v>4.7</v>
      </c>
      <c r="G645" t="s">
        <v>57</v>
      </c>
      <c r="H645" s="2">
        <v>0.9</v>
      </c>
      <c r="I645" s="3">
        <v>700</v>
      </c>
      <c r="J645" s="3" t="str">
        <f t="shared" si="41"/>
        <v>Low Price</v>
      </c>
      <c r="K645" t="s">
        <v>9</v>
      </c>
      <c r="L645" t="s">
        <v>33</v>
      </c>
      <c r="M645" t="s">
        <v>18</v>
      </c>
      <c r="N645">
        <v>1</v>
      </c>
      <c r="O645" t="str">
        <f t="shared" si="42"/>
        <v>High</v>
      </c>
      <c r="P645">
        <f t="shared" si="43"/>
        <v>9800</v>
      </c>
      <c r="Q645" s="2">
        <f t="shared" si="44"/>
        <v>0.3888888888888889</v>
      </c>
    </row>
    <row r="646" spans="1:17" x14ac:dyDescent="0.3">
      <c r="A646" s="3">
        <v>3</v>
      </c>
      <c r="B646" s="3">
        <v>1</v>
      </c>
      <c r="C646" s="6">
        <v>2.1</v>
      </c>
      <c r="D646" t="s">
        <v>13</v>
      </c>
      <c r="E646" s="3">
        <v>500</v>
      </c>
      <c r="F646" s="6">
        <v>2.5</v>
      </c>
      <c r="G646" t="s">
        <v>72</v>
      </c>
      <c r="H646" s="2">
        <v>-0.8</v>
      </c>
      <c r="I646" s="3">
        <v>300</v>
      </c>
      <c r="J646" s="3" t="str">
        <f t="shared" si="41"/>
        <v>Low Price</v>
      </c>
      <c r="K646" t="s">
        <v>179</v>
      </c>
      <c r="L646" t="s">
        <v>33</v>
      </c>
      <c r="M646" t="s">
        <v>34</v>
      </c>
      <c r="N646">
        <v>0.1</v>
      </c>
      <c r="O646" t="str">
        <f t="shared" si="42"/>
        <v>Low</v>
      </c>
      <c r="P646">
        <f t="shared" si="43"/>
        <v>300</v>
      </c>
      <c r="Q646" s="2">
        <f t="shared" si="44"/>
        <v>0.33333333333333331</v>
      </c>
    </row>
    <row r="647" spans="1:17" x14ac:dyDescent="0.3">
      <c r="A647" s="3">
        <v>17</v>
      </c>
      <c r="B647" s="3">
        <v>6</v>
      </c>
      <c r="C647" s="6">
        <v>3.8</v>
      </c>
      <c r="D647" t="s">
        <v>20</v>
      </c>
      <c r="E647" s="3">
        <v>12000</v>
      </c>
      <c r="F647" s="6">
        <v>3.9</v>
      </c>
      <c r="G647" t="s">
        <v>78</v>
      </c>
      <c r="H647" s="2">
        <v>0.3</v>
      </c>
      <c r="I647" s="3">
        <v>400</v>
      </c>
      <c r="J647" s="3" t="str">
        <f t="shared" si="41"/>
        <v>Low Price</v>
      </c>
      <c r="K647" t="s">
        <v>9</v>
      </c>
      <c r="L647" t="s">
        <v>17</v>
      </c>
      <c r="M647" t="s">
        <v>18</v>
      </c>
      <c r="N647">
        <v>0.3</v>
      </c>
      <c r="O647" t="str">
        <f t="shared" si="42"/>
        <v>Low</v>
      </c>
      <c r="P647">
        <f t="shared" si="43"/>
        <v>2400</v>
      </c>
      <c r="Q647" s="2">
        <f t="shared" si="44"/>
        <v>0.35294117647058826</v>
      </c>
    </row>
    <row r="648" spans="1:17" x14ac:dyDescent="0.3">
      <c r="A648" s="3">
        <v>7</v>
      </c>
      <c r="B648" s="3">
        <v>2</v>
      </c>
      <c r="C648" s="6">
        <v>2.6</v>
      </c>
      <c r="D648" t="s">
        <v>13</v>
      </c>
      <c r="E648" s="3">
        <v>800</v>
      </c>
      <c r="F648" s="6">
        <v>2.9</v>
      </c>
      <c r="G648" t="s">
        <v>55</v>
      </c>
      <c r="H648" s="2">
        <v>-0.5</v>
      </c>
      <c r="I648" s="3">
        <v>800</v>
      </c>
      <c r="J648" s="3" t="str">
        <f t="shared" si="41"/>
        <v>Low Price</v>
      </c>
      <c r="K648" t="s">
        <v>9</v>
      </c>
      <c r="L648" t="s">
        <v>33</v>
      </c>
      <c r="M648" t="s">
        <v>25</v>
      </c>
      <c r="N648">
        <v>0.3</v>
      </c>
      <c r="O648" t="str">
        <f t="shared" si="42"/>
        <v>Low</v>
      </c>
      <c r="P648">
        <f t="shared" si="43"/>
        <v>1600</v>
      </c>
      <c r="Q648" s="2">
        <f t="shared" si="44"/>
        <v>0.2857142857142857</v>
      </c>
    </row>
    <row r="649" spans="1:17" x14ac:dyDescent="0.3">
      <c r="A649" s="3">
        <v>40</v>
      </c>
      <c r="B649" s="3">
        <v>19</v>
      </c>
      <c r="C649" s="6">
        <v>4.8</v>
      </c>
      <c r="D649" t="s">
        <v>20</v>
      </c>
      <c r="E649" s="3">
        <v>9000</v>
      </c>
      <c r="F649" s="6">
        <v>4.8</v>
      </c>
      <c r="G649" t="s">
        <v>99</v>
      </c>
      <c r="H649" s="2">
        <v>0.9</v>
      </c>
      <c r="I649" s="3">
        <v>700</v>
      </c>
      <c r="J649" s="3" t="str">
        <f t="shared" si="41"/>
        <v>Low Price</v>
      </c>
      <c r="K649" t="s">
        <v>9</v>
      </c>
      <c r="L649" t="s">
        <v>29</v>
      </c>
      <c r="M649" t="s">
        <v>34</v>
      </c>
      <c r="N649">
        <v>1</v>
      </c>
      <c r="O649" t="str">
        <f t="shared" si="42"/>
        <v>High</v>
      </c>
      <c r="P649">
        <f t="shared" si="43"/>
        <v>13300</v>
      </c>
      <c r="Q649" s="2">
        <f t="shared" si="44"/>
        <v>0.47499999999999998</v>
      </c>
    </row>
    <row r="650" spans="1:17" x14ac:dyDescent="0.3">
      <c r="A650" s="3">
        <v>6</v>
      </c>
      <c r="B650" s="3">
        <v>1</v>
      </c>
      <c r="C650" s="6">
        <v>2.5</v>
      </c>
      <c r="D650" t="s">
        <v>13</v>
      </c>
      <c r="E650" s="3">
        <v>700</v>
      </c>
      <c r="F650" s="6">
        <v>2.8</v>
      </c>
      <c r="G650" t="s">
        <v>69</v>
      </c>
      <c r="H650" s="2">
        <v>-0.8</v>
      </c>
      <c r="I650" s="3">
        <v>300</v>
      </c>
      <c r="J650" s="3" t="str">
        <f t="shared" si="41"/>
        <v>Low Price</v>
      </c>
      <c r="K650" t="s">
        <v>179</v>
      </c>
      <c r="L650" t="s">
        <v>33</v>
      </c>
      <c r="M650" t="s">
        <v>18</v>
      </c>
      <c r="N650">
        <v>0.1</v>
      </c>
      <c r="O650" t="str">
        <f t="shared" si="42"/>
        <v>Low</v>
      </c>
      <c r="P650">
        <f t="shared" si="43"/>
        <v>300</v>
      </c>
      <c r="Q650" s="2">
        <f t="shared" si="44"/>
        <v>0.16666666666666666</v>
      </c>
    </row>
    <row r="651" spans="1:17" x14ac:dyDescent="0.3">
      <c r="A651" s="3">
        <v>18</v>
      </c>
      <c r="B651" s="3">
        <v>6</v>
      </c>
      <c r="C651" s="6">
        <v>4</v>
      </c>
      <c r="D651" t="s">
        <v>20</v>
      </c>
      <c r="E651" s="3">
        <v>5000</v>
      </c>
      <c r="F651" s="6">
        <v>4.0999999999999996</v>
      </c>
      <c r="G651" t="s">
        <v>37</v>
      </c>
      <c r="H651" s="2">
        <v>0.6</v>
      </c>
      <c r="I651" s="3">
        <v>900</v>
      </c>
      <c r="J651" s="3" t="str">
        <f t="shared" si="41"/>
        <v>Low Price</v>
      </c>
      <c r="K651" t="s">
        <v>9</v>
      </c>
      <c r="L651" t="s">
        <v>33</v>
      </c>
      <c r="M651" t="s">
        <v>34</v>
      </c>
      <c r="N651">
        <v>0.7</v>
      </c>
      <c r="O651" t="str">
        <f t="shared" si="42"/>
        <v>Medium</v>
      </c>
      <c r="P651">
        <f t="shared" si="43"/>
        <v>5400</v>
      </c>
      <c r="Q651" s="2">
        <f t="shared" si="44"/>
        <v>0.33333333333333331</v>
      </c>
    </row>
    <row r="652" spans="1:17" x14ac:dyDescent="0.3">
      <c r="A652" s="3">
        <v>24</v>
      </c>
      <c r="B652" s="3">
        <v>9</v>
      </c>
      <c r="C652" s="6">
        <v>4.9000000000000004</v>
      </c>
      <c r="D652" t="s">
        <v>20</v>
      </c>
      <c r="E652" s="3">
        <v>800</v>
      </c>
      <c r="F652" s="6">
        <v>4.8</v>
      </c>
      <c r="G652" t="s">
        <v>82</v>
      </c>
      <c r="H652" s="2">
        <v>0.9</v>
      </c>
      <c r="I652" s="3">
        <v>800</v>
      </c>
      <c r="J652" s="3" t="str">
        <f t="shared" si="41"/>
        <v>Low Price</v>
      </c>
      <c r="K652" t="s">
        <v>9</v>
      </c>
      <c r="L652" t="s">
        <v>17</v>
      </c>
      <c r="M652" t="s">
        <v>18</v>
      </c>
      <c r="N652">
        <v>0.9</v>
      </c>
      <c r="O652" t="str">
        <f t="shared" si="42"/>
        <v>High</v>
      </c>
      <c r="P652">
        <f t="shared" si="43"/>
        <v>7200</v>
      </c>
      <c r="Q652" s="2">
        <f t="shared" si="44"/>
        <v>0.375</v>
      </c>
    </row>
    <row r="653" spans="1:17" x14ac:dyDescent="0.3">
      <c r="A653" s="3">
        <v>41</v>
      </c>
      <c r="B653" s="3">
        <v>14</v>
      </c>
      <c r="C653" s="6">
        <v>4.5999999999999996</v>
      </c>
      <c r="D653" t="s">
        <v>13</v>
      </c>
      <c r="E653" s="3">
        <v>2700</v>
      </c>
      <c r="F653" s="6">
        <v>4.5</v>
      </c>
      <c r="G653" t="s">
        <v>48</v>
      </c>
      <c r="H653" s="2">
        <v>0.7</v>
      </c>
      <c r="I653" s="3">
        <v>600</v>
      </c>
      <c r="J653" s="3" t="str">
        <f t="shared" si="41"/>
        <v>Low Price</v>
      </c>
      <c r="K653" t="s">
        <v>9</v>
      </c>
      <c r="L653" t="s">
        <v>33</v>
      </c>
      <c r="M653" t="s">
        <v>34</v>
      </c>
      <c r="N653">
        <v>0.8</v>
      </c>
      <c r="O653" t="str">
        <f t="shared" si="42"/>
        <v>High</v>
      </c>
      <c r="P653">
        <f t="shared" si="43"/>
        <v>8400</v>
      </c>
      <c r="Q653" s="2">
        <f t="shared" si="44"/>
        <v>0.34146341463414637</v>
      </c>
    </row>
    <row r="654" spans="1:17" x14ac:dyDescent="0.3">
      <c r="A654" s="3">
        <v>11</v>
      </c>
      <c r="B654" s="3">
        <v>2</v>
      </c>
      <c r="C654" s="6">
        <v>3.4</v>
      </c>
      <c r="D654" t="s">
        <v>13</v>
      </c>
      <c r="E654" s="3">
        <v>7000</v>
      </c>
      <c r="F654" s="6">
        <v>3.6</v>
      </c>
      <c r="G654" t="s">
        <v>75</v>
      </c>
      <c r="H654" s="2">
        <v>0.4</v>
      </c>
      <c r="I654" s="3">
        <v>700</v>
      </c>
      <c r="J654" s="3" t="str">
        <f t="shared" si="41"/>
        <v>Low Price</v>
      </c>
      <c r="K654" t="s">
        <v>9</v>
      </c>
      <c r="L654" t="s">
        <v>33</v>
      </c>
      <c r="M654" t="s">
        <v>25</v>
      </c>
      <c r="N654">
        <v>0.6</v>
      </c>
      <c r="O654" t="str">
        <f t="shared" si="42"/>
        <v>Medium</v>
      </c>
      <c r="P654">
        <f t="shared" si="43"/>
        <v>1400</v>
      </c>
      <c r="Q654" s="2">
        <f t="shared" si="44"/>
        <v>0.18181818181818182</v>
      </c>
    </row>
    <row r="655" spans="1:17" x14ac:dyDescent="0.3">
      <c r="A655" s="3">
        <v>14</v>
      </c>
      <c r="B655" s="3">
        <v>4</v>
      </c>
      <c r="C655" s="6">
        <v>4</v>
      </c>
      <c r="D655" t="s">
        <v>20</v>
      </c>
      <c r="E655" s="3">
        <v>8500</v>
      </c>
      <c r="F655" s="6">
        <v>4.4000000000000004</v>
      </c>
      <c r="G655" t="s">
        <v>21</v>
      </c>
      <c r="H655" s="2">
        <v>0.9</v>
      </c>
      <c r="I655" s="3">
        <v>400</v>
      </c>
      <c r="J655" s="3" t="str">
        <f t="shared" si="41"/>
        <v>Low Price</v>
      </c>
      <c r="K655" t="s">
        <v>9</v>
      </c>
      <c r="L655" t="s">
        <v>17</v>
      </c>
      <c r="M655" t="s">
        <v>34</v>
      </c>
      <c r="N655">
        <v>0.9</v>
      </c>
      <c r="O655" t="str">
        <f t="shared" si="42"/>
        <v>High</v>
      </c>
      <c r="P655">
        <f t="shared" si="43"/>
        <v>1600</v>
      </c>
      <c r="Q655" s="2">
        <f t="shared" si="44"/>
        <v>0.2857142857142857</v>
      </c>
    </row>
    <row r="656" spans="1:17" x14ac:dyDescent="0.3">
      <c r="A656" s="3">
        <v>30</v>
      </c>
      <c r="B656" s="3">
        <v>11</v>
      </c>
      <c r="C656" s="6">
        <v>4.5999999999999996</v>
      </c>
      <c r="D656" t="s">
        <v>13</v>
      </c>
      <c r="E656" s="3">
        <v>11000</v>
      </c>
      <c r="F656" s="6">
        <v>4.8</v>
      </c>
      <c r="G656" t="s">
        <v>118</v>
      </c>
      <c r="H656" s="2">
        <v>0.9</v>
      </c>
      <c r="I656" s="3">
        <v>1200</v>
      </c>
      <c r="J656" s="3" t="str">
        <f t="shared" si="41"/>
        <v>Medium Price</v>
      </c>
      <c r="K656" t="s">
        <v>9</v>
      </c>
      <c r="L656" t="s">
        <v>29</v>
      </c>
      <c r="M656" t="s">
        <v>25</v>
      </c>
      <c r="N656">
        <v>1</v>
      </c>
      <c r="O656" t="str">
        <f t="shared" si="42"/>
        <v>High</v>
      </c>
      <c r="P656">
        <f t="shared" si="43"/>
        <v>13200</v>
      </c>
      <c r="Q656" s="2">
        <f t="shared" si="44"/>
        <v>0.36666666666666664</v>
      </c>
    </row>
    <row r="657" spans="1:17" x14ac:dyDescent="0.3">
      <c r="A657" s="3">
        <v>8</v>
      </c>
      <c r="B657" s="3">
        <v>1</v>
      </c>
      <c r="C657" s="6">
        <v>2.4</v>
      </c>
      <c r="D657" t="s">
        <v>20</v>
      </c>
      <c r="E657" s="3">
        <v>600</v>
      </c>
      <c r="F657" s="6">
        <v>2.6</v>
      </c>
      <c r="G657" t="s">
        <v>77</v>
      </c>
      <c r="H657" s="2">
        <v>-0.6</v>
      </c>
      <c r="I657" s="3">
        <v>400</v>
      </c>
      <c r="J657" s="3" t="str">
        <f t="shared" si="41"/>
        <v>Low Price</v>
      </c>
      <c r="K657" t="s">
        <v>179</v>
      </c>
      <c r="L657" t="s">
        <v>33</v>
      </c>
      <c r="M657" t="s">
        <v>18</v>
      </c>
      <c r="N657">
        <v>0.1</v>
      </c>
      <c r="O657" t="str">
        <f t="shared" si="42"/>
        <v>Low</v>
      </c>
      <c r="P657">
        <f t="shared" si="43"/>
        <v>400</v>
      </c>
      <c r="Q657" s="2">
        <f t="shared" si="44"/>
        <v>0.125</v>
      </c>
    </row>
    <row r="658" spans="1:17" x14ac:dyDescent="0.3">
      <c r="A658" s="3">
        <v>22</v>
      </c>
      <c r="B658" s="3">
        <v>7</v>
      </c>
      <c r="C658" s="6">
        <v>4.4000000000000004</v>
      </c>
      <c r="D658" t="s">
        <v>13</v>
      </c>
      <c r="E658" s="3">
        <v>1200</v>
      </c>
      <c r="F658" s="6">
        <v>4.2</v>
      </c>
      <c r="G658" t="s">
        <v>66</v>
      </c>
      <c r="H658" s="2">
        <v>0.8</v>
      </c>
      <c r="I658" s="3">
        <v>600</v>
      </c>
      <c r="J658" s="3" t="str">
        <f t="shared" si="41"/>
        <v>Low Price</v>
      </c>
      <c r="K658" t="s">
        <v>9</v>
      </c>
      <c r="L658" t="s">
        <v>33</v>
      </c>
      <c r="M658" t="s">
        <v>18</v>
      </c>
      <c r="N658">
        <v>0.8</v>
      </c>
      <c r="O658" t="str">
        <f t="shared" si="42"/>
        <v>High</v>
      </c>
      <c r="P658">
        <f t="shared" si="43"/>
        <v>4200</v>
      </c>
      <c r="Q658" s="2">
        <f t="shared" si="44"/>
        <v>0.31818181818181818</v>
      </c>
    </row>
    <row r="659" spans="1:17" x14ac:dyDescent="0.3">
      <c r="A659" s="3">
        <v>33</v>
      </c>
      <c r="B659" s="3">
        <v>12</v>
      </c>
      <c r="C659" s="6">
        <v>4.7</v>
      </c>
      <c r="D659" t="s">
        <v>13</v>
      </c>
      <c r="E659" s="3">
        <v>900</v>
      </c>
      <c r="F659" s="6">
        <v>4.8</v>
      </c>
      <c r="G659" t="s">
        <v>27</v>
      </c>
      <c r="H659" s="2">
        <v>0.8</v>
      </c>
      <c r="I659" s="3">
        <v>500</v>
      </c>
      <c r="J659" s="3" t="str">
        <f t="shared" si="41"/>
        <v>Low Price</v>
      </c>
      <c r="K659" t="s">
        <v>9</v>
      </c>
      <c r="L659" t="s">
        <v>24</v>
      </c>
      <c r="M659" t="s">
        <v>18</v>
      </c>
      <c r="N659">
        <v>0.8</v>
      </c>
      <c r="O659" t="str">
        <f t="shared" si="42"/>
        <v>High</v>
      </c>
      <c r="P659">
        <f t="shared" si="43"/>
        <v>6000</v>
      </c>
      <c r="Q659" s="2">
        <f t="shared" si="44"/>
        <v>0.36363636363636365</v>
      </c>
    </row>
    <row r="660" spans="1:17" x14ac:dyDescent="0.3">
      <c r="A660" s="3">
        <v>5</v>
      </c>
      <c r="B660" s="3">
        <v>0</v>
      </c>
      <c r="C660" s="6">
        <v>1.4</v>
      </c>
      <c r="D660" t="s">
        <v>20</v>
      </c>
      <c r="E660" s="3">
        <v>2500</v>
      </c>
      <c r="F660" s="6">
        <v>1.8</v>
      </c>
      <c r="G660" t="s">
        <v>14</v>
      </c>
      <c r="H660" s="2">
        <v>-1</v>
      </c>
      <c r="I660" s="3">
        <v>300</v>
      </c>
      <c r="J660" s="3" t="str">
        <f t="shared" si="41"/>
        <v>Low Price</v>
      </c>
      <c r="K660" t="s">
        <v>179</v>
      </c>
      <c r="L660" t="s">
        <v>33</v>
      </c>
      <c r="M660" t="s">
        <v>34</v>
      </c>
      <c r="N660">
        <v>0</v>
      </c>
      <c r="O660" t="str">
        <f t="shared" si="42"/>
        <v>Low</v>
      </c>
      <c r="P660">
        <f t="shared" si="43"/>
        <v>0</v>
      </c>
      <c r="Q660" s="2">
        <f t="shared" si="44"/>
        <v>0</v>
      </c>
    </row>
    <row r="661" spans="1:17" x14ac:dyDescent="0.3">
      <c r="A661" s="3">
        <v>16</v>
      </c>
      <c r="B661" s="3">
        <v>6</v>
      </c>
      <c r="C661" s="6">
        <v>3.7</v>
      </c>
      <c r="D661" t="s">
        <v>13</v>
      </c>
      <c r="E661" s="3">
        <v>4500</v>
      </c>
      <c r="F661" s="6">
        <v>4</v>
      </c>
      <c r="G661" t="s">
        <v>115</v>
      </c>
      <c r="H661" s="2">
        <v>0.5</v>
      </c>
      <c r="I661" s="3">
        <v>900</v>
      </c>
      <c r="J661" s="3" t="str">
        <f t="shared" si="41"/>
        <v>Low Price</v>
      </c>
      <c r="K661" t="s">
        <v>9</v>
      </c>
      <c r="L661" t="s">
        <v>33</v>
      </c>
      <c r="M661" t="s">
        <v>25</v>
      </c>
      <c r="N661">
        <v>0.7</v>
      </c>
      <c r="O661" t="str">
        <f t="shared" si="42"/>
        <v>Medium</v>
      </c>
      <c r="P661">
        <f t="shared" si="43"/>
        <v>5400</v>
      </c>
      <c r="Q661" s="2">
        <f t="shared" si="44"/>
        <v>0.375</v>
      </c>
    </row>
    <row r="662" spans="1:17" x14ac:dyDescent="0.3">
      <c r="A662" s="3">
        <v>6</v>
      </c>
      <c r="B662" s="3">
        <v>3</v>
      </c>
      <c r="C662" s="6">
        <v>2.8</v>
      </c>
      <c r="D662" t="s">
        <v>20</v>
      </c>
      <c r="E662" s="3">
        <v>5500</v>
      </c>
      <c r="F662" s="6">
        <v>3.1</v>
      </c>
      <c r="G662" t="s">
        <v>116</v>
      </c>
      <c r="H662" s="2">
        <v>0.2</v>
      </c>
      <c r="I662" s="3">
        <v>500</v>
      </c>
      <c r="J662" s="3" t="str">
        <f t="shared" si="41"/>
        <v>Low Price</v>
      </c>
      <c r="K662" t="s">
        <v>9</v>
      </c>
      <c r="L662" t="s">
        <v>17</v>
      </c>
      <c r="M662" t="s">
        <v>34</v>
      </c>
      <c r="N662">
        <v>0.4</v>
      </c>
      <c r="O662" t="str">
        <f t="shared" si="42"/>
        <v>Medium</v>
      </c>
      <c r="P662">
        <f t="shared" si="43"/>
        <v>1500</v>
      </c>
      <c r="Q662" s="2">
        <f t="shared" si="44"/>
        <v>0.5</v>
      </c>
    </row>
    <row r="663" spans="1:17" x14ac:dyDescent="0.3">
      <c r="A663" s="3">
        <v>20</v>
      </c>
      <c r="B663" s="3">
        <v>8</v>
      </c>
      <c r="C663" s="6">
        <v>4.2</v>
      </c>
      <c r="D663" t="s">
        <v>20</v>
      </c>
      <c r="E663" s="3">
        <v>900</v>
      </c>
      <c r="F663" s="6">
        <v>4.5999999999999996</v>
      </c>
      <c r="G663" t="s">
        <v>31</v>
      </c>
      <c r="H663" s="2">
        <v>0.7</v>
      </c>
      <c r="I663" s="3">
        <v>800</v>
      </c>
      <c r="J663" s="3" t="str">
        <f t="shared" si="41"/>
        <v>Low Price</v>
      </c>
      <c r="K663" t="s">
        <v>9</v>
      </c>
      <c r="L663" t="s">
        <v>33</v>
      </c>
      <c r="M663" t="s">
        <v>18</v>
      </c>
      <c r="N663">
        <v>0.9</v>
      </c>
      <c r="O663" t="str">
        <f t="shared" si="42"/>
        <v>High</v>
      </c>
      <c r="P663">
        <f t="shared" si="43"/>
        <v>6400</v>
      </c>
      <c r="Q663" s="2">
        <f t="shared" si="44"/>
        <v>0.4</v>
      </c>
    </row>
    <row r="664" spans="1:17" x14ac:dyDescent="0.3">
      <c r="A664" s="3">
        <v>25</v>
      </c>
      <c r="B664" s="3">
        <v>10</v>
      </c>
      <c r="C664" s="6">
        <v>4.5</v>
      </c>
      <c r="D664" t="s">
        <v>13</v>
      </c>
      <c r="E664" s="3">
        <v>1300</v>
      </c>
      <c r="F664" s="6">
        <v>4.7</v>
      </c>
      <c r="G664" t="s">
        <v>62</v>
      </c>
      <c r="H664" s="2">
        <v>0.4</v>
      </c>
      <c r="I664" s="3">
        <v>600</v>
      </c>
      <c r="J664" s="3" t="str">
        <f t="shared" si="41"/>
        <v>Low Price</v>
      </c>
      <c r="K664" t="s">
        <v>9</v>
      </c>
      <c r="L664" t="s">
        <v>17</v>
      </c>
      <c r="M664" t="s">
        <v>18</v>
      </c>
      <c r="N664">
        <v>0.6</v>
      </c>
      <c r="O664" t="str">
        <f t="shared" si="42"/>
        <v>Medium</v>
      </c>
      <c r="P664">
        <f t="shared" si="43"/>
        <v>6000</v>
      </c>
      <c r="Q664" s="2">
        <f t="shared" si="44"/>
        <v>0.4</v>
      </c>
    </row>
    <row r="665" spans="1:17" x14ac:dyDescent="0.3">
      <c r="A665" s="3">
        <v>15</v>
      </c>
      <c r="B665" s="3">
        <v>5</v>
      </c>
      <c r="C665" s="6">
        <v>3.7</v>
      </c>
      <c r="D665" t="s">
        <v>20</v>
      </c>
      <c r="E665" s="3">
        <v>6000</v>
      </c>
      <c r="F665" s="6">
        <v>3.9</v>
      </c>
      <c r="G665" t="s">
        <v>35</v>
      </c>
      <c r="H665" s="2">
        <v>0.7</v>
      </c>
      <c r="I665" s="3">
        <v>400</v>
      </c>
      <c r="J665" s="3" t="str">
        <f t="shared" si="41"/>
        <v>Low Price</v>
      </c>
      <c r="K665" t="s">
        <v>9</v>
      </c>
      <c r="L665" t="s">
        <v>33</v>
      </c>
      <c r="M665" t="s">
        <v>18</v>
      </c>
      <c r="N665">
        <v>0.6</v>
      </c>
      <c r="O665" t="str">
        <f t="shared" si="42"/>
        <v>Medium</v>
      </c>
      <c r="P665">
        <f t="shared" si="43"/>
        <v>2000</v>
      </c>
      <c r="Q665" s="2">
        <f t="shared" si="44"/>
        <v>0.33333333333333331</v>
      </c>
    </row>
    <row r="666" spans="1:17" x14ac:dyDescent="0.3">
      <c r="A666" s="3">
        <v>32</v>
      </c>
      <c r="B666" s="3">
        <v>16</v>
      </c>
      <c r="C666" s="6">
        <v>4.8</v>
      </c>
      <c r="D666" t="s">
        <v>13</v>
      </c>
      <c r="E666" s="3">
        <v>10000</v>
      </c>
      <c r="F666" s="6">
        <v>4.9000000000000004</v>
      </c>
      <c r="G666" t="s">
        <v>50</v>
      </c>
      <c r="H666" s="2">
        <v>0.9</v>
      </c>
      <c r="I666" s="3">
        <v>1300</v>
      </c>
      <c r="J666" s="3" t="str">
        <f t="shared" si="41"/>
        <v>Medium Price</v>
      </c>
      <c r="K666" t="s">
        <v>9</v>
      </c>
      <c r="L666" t="s">
        <v>17</v>
      </c>
      <c r="M666" t="s">
        <v>25</v>
      </c>
      <c r="N666">
        <v>0.9</v>
      </c>
      <c r="O666" t="str">
        <f t="shared" si="42"/>
        <v>High</v>
      </c>
      <c r="P666">
        <f t="shared" si="43"/>
        <v>20800</v>
      </c>
      <c r="Q666" s="2">
        <f t="shared" si="44"/>
        <v>0.5</v>
      </c>
    </row>
    <row r="667" spans="1:17" x14ac:dyDescent="0.3">
      <c r="A667" s="3">
        <v>10</v>
      </c>
      <c r="B667" s="3">
        <v>2</v>
      </c>
      <c r="C667" s="6">
        <v>2.7</v>
      </c>
      <c r="D667" t="s">
        <v>20</v>
      </c>
      <c r="E667" s="3">
        <v>300</v>
      </c>
      <c r="F667" s="6">
        <v>3</v>
      </c>
      <c r="G667" t="s">
        <v>117</v>
      </c>
      <c r="H667" s="2">
        <v>-0.1</v>
      </c>
      <c r="I667" s="3">
        <v>700</v>
      </c>
      <c r="J667" s="3" t="str">
        <f t="shared" si="41"/>
        <v>Low Price</v>
      </c>
      <c r="K667" t="s">
        <v>9</v>
      </c>
      <c r="L667" t="s">
        <v>33</v>
      </c>
      <c r="M667" t="s">
        <v>25</v>
      </c>
      <c r="N667">
        <v>0.3</v>
      </c>
      <c r="O667" t="str">
        <f t="shared" si="42"/>
        <v>Low</v>
      </c>
      <c r="P667">
        <f t="shared" si="43"/>
        <v>1400</v>
      </c>
      <c r="Q667" s="2">
        <f t="shared" si="44"/>
        <v>0.2</v>
      </c>
    </row>
    <row r="668" spans="1:17" x14ac:dyDescent="0.3">
      <c r="A668" s="3">
        <v>40</v>
      </c>
      <c r="B668" s="3">
        <v>18</v>
      </c>
      <c r="C668" s="6">
        <v>4.9000000000000004</v>
      </c>
      <c r="D668" t="s">
        <v>13</v>
      </c>
      <c r="E668" s="3">
        <v>800</v>
      </c>
      <c r="F668" s="6">
        <v>4.8</v>
      </c>
      <c r="G668" t="s">
        <v>42</v>
      </c>
      <c r="H668" s="2">
        <v>0.9</v>
      </c>
      <c r="I668" s="3">
        <v>1100</v>
      </c>
      <c r="J668" s="3" t="str">
        <f t="shared" si="41"/>
        <v>Medium Price</v>
      </c>
      <c r="K668" t="s">
        <v>9</v>
      </c>
      <c r="L668" t="s">
        <v>29</v>
      </c>
      <c r="M668" t="s">
        <v>18</v>
      </c>
      <c r="N668">
        <v>1</v>
      </c>
      <c r="O668" t="str">
        <f t="shared" si="42"/>
        <v>High</v>
      </c>
      <c r="P668">
        <f t="shared" si="43"/>
        <v>19800</v>
      </c>
      <c r="Q668" s="2">
        <f t="shared" si="44"/>
        <v>0.45</v>
      </c>
    </row>
    <row r="669" spans="1:17" x14ac:dyDescent="0.3">
      <c r="A669" s="3">
        <v>9</v>
      </c>
      <c r="B669" s="3">
        <v>1</v>
      </c>
      <c r="C669" s="6">
        <v>2.4</v>
      </c>
      <c r="D669" t="s">
        <v>20</v>
      </c>
      <c r="E669" s="3">
        <v>600</v>
      </c>
      <c r="F669" s="6">
        <v>2.7</v>
      </c>
      <c r="G669" t="s">
        <v>68</v>
      </c>
      <c r="H669" s="2">
        <v>0.3</v>
      </c>
      <c r="I669" s="3">
        <v>800</v>
      </c>
      <c r="J669" s="3" t="str">
        <f t="shared" si="41"/>
        <v>Low Price</v>
      </c>
      <c r="K669" t="s">
        <v>9</v>
      </c>
      <c r="L669" t="s">
        <v>33</v>
      </c>
      <c r="M669" t="s">
        <v>25</v>
      </c>
      <c r="N669">
        <v>0.6</v>
      </c>
      <c r="O669" t="str">
        <f t="shared" si="42"/>
        <v>Medium</v>
      </c>
      <c r="P669">
        <f t="shared" si="43"/>
        <v>800</v>
      </c>
      <c r="Q669" s="2">
        <f t="shared" si="44"/>
        <v>0.1111111111111111</v>
      </c>
    </row>
    <row r="670" spans="1:17" x14ac:dyDescent="0.3">
      <c r="A670" s="3">
        <v>13</v>
      </c>
      <c r="B670" s="3">
        <v>6</v>
      </c>
      <c r="C670" s="6">
        <v>3.3</v>
      </c>
      <c r="D670" t="s">
        <v>13</v>
      </c>
      <c r="E670" s="3">
        <v>7500</v>
      </c>
      <c r="F670" s="6">
        <v>3.5</v>
      </c>
      <c r="G670" t="s">
        <v>73</v>
      </c>
      <c r="H670" s="2">
        <v>0.7</v>
      </c>
      <c r="I670" s="3">
        <v>1000</v>
      </c>
      <c r="J670" s="3" t="str">
        <f t="shared" si="41"/>
        <v>Medium Price</v>
      </c>
      <c r="K670" t="s">
        <v>9</v>
      </c>
      <c r="L670" t="s">
        <v>17</v>
      </c>
      <c r="M670" t="s">
        <v>18</v>
      </c>
      <c r="N670">
        <v>0.8</v>
      </c>
      <c r="O670" t="str">
        <f t="shared" si="42"/>
        <v>High</v>
      </c>
      <c r="P670">
        <f t="shared" si="43"/>
        <v>6000</v>
      </c>
      <c r="Q670" s="2">
        <f t="shared" si="44"/>
        <v>0.46153846153846156</v>
      </c>
    </row>
    <row r="671" spans="1:17" x14ac:dyDescent="0.3">
      <c r="A671" s="3">
        <v>28</v>
      </c>
      <c r="B671" s="3">
        <v>9</v>
      </c>
      <c r="C671" s="6">
        <v>4.3</v>
      </c>
      <c r="D671" t="s">
        <v>20</v>
      </c>
      <c r="E671" s="3">
        <v>2200</v>
      </c>
      <c r="F671" s="6">
        <v>4.5</v>
      </c>
      <c r="G671" t="s">
        <v>95</v>
      </c>
      <c r="H671" s="2">
        <v>0.8</v>
      </c>
      <c r="I671" s="3">
        <v>900</v>
      </c>
      <c r="J671" s="3" t="str">
        <f t="shared" si="41"/>
        <v>Low Price</v>
      </c>
      <c r="K671" t="s">
        <v>9</v>
      </c>
      <c r="L671" t="s">
        <v>33</v>
      </c>
      <c r="M671" t="s">
        <v>34</v>
      </c>
      <c r="N671">
        <v>0.9</v>
      </c>
      <c r="O671" t="str">
        <f t="shared" si="42"/>
        <v>High</v>
      </c>
      <c r="P671">
        <f t="shared" si="43"/>
        <v>8100</v>
      </c>
      <c r="Q671" s="2">
        <f t="shared" si="44"/>
        <v>0.32142857142857145</v>
      </c>
    </row>
    <row r="672" spans="1:17" x14ac:dyDescent="0.3">
      <c r="A672" s="3">
        <v>34</v>
      </c>
      <c r="B672" s="3">
        <v>15</v>
      </c>
      <c r="C672" s="6">
        <v>4.9000000000000004</v>
      </c>
      <c r="D672" t="s">
        <v>13</v>
      </c>
      <c r="E672" s="3">
        <v>5000</v>
      </c>
      <c r="F672" s="6">
        <v>4.8</v>
      </c>
      <c r="G672" t="s">
        <v>57</v>
      </c>
      <c r="H672" s="2">
        <v>0.9</v>
      </c>
      <c r="I672" s="3">
        <v>800</v>
      </c>
      <c r="J672" s="3" t="str">
        <f t="shared" si="41"/>
        <v>Low Price</v>
      </c>
      <c r="K672" t="s">
        <v>9</v>
      </c>
      <c r="L672" t="s">
        <v>33</v>
      </c>
      <c r="M672" t="s">
        <v>18</v>
      </c>
      <c r="N672">
        <v>1</v>
      </c>
      <c r="O672" t="str">
        <f t="shared" si="42"/>
        <v>High</v>
      </c>
      <c r="P672">
        <f t="shared" si="43"/>
        <v>12000</v>
      </c>
      <c r="Q672" s="2">
        <f t="shared" si="44"/>
        <v>0.44117647058823528</v>
      </c>
    </row>
    <row r="673" spans="1:17" x14ac:dyDescent="0.3">
      <c r="A673" s="3">
        <v>2</v>
      </c>
      <c r="B673" s="3">
        <v>0</v>
      </c>
      <c r="C673" s="6">
        <v>1.8</v>
      </c>
      <c r="D673" t="s">
        <v>13</v>
      </c>
      <c r="E673" s="3">
        <v>700</v>
      </c>
      <c r="F673" s="6">
        <v>2.2999999999999998</v>
      </c>
      <c r="G673" t="s">
        <v>72</v>
      </c>
      <c r="H673" s="2">
        <v>-0.9</v>
      </c>
      <c r="I673" s="3">
        <v>400</v>
      </c>
      <c r="J673" s="3" t="str">
        <f t="shared" si="41"/>
        <v>Low Price</v>
      </c>
      <c r="K673" t="s">
        <v>179</v>
      </c>
      <c r="L673" t="s">
        <v>33</v>
      </c>
      <c r="M673" t="s">
        <v>34</v>
      </c>
      <c r="N673">
        <v>0.1</v>
      </c>
      <c r="O673" t="str">
        <f t="shared" si="42"/>
        <v>Low</v>
      </c>
      <c r="P673">
        <f t="shared" si="43"/>
        <v>0</v>
      </c>
      <c r="Q673" s="2">
        <f t="shared" si="44"/>
        <v>0</v>
      </c>
    </row>
    <row r="674" spans="1:17" x14ac:dyDescent="0.3">
      <c r="A674" s="3">
        <v>18</v>
      </c>
      <c r="B674" s="3">
        <v>7</v>
      </c>
      <c r="C674" s="6">
        <v>3.9</v>
      </c>
      <c r="D674" t="s">
        <v>20</v>
      </c>
      <c r="E674" s="3">
        <v>13000</v>
      </c>
      <c r="F674" s="6">
        <v>4</v>
      </c>
      <c r="G674" t="s">
        <v>78</v>
      </c>
      <c r="H674" s="2">
        <v>0.3</v>
      </c>
      <c r="I674" s="3">
        <v>500</v>
      </c>
      <c r="J674" s="3" t="str">
        <f t="shared" si="41"/>
        <v>Low Price</v>
      </c>
      <c r="K674" t="s">
        <v>9</v>
      </c>
      <c r="L674" t="s">
        <v>17</v>
      </c>
      <c r="M674" t="s">
        <v>18</v>
      </c>
      <c r="N674">
        <v>0.3</v>
      </c>
      <c r="O674" t="str">
        <f t="shared" si="42"/>
        <v>Low</v>
      </c>
      <c r="P674">
        <f t="shared" si="43"/>
        <v>3500</v>
      </c>
      <c r="Q674" s="2">
        <f t="shared" si="44"/>
        <v>0.3888888888888889</v>
      </c>
    </row>
    <row r="675" spans="1:17" x14ac:dyDescent="0.3">
      <c r="A675" s="3">
        <v>8</v>
      </c>
      <c r="B675" s="3">
        <v>3</v>
      </c>
      <c r="C675" s="6">
        <v>2.4</v>
      </c>
      <c r="D675" t="s">
        <v>13</v>
      </c>
      <c r="E675" s="3">
        <v>700</v>
      </c>
      <c r="F675" s="6">
        <v>2.8</v>
      </c>
      <c r="G675" t="s">
        <v>55</v>
      </c>
      <c r="H675" s="2">
        <v>-0.6</v>
      </c>
      <c r="I675" s="3">
        <v>900</v>
      </c>
      <c r="J675" s="3" t="str">
        <f t="shared" si="41"/>
        <v>Low Price</v>
      </c>
      <c r="K675" t="s">
        <v>9</v>
      </c>
      <c r="L675" t="s">
        <v>33</v>
      </c>
      <c r="M675" t="s">
        <v>25</v>
      </c>
      <c r="N675">
        <v>0.3</v>
      </c>
      <c r="O675" t="str">
        <f t="shared" si="42"/>
        <v>Low</v>
      </c>
      <c r="P675">
        <f t="shared" si="43"/>
        <v>2700</v>
      </c>
      <c r="Q675" s="2">
        <f t="shared" si="44"/>
        <v>0.375</v>
      </c>
    </row>
    <row r="676" spans="1:17" x14ac:dyDescent="0.3">
      <c r="A676" s="3">
        <v>41</v>
      </c>
      <c r="B676" s="3">
        <v>20</v>
      </c>
      <c r="C676" s="6">
        <v>4.9000000000000004</v>
      </c>
      <c r="D676" t="s">
        <v>20</v>
      </c>
      <c r="E676" s="3">
        <v>8500</v>
      </c>
      <c r="F676" s="6">
        <v>4.8</v>
      </c>
      <c r="G676" t="s">
        <v>99</v>
      </c>
      <c r="H676" s="2">
        <v>0.9</v>
      </c>
      <c r="I676" s="3">
        <v>800</v>
      </c>
      <c r="J676" s="3" t="str">
        <f t="shared" si="41"/>
        <v>Low Price</v>
      </c>
      <c r="K676" t="s">
        <v>9</v>
      </c>
      <c r="L676" t="s">
        <v>29</v>
      </c>
      <c r="M676" t="s">
        <v>34</v>
      </c>
      <c r="N676">
        <v>1</v>
      </c>
      <c r="O676" t="str">
        <f t="shared" si="42"/>
        <v>High</v>
      </c>
      <c r="P676">
        <f t="shared" si="43"/>
        <v>16000</v>
      </c>
      <c r="Q676" s="2">
        <f t="shared" si="44"/>
        <v>0.48780487804878048</v>
      </c>
    </row>
    <row r="677" spans="1:17" x14ac:dyDescent="0.3">
      <c r="A677" s="3">
        <v>7</v>
      </c>
      <c r="B677" s="3">
        <v>1</v>
      </c>
      <c r="C677" s="6">
        <v>2.2999999999999998</v>
      </c>
      <c r="D677" t="s">
        <v>13</v>
      </c>
      <c r="E677" s="3">
        <v>1000</v>
      </c>
      <c r="F677" s="6">
        <v>2.6</v>
      </c>
      <c r="G677" t="s">
        <v>69</v>
      </c>
      <c r="H677" s="2">
        <v>-0.9</v>
      </c>
      <c r="I677" s="3">
        <v>300</v>
      </c>
      <c r="J677" s="3" t="str">
        <f t="shared" si="41"/>
        <v>Low Price</v>
      </c>
      <c r="K677" t="s">
        <v>179</v>
      </c>
      <c r="L677" t="s">
        <v>33</v>
      </c>
      <c r="M677" t="s">
        <v>18</v>
      </c>
      <c r="N677">
        <v>0.1</v>
      </c>
      <c r="O677" t="str">
        <f t="shared" si="42"/>
        <v>Low</v>
      </c>
      <c r="P677">
        <f t="shared" si="43"/>
        <v>300</v>
      </c>
      <c r="Q677" s="2">
        <f t="shared" si="44"/>
        <v>0.14285714285714285</v>
      </c>
    </row>
    <row r="678" spans="1:17" x14ac:dyDescent="0.3">
      <c r="A678" s="3">
        <v>21</v>
      </c>
      <c r="B678" s="3">
        <v>6</v>
      </c>
      <c r="C678" s="6">
        <v>3.9</v>
      </c>
      <c r="D678" t="s">
        <v>20</v>
      </c>
      <c r="E678" s="3">
        <v>6000</v>
      </c>
      <c r="F678" s="6">
        <v>4.0999999999999996</v>
      </c>
      <c r="G678" t="s">
        <v>37</v>
      </c>
      <c r="H678" s="2">
        <v>0.7</v>
      </c>
      <c r="I678" s="3">
        <v>1000</v>
      </c>
      <c r="J678" s="3" t="str">
        <f t="shared" si="41"/>
        <v>Medium Price</v>
      </c>
      <c r="K678" t="s">
        <v>9</v>
      </c>
      <c r="L678" t="s">
        <v>33</v>
      </c>
      <c r="M678" t="s">
        <v>34</v>
      </c>
      <c r="N678">
        <v>0.8</v>
      </c>
      <c r="O678" t="str">
        <f t="shared" si="42"/>
        <v>High</v>
      </c>
      <c r="P678">
        <f t="shared" si="43"/>
        <v>6000</v>
      </c>
      <c r="Q678" s="2">
        <f t="shared" si="44"/>
        <v>0.2857142857142857</v>
      </c>
    </row>
    <row r="679" spans="1:17" x14ac:dyDescent="0.3">
      <c r="A679" s="3">
        <v>26</v>
      </c>
      <c r="B679" s="3">
        <v>10</v>
      </c>
      <c r="C679" s="6">
        <v>4.9000000000000004</v>
      </c>
      <c r="D679" t="s">
        <v>20</v>
      </c>
      <c r="E679" s="3">
        <v>900</v>
      </c>
      <c r="F679" s="6">
        <v>4.9000000000000004</v>
      </c>
      <c r="G679" t="s">
        <v>82</v>
      </c>
      <c r="H679" s="2">
        <v>0.9</v>
      </c>
      <c r="I679" s="3">
        <v>900</v>
      </c>
      <c r="J679" s="3" t="str">
        <f t="shared" si="41"/>
        <v>Low Price</v>
      </c>
      <c r="K679" t="s">
        <v>9</v>
      </c>
      <c r="L679" t="s">
        <v>17</v>
      </c>
      <c r="M679" t="s">
        <v>18</v>
      </c>
      <c r="N679">
        <v>0.9</v>
      </c>
      <c r="O679" t="str">
        <f t="shared" si="42"/>
        <v>High</v>
      </c>
      <c r="P679">
        <f t="shared" si="43"/>
        <v>9000</v>
      </c>
      <c r="Q679" s="2">
        <f t="shared" si="44"/>
        <v>0.38461538461538464</v>
      </c>
    </row>
    <row r="680" spans="1:17" x14ac:dyDescent="0.3">
      <c r="A680" s="3">
        <v>44</v>
      </c>
      <c r="B680" s="3">
        <v>15</v>
      </c>
      <c r="C680" s="6">
        <v>4.7</v>
      </c>
      <c r="D680" t="s">
        <v>13</v>
      </c>
      <c r="E680" s="3">
        <v>2900</v>
      </c>
      <c r="F680" s="6">
        <v>4.5999999999999996</v>
      </c>
      <c r="G680" t="s">
        <v>48</v>
      </c>
      <c r="H680" s="2">
        <v>0.8</v>
      </c>
      <c r="I680" s="3">
        <v>700</v>
      </c>
      <c r="J680" s="3" t="str">
        <f t="shared" si="41"/>
        <v>Low Price</v>
      </c>
      <c r="K680" t="s">
        <v>9</v>
      </c>
      <c r="L680" t="s">
        <v>33</v>
      </c>
      <c r="M680" t="s">
        <v>34</v>
      </c>
      <c r="N680">
        <v>0.9</v>
      </c>
      <c r="O680" t="str">
        <f t="shared" si="42"/>
        <v>High</v>
      </c>
      <c r="P680">
        <f t="shared" si="43"/>
        <v>10500</v>
      </c>
      <c r="Q680" s="2">
        <f t="shared" si="44"/>
        <v>0.34090909090909088</v>
      </c>
    </row>
    <row r="681" spans="1:17" x14ac:dyDescent="0.3">
      <c r="A681" s="3">
        <v>10</v>
      </c>
      <c r="B681" s="3">
        <v>3</v>
      </c>
      <c r="C681" s="6">
        <v>3.2</v>
      </c>
      <c r="D681" t="s">
        <v>13</v>
      </c>
      <c r="E681" s="3">
        <v>8000</v>
      </c>
      <c r="F681" s="6">
        <v>3.5</v>
      </c>
      <c r="G681" t="s">
        <v>75</v>
      </c>
      <c r="H681" s="2">
        <v>0.4</v>
      </c>
      <c r="I681" s="3">
        <v>800</v>
      </c>
      <c r="J681" s="3" t="str">
        <f t="shared" si="41"/>
        <v>Low Price</v>
      </c>
      <c r="K681" t="s">
        <v>9</v>
      </c>
      <c r="L681" t="s">
        <v>33</v>
      </c>
      <c r="M681" t="s">
        <v>25</v>
      </c>
      <c r="N681">
        <v>0.6</v>
      </c>
      <c r="O681" t="str">
        <f t="shared" si="42"/>
        <v>Medium</v>
      </c>
      <c r="P681">
        <f t="shared" si="43"/>
        <v>2400</v>
      </c>
      <c r="Q681" s="2">
        <f t="shared" si="44"/>
        <v>0.3</v>
      </c>
    </row>
    <row r="682" spans="1:17" x14ac:dyDescent="0.3">
      <c r="A682" s="3">
        <v>16</v>
      </c>
      <c r="B682" s="3">
        <v>4</v>
      </c>
      <c r="C682" s="6">
        <v>3.8</v>
      </c>
      <c r="D682" t="s">
        <v>20</v>
      </c>
      <c r="E682" s="3">
        <v>9000</v>
      </c>
      <c r="F682" s="6">
        <v>4.2</v>
      </c>
      <c r="G682" t="s">
        <v>21</v>
      </c>
      <c r="H682" s="2">
        <v>0.9</v>
      </c>
      <c r="I682" s="3">
        <v>500</v>
      </c>
      <c r="J682" s="3" t="str">
        <f t="shared" si="41"/>
        <v>Low Price</v>
      </c>
      <c r="K682" t="s">
        <v>9</v>
      </c>
      <c r="L682" t="s">
        <v>17</v>
      </c>
      <c r="M682" t="s">
        <v>34</v>
      </c>
      <c r="N682">
        <v>0.9</v>
      </c>
      <c r="O682" t="str">
        <f t="shared" si="42"/>
        <v>High</v>
      </c>
      <c r="P682">
        <f t="shared" si="43"/>
        <v>2000</v>
      </c>
      <c r="Q682" s="2">
        <f t="shared" si="44"/>
        <v>0.25</v>
      </c>
    </row>
    <row r="683" spans="1:17" x14ac:dyDescent="0.3">
      <c r="A683" s="3">
        <v>31</v>
      </c>
      <c r="B683" s="3">
        <v>12</v>
      </c>
      <c r="C683" s="6">
        <v>4.7</v>
      </c>
      <c r="D683" t="s">
        <v>13</v>
      </c>
      <c r="E683" s="3">
        <v>13500</v>
      </c>
      <c r="F683" s="6">
        <v>4.9000000000000004</v>
      </c>
      <c r="G683" t="s">
        <v>118</v>
      </c>
      <c r="H683" s="2">
        <v>0.9</v>
      </c>
      <c r="I683" s="3">
        <v>1400</v>
      </c>
      <c r="J683" s="3" t="str">
        <f t="shared" si="41"/>
        <v>Medium Price</v>
      </c>
      <c r="K683" t="s">
        <v>9</v>
      </c>
      <c r="L683" t="s">
        <v>29</v>
      </c>
      <c r="M683" t="s">
        <v>25</v>
      </c>
      <c r="N683">
        <v>1</v>
      </c>
      <c r="O683" t="str">
        <f t="shared" si="42"/>
        <v>High</v>
      </c>
      <c r="P683">
        <f t="shared" si="43"/>
        <v>16800</v>
      </c>
      <c r="Q683" s="2">
        <f t="shared" si="44"/>
        <v>0.38709677419354838</v>
      </c>
    </row>
    <row r="684" spans="1:17" x14ac:dyDescent="0.3">
      <c r="A684" s="3">
        <v>9</v>
      </c>
      <c r="B684" s="3">
        <v>1</v>
      </c>
      <c r="C684" s="6">
        <v>2.2000000000000002</v>
      </c>
      <c r="D684" t="s">
        <v>20</v>
      </c>
      <c r="E684" s="3">
        <v>800</v>
      </c>
      <c r="F684" s="6">
        <v>2.4</v>
      </c>
      <c r="G684" t="s">
        <v>77</v>
      </c>
      <c r="H684" s="2">
        <v>-0.7</v>
      </c>
      <c r="I684" s="3">
        <v>500</v>
      </c>
      <c r="J684" s="3" t="str">
        <f t="shared" si="41"/>
        <v>Low Price</v>
      </c>
      <c r="K684" t="s">
        <v>179</v>
      </c>
      <c r="L684" t="s">
        <v>33</v>
      </c>
      <c r="M684" t="s">
        <v>18</v>
      </c>
      <c r="N684">
        <v>0.1</v>
      </c>
      <c r="O684" t="str">
        <f t="shared" si="42"/>
        <v>Low</v>
      </c>
      <c r="P684">
        <f t="shared" si="43"/>
        <v>500</v>
      </c>
      <c r="Q684" s="2">
        <f t="shared" si="44"/>
        <v>0.1111111111111111</v>
      </c>
    </row>
    <row r="685" spans="1:17" x14ac:dyDescent="0.3">
      <c r="A685" s="3">
        <v>23</v>
      </c>
      <c r="B685" s="3">
        <v>8</v>
      </c>
      <c r="C685" s="6">
        <v>4.5999999999999996</v>
      </c>
      <c r="D685" t="s">
        <v>13</v>
      </c>
      <c r="E685" s="3">
        <v>1400</v>
      </c>
      <c r="F685" s="6">
        <v>4.3</v>
      </c>
      <c r="G685" t="s">
        <v>66</v>
      </c>
      <c r="H685" s="2">
        <v>0.8</v>
      </c>
      <c r="I685" s="3">
        <v>700</v>
      </c>
      <c r="J685" s="3" t="str">
        <f t="shared" si="41"/>
        <v>Low Price</v>
      </c>
      <c r="K685" t="s">
        <v>9</v>
      </c>
      <c r="L685" t="s">
        <v>33</v>
      </c>
      <c r="M685" t="s">
        <v>18</v>
      </c>
      <c r="N685">
        <v>0.8</v>
      </c>
      <c r="O685" t="str">
        <f t="shared" si="42"/>
        <v>High</v>
      </c>
      <c r="P685">
        <f t="shared" si="43"/>
        <v>5600</v>
      </c>
      <c r="Q685" s="2">
        <f t="shared" si="44"/>
        <v>0.34782608695652173</v>
      </c>
    </row>
    <row r="686" spans="1:17" x14ac:dyDescent="0.3">
      <c r="A686" s="3">
        <v>35</v>
      </c>
      <c r="B686" s="3">
        <v>13</v>
      </c>
      <c r="C686" s="6">
        <v>4.8</v>
      </c>
      <c r="D686" t="s">
        <v>13</v>
      </c>
      <c r="E686" s="3">
        <v>1000</v>
      </c>
      <c r="F686" s="6">
        <v>4.9000000000000004</v>
      </c>
      <c r="G686" t="s">
        <v>27</v>
      </c>
      <c r="H686" s="2">
        <v>0.9</v>
      </c>
      <c r="I686" s="3">
        <v>600</v>
      </c>
      <c r="J686" s="3" t="str">
        <f t="shared" si="41"/>
        <v>Low Price</v>
      </c>
      <c r="K686" t="s">
        <v>9</v>
      </c>
      <c r="L686" t="s">
        <v>24</v>
      </c>
      <c r="M686" t="s">
        <v>18</v>
      </c>
      <c r="N686">
        <v>0.9</v>
      </c>
      <c r="O686" t="str">
        <f t="shared" si="42"/>
        <v>High</v>
      </c>
      <c r="P686">
        <f t="shared" si="43"/>
        <v>7800</v>
      </c>
      <c r="Q686" s="2">
        <f t="shared" si="44"/>
        <v>0.37142857142857144</v>
      </c>
    </row>
    <row r="687" spans="1:17" x14ac:dyDescent="0.3">
      <c r="A687" s="3">
        <v>6</v>
      </c>
      <c r="B687" s="3">
        <v>0</v>
      </c>
      <c r="C687" s="6">
        <v>1.2</v>
      </c>
      <c r="D687" t="s">
        <v>20</v>
      </c>
      <c r="E687" s="3">
        <v>3000</v>
      </c>
      <c r="F687" s="6">
        <v>1.6</v>
      </c>
      <c r="G687" t="s">
        <v>14</v>
      </c>
      <c r="H687" s="2">
        <v>-1</v>
      </c>
      <c r="I687" s="3">
        <v>400</v>
      </c>
      <c r="J687" s="3" t="str">
        <f t="shared" si="41"/>
        <v>Low Price</v>
      </c>
      <c r="K687" t="s">
        <v>179</v>
      </c>
      <c r="L687" t="s">
        <v>33</v>
      </c>
      <c r="M687" t="s">
        <v>34</v>
      </c>
      <c r="N687">
        <v>0</v>
      </c>
      <c r="O687" t="str">
        <f t="shared" si="42"/>
        <v>Low</v>
      </c>
      <c r="P687">
        <f t="shared" si="43"/>
        <v>0</v>
      </c>
      <c r="Q687" s="2">
        <f t="shared" si="44"/>
        <v>0</v>
      </c>
    </row>
    <row r="688" spans="1:17" x14ac:dyDescent="0.3">
      <c r="A688" s="3">
        <v>17</v>
      </c>
      <c r="B688" s="3">
        <v>7</v>
      </c>
      <c r="C688" s="6">
        <v>3.8</v>
      </c>
      <c r="D688" t="s">
        <v>13</v>
      </c>
      <c r="E688" s="3">
        <v>5500</v>
      </c>
      <c r="F688" s="6">
        <v>4.0999999999999996</v>
      </c>
      <c r="G688" t="s">
        <v>115</v>
      </c>
      <c r="H688" s="2">
        <v>0.6</v>
      </c>
      <c r="I688" s="3">
        <v>1000</v>
      </c>
      <c r="J688" s="3" t="str">
        <f t="shared" si="41"/>
        <v>Medium Price</v>
      </c>
      <c r="K688" t="s">
        <v>9</v>
      </c>
      <c r="L688" t="s">
        <v>33</v>
      </c>
      <c r="M688" t="s">
        <v>25</v>
      </c>
      <c r="N688">
        <v>0.7</v>
      </c>
      <c r="O688" t="str">
        <f t="shared" si="42"/>
        <v>Medium</v>
      </c>
      <c r="P688">
        <f t="shared" si="43"/>
        <v>7000</v>
      </c>
      <c r="Q688" s="2">
        <f t="shared" si="44"/>
        <v>0.41176470588235292</v>
      </c>
    </row>
    <row r="689" spans="1:17" x14ac:dyDescent="0.3">
      <c r="A689" s="3">
        <v>7</v>
      </c>
      <c r="B689" s="3">
        <v>4</v>
      </c>
      <c r="C689" s="6">
        <v>2.6</v>
      </c>
      <c r="D689" t="s">
        <v>20</v>
      </c>
      <c r="E689" s="3">
        <v>6500</v>
      </c>
      <c r="F689" s="6">
        <v>2.9</v>
      </c>
      <c r="G689" t="s">
        <v>116</v>
      </c>
      <c r="H689" s="2">
        <v>0.2</v>
      </c>
      <c r="I689" s="3">
        <v>600</v>
      </c>
      <c r="J689" s="3" t="str">
        <f t="shared" si="41"/>
        <v>Low Price</v>
      </c>
      <c r="K689" t="s">
        <v>9</v>
      </c>
      <c r="L689" t="s">
        <v>17</v>
      </c>
      <c r="M689" t="s">
        <v>34</v>
      </c>
      <c r="N689">
        <v>0.4</v>
      </c>
      <c r="O689" t="str">
        <f t="shared" si="42"/>
        <v>Medium</v>
      </c>
      <c r="P689">
        <f t="shared" si="43"/>
        <v>2400</v>
      </c>
      <c r="Q689" s="2">
        <f t="shared" si="44"/>
        <v>0.5714285714285714</v>
      </c>
    </row>
    <row r="690" spans="1:17" x14ac:dyDescent="0.3">
      <c r="A690" s="3">
        <v>21</v>
      </c>
      <c r="B690" s="3">
        <v>9</v>
      </c>
      <c r="C690" s="6">
        <v>4.0999999999999996</v>
      </c>
      <c r="D690" t="s">
        <v>20</v>
      </c>
      <c r="E690" s="3">
        <v>1000</v>
      </c>
      <c r="F690" s="6">
        <v>4.5999999999999996</v>
      </c>
      <c r="G690" t="s">
        <v>31</v>
      </c>
      <c r="H690" s="2">
        <v>0.8</v>
      </c>
      <c r="I690" s="3">
        <v>900</v>
      </c>
      <c r="J690" s="3" t="str">
        <f t="shared" si="41"/>
        <v>Low Price</v>
      </c>
      <c r="K690" t="s">
        <v>9</v>
      </c>
      <c r="L690" t="s">
        <v>33</v>
      </c>
      <c r="M690" t="s">
        <v>18</v>
      </c>
      <c r="N690">
        <v>0.9</v>
      </c>
      <c r="O690" t="str">
        <f t="shared" si="42"/>
        <v>High</v>
      </c>
      <c r="P690">
        <f t="shared" si="43"/>
        <v>8100</v>
      </c>
      <c r="Q690" s="2">
        <f t="shared" si="44"/>
        <v>0.42857142857142855</v>
      </c>
    </row>
    <row r="691" spans="1:17" x14ac:dyDescent="0.3">
      <c r="A691" s="3">
        <v>26</v>
      </c>
      <c r="B691" s="3">
        <v>11</v>
      </c>
      <c r="C691" s="6">
        <v>4.4000000000000004</v>
      </c>
      <c r="D691" t="s">
        <v>13</v>
      </c>
      <c r="E691" s="3">
        <v>1500</v>
      </c>
      <c r="F691" s="6">
        <v>4.8</v>
      </c>
      <c r="G691" t="s">
        <v>62</v>
      </c>
      <c r="H691" s="2">
        <v>0.5</v>
      </c>
      <c r="I691" s="3">
        <v>700</v>
      </c>
      <c r="J691" s="3" t="str">
        <f t="shared" si="41"/>
        <v>Low Price</v>
      </c>
      <c r="K691" t="s">
        <v>9</v>
      </c>
      <c r="L691" t="s">
        <v>17</v>
      </c>
      <c r="M691" t="s">
        <v>18</v>
      </c>
      <c r="N691">
        <v>0.6</v>
      </c>
      <c r="O691" t="str">
        <f t="shared" si="42"/>
        <v>Medium</v>
      </c>
      <c r="P691">
        <f t="shared" si="43"/>
        <v>7700</v>
      </c>
      <c r="Q691" s="2">
        <f t="shared" si="44"/>
        <v>0.42307692307692307</v>
      </c>
    </row>
    <row r="692" spans="1:17" x14ac:dyDescent="0.3">
      <c r="A692" s="3">
        <v>16</v>
      </c>
      <c r="B692" s="3">
        <v>5</v>
      </c>
      <c r="C692" s="6">
        <v>3.6</v>
      </c>
      <c r="D692" t="s">
        <v>20</v>
      </c>
      <c r="E692" s="3">
        <v>7000</v>
      </c>
      <c r="F692" s="6">
        <v>3.8</v>
      </c>
      <c r="G692" t="s">
        <v>35</v>
      </c>
      <c r="H692" s="2">
        <v>0.7</v>
      </c>
      <c r="I692" s="3">
        <v>500</v>
      </c>
      <c r="J692" s="3" t="str">
        <f t="shared" si="41"/>
        <v>Low Price</v>
      </c>
      <c r="K692" t="s">
        <v>9</v>
      </c>
      <c r="L692" t="s">
        <v>33</v>
      </c>
      <c r="M692" t="s">
        <v>18</v>
      </c>
      <c r="N692">
        <v>0.6</v>
      </c>
      <c r="O692" t="str">
        <f t="shared" si="42"/>
        <v>Medium</v>
      </c>
      <c r="P692">
        <f t="shared" si="43"/>
        <v>2500</v>
      </c>
      <c r="Q692" s="2">
        <f t="shared" si="44"/>
        <v>0.3125</v>
      </c>
    </row>
    <row r="693" spans="1:17" x14ac:dyDescent="0.3">
      <c r="A693" s="3">
        <v>34</v>
      </c>
      <c r="B693" s="3">
        <v>17</v>
      </c>
      <c r="C693" s="6">
        <v>4.7</v>
      </c>
      <c r="D693" t="s">
        <v>13</v>
      </c>
      <c r="E693" s="3">
        <v>11000</v>
      </c>
      <c r="F693" s="6">
        <v>4.9000000000000004</v>
      </c>
      <c r="G693" t="s">
        <v>50</v>
      </c>
      <c r="H693" s="2">
        <v>0.9</v>
      </c>
      <c r="I693" s="3">
        <v>1500</v>
      </c>
      <c r="J693" s="3" t="str">
        <f t="shared" si="41"/>
        <v>Medium Price</v>
      </c>
      <c r="K693" t="s">
        <v>9</v>
      </c>
      <c r="L693" t="s">
        <v>17</v>
      </c>
      <c r="M693" t="s">
        <v>25</v>
      </c>
      <c r="N693">
        <v>0.9</v>
      </c>
      <c r="O693" t="str">
        <f t="shared" si="42"/>
        <v>High</v>
      </c>
      <c r="P693">
        <f t="shared" si="43"/>
        <v>25500</v>
      </c>
      <c r="Q693" s="2">
        <f t="shared" si="44"/>
        <v>0.5</v>
      </c>
    </row>
    <row r="694" spans="1:17" x14ac:dyDescent="0.3">
      <c r="A694" s="3">
        <v>11</v>
      </c>
      <c r="B694" s="3">
        <v>3</v>
      </c>
      <c r="C694" s="6">
        <v>2.6</v>
      </c>
      <c r="D694" t="s">
        <v>20</v>
      </c>
      <c r="E694" s="3">
        <v>500</v>
      </c>
      <c r="F694" s="6">
        <v>2.9</v>
      </c>
      <c r="G694" t="s">
        <v>117</v>
      </c>
      <c r="H694" s="2">
        <v>-0.1</v>
      </c>
      <c r="I694" s="3">
        <v>800</v>
      </c>
      <c r="J694" s="3" t="str">
        <f t="shared" si="41"/>
        <v>Low Price</v>
      </c>
      <c r="K694" t="s">
        <v>9</v>
      </c>
      <c r="L694" t="s">
        <v>33</v>
      </c>
      <c r="M694" t="s">
        <v>25</v>
      </c>
      <c r="N694">
        <v>0.3</v>
      </c>
      <c r="O694" t="str">
        <f t="shared" si="42"/>
        <v>Low</v>
      </c>
      <c r="P694">
        <f t="shared" si="43"/>
        <v>2400</v>
      </c>
      <c r="Q694" s="2">
        <f t="shared" si="44"/>
        <v>0.27272727272727271</v>
      </c>
    </row>
    <row r="695" spans="1:17" x14ac:dyDescent="0.3">
      <c r="A695" s="3">
        <v>42</v>
      </c>
      <c r="B695" s="3">
        <v>19</v>
      </c>
      <c r="C695" s="6">
        <v>4.9000000000000004</v>
      </c>
      <c r="D695" t="s">
        <v>13</v>
      </c>
      <c r="E695" s="3">
        <v>900</v>
      </c>
      <c r="F695" s="6">
        <v>4.8</v>
      </c>
      <c r="G695" t="s">
        <v>42</v>
      </c>
      <c r="H695" s="2">
        <v>0.9</v>
      </c>
      <c r="I695" s="3">
        <v>1200</v>
      </c>
      <c r="J695" s="3" t="str">
        <f t="shared" si="41"/>
        <v>Medium Price</v>
      </c>
      <c r="K695" t="s">
        <v>9</v>
      </c>
      <c r="L695" t="s">
        <v>29</v>
      </c>
      <c r="M695" t="s">
        <v>18</v>
      </c>
      <c r="N695">
        <v>1</v>
      </c>
      <c r="O695" t="str">
        <f t="shared" si="42"/>
        <v>High</v>
      </c>
      <c r="P695">
        <f t="shared" si="43"/>
        <v>22800</v>
      </c>
      <c r="Q695" s="2">
        <f t="shared" si="44"/>
        <v>0.45238095238095238</v>
      </c>
    </row>
    <row r="696" spans="1:17" x14ac:dyDescent="0.3">
      <c r="A696" s="3">
        <v>8</v>
      </c>
      <c r="B696" s="3">
        <v>2</v>
      </c>
      <c r="C696" s="6">
        <v>2.2999999999999998</v>
      </c>
      <c r="D696" t="s">
        <v>20</v>
      </c>
      <c r="E696" s="3">
        <v>700</v>
      </c>
      <c r="F696" s="6">
        <v>2.6</v>
      </c>
      <c r="G696" t="s">
        <v>68</v>
      </c>
      <c r="H696" s="2">
        <v>0.3</v>
      </c>
      <c r="I696" s="3">
        <v>900</v>
      </c>
      <c r="J696" s="3" t="str">
        <f t="shared" si="41"/>
        <v>Low Price</v>
      </c>
      <c r="K696" t="s">
        <v>9</v>
      </c>
      <c r="L696" t="s">
        <v>33</v>
      </c>
      <c r="M696" t="s">
        <v>25</v>
      </c>
      <c r="N696">
        <v>0.6</v>
      </c>
      <c r="O696" t="str">
        <f t="shared" si="42"/>
        <v>Medium</v>
      </c>
      <c r="P696">
        <f t="shared" si="43"/>
        <v>1800</v>
      </c>
      <c r="Q696" s="2">
        <f t="shared" si="44"/>
        <v>0.25</v>
      </c>
    </row>
    <row r="697" spans="1:17" x14ac:dyDescent="0.3">
      <c r="A697" s="3">
        <v>15</v>
      </c>
      <c r="B697" s="3">
        <v>6</v>
      </c>
      <c r="C697" s="6">
        <v>3.5</v>
      </c>
      <c r="D697" t="s">
        <v>13</v>
      </c>
      <c r="E697" s="3">
        <v>8500</v>
      </c>
      <c r="F697" s="6">
        <v>3.8</v>
      </c>
      <c r="G697" t="s">
        <v>73</v>
      </c>
      <c r="H697" s="2">
        <v>0.7</v>
      </c>
      <c r="I697" s="3">
        <v>1100</v>
      </c>
      <c r="J697" s="3" t="str">
        <f t="shared" si="41"/>
        <v>Medium Price</v>
      </c>
      <c r="K697" t="s">
        <v>9</v>
      </c>
      <c r="L697" t="s">
        <v>17</v>
      </c>
      <c r="M697" t="s">
        <v>18</v>
      </c>
      <c r="N697">
        <v>0.8</v>
      </c>
      <c r="O697" t="str">
        <f t="shared" si="42"/>
        <v>High</v>
      </c>
      <c r="P697">
        <f t="shared" si="43"/>
        <v>6600</v>
      </c>
      <c r="Q697" s="2">
        <f t="shared" si="44"/>
        <v>0.4</v>
      </c>
    </row>
    <row r="698" spans="1:17" x14ac:dyDescent="0.3">
      <c r="A698" s="3">
        <v>30</v>
      </c>
      <c r="B698" s="3">
        <v>10</v>
      </c>
      <c r="C698" s="6">
        <v>4.2</v>
      </c>
      <c r="D698" t="s">
        <v>20</v>
      </c>
      <c r="E698" s="3">
        <v>2500</v>
      </c>
      <c r="F698" s="6">
        <v>4.7</v>
      </c>
      <c r="G698" t="s">
        <v>95</v>
      </c>
      <c r="H698" s="2">
        <v>0.9</v>
      </c>
      <c r="I698" s="3">
        <v>1000</v>
      </c>
      <c r="J698" s="3" t="str">
        <f t="shared" si="41"/>
        <v>Medium Price</v>
      </c>
      <c r="K698" t="s">
        <v>9</v>
      </c>
      <c r="L698" t="s">
        <v>33</v>
      </c>
      <c r="M698" t="s">
        <v>34</v>
      </c>
      <c r="N698">
        <v>0.9</v>
      </c>
      <c r="O698" t="str">
        <f t="shared" si="42"/>
        <v>High</v>
      </c>
      <c r="P698">
        <f t="shared" si="43"/>
        <v>10000</v>
      </c>
      <c r="Q698" s="2">
        <f t="shared" si="44"/>
        <v>0.33333333333333331</v>
      </c>
    </row>
    <row r="699" spans="1:17" x14ac:dyDescent="0.3">
      <c r="A699" s="3">
        <v>37</v>
      </c>
      <c r="B699" s="3">
        <v>16</v>
      </c>
      <c r="C699" s="6">
        <v>4.9000000000000004</v>
      </c>
      <c r="D699" t="s">
        <v>13</v>
      </c>
      <c r="E699" s="3">
        <v>5500</v>
      </c>
      <c r="F699" s="6">
        <v>4.8</v>
      </c>
      <c r="G699" t="s">
        <v>57</v>
      </c>
      <c r="H699" s="2">
        <v>0.9</v>
      </c>
      <c r="I699" s="3">
        <v>900</v>
      </c>
      <c r="J699" s="3" t="str">
        <f t="shared" si="41"/>
        <v>Low Price</v>
      </c>
      <c r="K699" t="s">
        <v>9</v>
      </c>
      <c r="L699" t="s">
        <v>33</v>
      </c>
      <c r="M699" t="s">
        <v>18</v>
      </c>
      <c r="N699">
        <v>1</v>
      </c>
      <c r="O699" t="str">
        <f t="shared" si="42"/>
        <v>High</v>
      </c>
      <c r="P699">
        <f t="shared" si="43"/>
        <v>14400</v>
      </c>
      <c r="Q699" s="2">
        <f t="shared" si="44"/>
        <v>0.43243243243243246</v>
      </c>
    </row>
    <row r="700" spans="1:17" x14ac:dyDescent="0.3">
      <c r="A700" s="3">
        <v>3</v>
      </c>
      <c r="B700" s="3">
        <v>1</v>
      </c>
      <c r="C700" s="6">
        <v>1.6</v>
      </c>
      <c r="D700" t="s">
        <v>13</v>
      </c>
      <c r="E700" s="3">
        <v>800</v>
      </c>
      <c r="F700" s="6">
        <v>2.1</v>
      </c>
      <c r="G700" t="s">
        <v>72</v>
      </c>
      <c r="H700" s="2">
        <v>-0.9</v>
      </c>
      <c r="I700" s="3">
        <v>500</v>
      </c>
      <c r="J700" s="3" t="str">
        <f t="shared" si="41"/>
        <v>Low Price</v>
      </c>
      <c r="K700" t="s">
        <v>179</v>
      </c>
      <c r="L700" t="s">
        <v>33</v>
      </c>
      <c r="M700" t="s">
        <v>34</v>
      </c>
      <c r="N700">
        <v>0.1</v>
      </c>
      <c r="O700" t="str">
        <f t="shared" si="42"/>
        <v>Low</v>
      </c>
      <c r="P700">
        <f t="shared" si="43"/>
        <v>500</v>
      </c>
      <c r="Q700" s="2">
        <f t="shared" si="44"/>
        <v>0.33333333333333331</v>
      </c>
    </row>
    <row r="701" spans="1:17" x14ac:dyDescent="0.3">
      <c r="A701" s="3">
        <v>19</v>
      </c>
      <c r="B701" s="3">
        <v>8</v>
      </c>
      <c r="C701" s="6">
        <v>3.9</v>
      </c>
      <c r="D701" t="s">
        <v>20</v>
      </c>
      <c r="E701" s="3">
        <v>14000</v>
      </c>
      <c r="F701" s="6">
        <v>4</v>
      </c>
      <c r="G701" t="s">
        <v>78</v>
      </c>
      <c r="H701" s="2">
        <v>0.4</v>
      </c>
      <c r="I701" s="3">
        <v>600</v>
      </c>
      <c r="J701" s="3" t="str">
        <f t="shared" si="41"/>
        <v>Low Price</v>
      </c>
      <c r="K701" t="s">
        <v>9</v>
      </c>
      <c r="L701" t="s">
        <v>17</v>
      </c>
      <c r="M701" t="s">
        <v>18</v>
      </c>
      <c r="N701">
        <v>0.3</v>
      </c>
      <c r="O701" t="str">
        <f t="shared" si="42"/>
        <v>Low</v>
      </c>
      <c r="P701">
        <f t="shared" si="43"/>
        <v>4800</v>
      </c>
      <c r="Q701" s="2">
        <f t="shared" si="44"/>
        <v>0.42105263157894735</v>
      </c>
    </row>
    <row r="702" spans="1:17" x14ac:dyDescent="0.3">
      <c r="A702" s="3">
        <v>9</v>
      </c>
      <c r="B702" s="3">
        <v>2</v>
      </c>
      <c r="C702" s="6">
        <v>2.2000000000000002</v>
      </c>
      <c r="D702" t="s">
        <v>13</v>
      </c>
      <c r="E702" s="3">
        <v>800</v>
      </c>
      <c r="F702" s="6">
        <v>2.5</v>
      </c>
      <c r="G702" t="s">
        <v>55</v>
      </c>
      <c r="H702" s="2">
        <v>-0.7</v>
      </c>
      <c r="I702" s="3">
        <v>1000</v>
      </c>
      <c r="J702" s="3" t="str">
        <f t="shared" si="41"/>
        <v>Medium Price</v>
      </c>
      <c r="K702" t="s">
        <v>9</v>
      </c>
      <c r="L702" t="s">
        <v>33</v>
      </c>
      <c r="M702" t="s">
        <v>25</v>
      </c>
      <c r="N702">
        <v>0.3</v>
      </c>
      <c r="O702" t="str">
        <f t="shared" si="42"/>
        <v>Low</v>
      </c>
      <c r="P702">
        <f t="shared" si="43"/>
        <v>2000</v>
      </c>
      <c r="Q702" s="2">
        <f t="shared" si="44"/>
        <v>0.22222222222222221</v>
      </c>
    </row>
    <row r="703" spans="1:17" x14ac:dyDescent="0.3">
      <c r="A703" s="3">
        <v>43</v>
      </c>
      <c r="B703" s="3">
        <v>21</v>
      </c>
      <c r="C703" s="6">
        <v>4.9000000000000004</v>
      </c>
      <c r="D703" t="s">
        <v>20</v>
      </c>
      <c r="E703" s="3">
        <v>9500</v>
      </c>
      <c r="F703" s="6">
        <v>4.8</v>
      </c>
      <c r="G703" t="s">
        <v>99</v>
      </c>
      <c r="H703" s="2">
        <v>0.9</v>
      </c>
      <c r="I703" s="3">
        <v>900</v>
      </c>
      <c r="J703" s="3" t="str">
        <f t="shared" si="41"/>
        <v>Low Price</v>
      </c>
      <c r="K703" t="s">
        <v>9</v>
      </c>
      <c r="L703" t="s">
        <v>29</v>
      </c>
      <c r="M703" t="s">
        <v>34</v>
      </c>
      <c r="N703">
        <v>1</v>
      </c>
      <c r="O703" t="str">
        <f t="shared" si="42"/>
        <v>High</v>
      </c>
      <c r="P703">
        <f t="shared" si="43"/>
        <v>18900</v>
      </c>
      <c r="Q703" s="2">
        <f t="shared" si="44"/>
        <v>0.48837209302325579</v>
      </c>
    </row>
    <row r="704" spans="1:17" x14ac:dyDescent="0.3">
      <c r="A704" s="3">
        <v>8</v>
      </c>
      <c r="B704" s="3">
        <v>0</v>
      </c>
      <c r="C704" s="6">
        <v>1.9</v>
      </c>
      <c r="D704" t="s">
        <v>13</v>
      </c>
      <c r="E704" s="3">
        <v>1100</v>
      </c>
      <c r="F704" s="6">
        <v>2.2999999999999998</v>
      </c>
      <c r="G704" t="s">
        <v>69</v>
      </c>
      <c r="H704" s="2">
        <v>-0.9</v>
      </c>
      <c r="I704" s="3">
        <v>400</v>
      </c>
      <c r="J704" s="3" t="str">
        <f t="shared" si="41"/>
        <v>Low Price</v>
      </c>
      <c r="K704" t="s">
        <v>179</v>
      </c>
      <c r="L704" t="s">
        <v>33</v>
      </c>
      <c r="M704" t="s">
        <v>18</v>
      </c>
      <c r="N704">
        <v>0.1</v>
      </c>
      <c r="O704" t="str">
        <f t="shared" si="42"/>
        <v>Low</v>
      </c>
      <c r="P704">
        <f t="shared" si="43"/>
        <v>0</v>
      </c>
      <c r="Q704" s="2">
        <f t="shared" si="44"/>
        <v>0</v>
      </c>
    </row>
    <row r="705" spans="1:17" x14ac:dyDescent="0.3">
      <c r="A705" s="3">
        <v>23</v>
      </c>
      <c r="B705" s="3">
        <v>6</v>
      </c>
      <c r="C705" s="6">
        <v>3.8</v>
      </c>
      <c r="D705" t="s">
        <v>20</v>
      </c>
      <c r="E705" s="3">
        <v>6500</v>
      </c>
      <c r="F705" s="6">
        <v>4</v>
      </c>
      <c r="G705" t="s">
        <v>37</v>
      </c>
      <c r="H705" s="2">
        <v>0.7</v>
      </c>
      <c r="I705" s="3">
        <v>1200</v>
      </c>
      <c r="J705" s="3" t="str">
        <f t="shared" si="41"/>
        <v>Medium Price</v>
      </c>
      <c r="K705" t="s">
        <v>9</v>
      </c>
      <c r="L705" t="s">
        <v>33</v>
      </c>
      <c r="M705" t="s">
        <v>34</v>
      </c>
      <c r="N705">
        <v>0.8</v>
      </c>
      <c r="O705" t="str">
        <f t="shared" si="42"/>
        <v>High</v>
      </c>
      <c r="P705">
        <f t="shared" si="43"/>
        <v>7200</v>
      </c>
      <c r="Q705" s="2">
        <f t="shared" si="44"/>
        <v>0.2608695652173913</v>
      </c>
    </row>
    <row r="706" spans="1:17" x14ac:dyDescent="0.3">
      <c r="A706" s="3">
        <v>27</v>
      </c>
      <c r="B706" s="3">
        <v>11</v>
      </c>
      <c r="C706" s="6">
        <v>4.9000000000000004</v>
      </c>
      <c r="D706" t="s">
        <v>20</v>
      </c>
      <c r="E706" s="3">
        <v>1000</v>
      </c>
      <c r="F706" s="6">
        <v>4.9000000000000004</v>
      </c>
      <c r="G706" t="s">
        <v>82</v>
      </c>
      <c r="H706" s="2">
        <v>0.9</v>
      </c>
      <c r="I706" s="3">
        <v>1000</v>
      </c>
      <c r="J706" s="3" t="str">
        <f t="shared" ref="J706:J769" si="45">IF(I706&gt;5000, "High Price", IF(I706&gt;=1000, "Medium Price", IF(I706&lt;1000, "Low Price")))</f>
        <v>Medium Price</v>
      </c>
      <c r="K706" t="s">
        <v>9</v>
      </c>
      <c r="L706" t="s">
        <v>17</v>
      </c>
      <c r="M706" t="s">
        <v>18</v>
      </c>
      <c r="N706">
        <v>0.9</v>
      </c>
      <c r="O706" t="str">
        <f t="shared" ref="O706:O769" si="46">IF(N706&gt;=0.8,"High",IF(N706&gt;=0.4,"Medium",IF(N706&lt;0.4,"Low")))</f>
        <v>High</v>
      </c>
      <c r="P706">
        <f t="shared" si="43"/>
        <v>11000</v>
      </c>
      <c r="Q706" s="2">
        <f t="shared" si="44"/>
        <v>0.40740740740740738</v>
      </c>
    </row>
    <row r="707" spans="1:17" x14ac:dyDescent="0.3">
      <c r="A707" s="3">
        <v>47</v>
      </c>
      <c r="B707" s="3">
        <v>16</v>
      </c>
      <c r="C707" s="6">
        <v>4.8</v>
      </c>
      <c r="D707" t="s">
        <v>13</v>
      </c>
      <c r="E707" s="3">
        <v>3100</v>
      </c>
      <c r="F707" s="6">
        <v>4.7</v>
      </c>
      <c r="G707" t="s">
        <v>48</v>
      </c>
      <c r="H707" s="2">
        <v>0.8</v>
      </c>
      <c r="I707" s="3">
        <v>800</v>
      </c>
      <c r="J707" s="3" t="str">
        <f t="shared" si="45"/>
        <v>Low Price</v>
      </c>
      <c r="K707" t="s">
        <v>9</v>
      </c>
      <c r="L707" t="s">
        <v>33</v>
      </c>
      <c r="M707" t="s">
        <v>34</v>
      </c>
      <c r="N707">
        <v>0.9</v>
      </c>
      <c r="O707" t="str">
        <f t="shared" si="46"/>
        <v>High</v>
      </c>
      <c r="P707">
        <f t="shared" ref="P707:P770" si="47">I707*B707</f>
        <v>12800</v>
      </c>
      <c r="Q707" s="2">
        <f t="shared" ref="Q707:Q770" si="48">B707/A707</f>
        <v>0.34042553191489361</v>
      </c>
    </row>
    <row r="708" spans="1:17" x14ac:dyDescent="0.3">
      <c r="A708" s="3">
        <v>11</v>
      </c>
      <c r="B708" s="3">
        <v>3</v>
      </c>
      <c r="C708" s="6">
        <v>3.4</v>
      </c>
      <c r="D708" t="s">
        <v>13</v>
      </c>
      <c r="E708" s="3">
        <v>8500</v>
      </c>
      <c r="F708" s="6">
        <v>3.6</v>
      </c>
      <c r="G708" t="s">
        <v>75</v>
      </c>
      <c r="H708" s="2">
        <v>0.5</v>
      </c>
      <c r="I708" s="3">
        <v>900</v>
      </c>
      <c r="J708" s="3" t="str">
        <f t="shared" si="45"/>
        <v>Low Price</v>
      </c>
      <c r="K708" t="s">
        <v>9</v>
      </c>
      <c r="L708" t="s">
        <v>33</v>
      </c>
      <c r="M708" t="s">
        <v>25</v>
      </c>
      <c r="N708">
        <v>0.6</v>
      </c>
      <c r="O708" t="str">
        <f t="shared" si="46"/>
        <v>Medium</v>
      </c>
      <c r="P708">
        <f t="shared" si="47"/>
        <v>2700</v>
      </c>
      <c r="Q708" s="2">
        <f t="shared" si="48"/>
        <v>0.27272727272727271</v>
      </c>
    </row>
    <row r="709" spans="1:17" x14ac:dyDescent="0.3">
      <c r="A709" s="3">
        <v>18</v>
      </c>
      <c r="B709" s="3">
        <v>5</v>
      </c>
      <c r="C709" s="6">
        <v>4</v>
      </c>
      <c r="D709" t="s">
        <v>20</v>
      </c>
      <c r="E709" s="3">
        <v>9500</v>
      </c>
      <c r="F709" s="6">
        <v>4.4000000000000004</v>
      </c>
      <c r="G709" t="s">
        <v>21</v>
      </c>
      <c r="H709" s="2">
        <v>0.9</v>
      </c>
      <c r="I709" s="3">
        <v>600</v>
      </c>
      <c r="J709" s="3" t="str">
        <f t="shared" si="45"/>
        <v>Low Price</v>
      </c>
      <c r="K709" t="s">
        <v>9</v>
      </c>
      <c r="L709" t="s">
        <v>17</v>
      </c>
      <c r="M709" t="s">
        <v>34</v>
      </c>
      <c r="N709">
        <v>0.9</v>
      </c>
      <c r="O709" t="str">
        <f t="shared" si="46"/>
        <v>High</v>
      </c>
      <c r="P709">
        <f t="shared" si="47"/>
        <v>3000</v>
      </c>
      <c r="Q709" s="2">
        <f t="shared" si="48"/>
        <v>0.27777777777777779</v>
      </c>
    </row>
    <row r="710" spans="1:17" x14ac:dyDescent="0.3">
      <c r="A710" s="3">
        <v>33</v>
      </c>
      <c r="B710" s="3">
        <v>13</v>
      </c>
      <c r="C710" s="6">
        <v>4.8</v>
      </c>
      <c r="D710" t="s">
        <v>13</v>
      </c>
      <c r="E710" s="3">
        <v>14000</v>
      </c>
      <c r="F710" s="6">
        <v>4.9000000000000004</v>
      </c>
      <c r="G710" t="s">
        <v>118</v>
      </c>
      <c r="H710" s="2">
        <v>0.9</v>
      </c>
      <c r="I710" s="3">
        <v>1500</v>
      </c>
      <c r="J710" s="3" t="str">
        <f t="shared" si="45"/>
        <v>Medium Price</v>
      </c>
      <c r="K710" t="s">
        <v>9</v>
      </c>
      <c r="L710" t="s">
        <v>29</v>
      </c>
      <c r="M710" t="s">
        <v>25</v>
      </c>
      <c r="N710">
        <v>1</v>
      </c>
      <c r="O710" t="str">
        <f t="shared" si="46"/>
        <v>High</v>
      </c>
      <c r="P710">
        <f t="shared" si="47"/>
        <v>19500</v>
      </c>
      <c r="Q710" s="2">
        <f t="shared" si="48"/>
        <v>0.39393939393939392</v>
      </c>
    </row>
    <row r="711" spans="1:17" x14ac:dyDescent="0.3">
      <c r="A711" s="3">
        <v>10</v>
      </c>
      <c r="B711" s="3">
        <v>0</v>
      </c>
      <c r="C711" s="6">
        <v>2</v>
      </c>
      <c r="D711" t="s">
        <v>20</v>
      </c>
      <c r="E711" s="3">
        <v>1000</v>
      </c>
      <c r="F711" s="6">
        <v>2.2000000000000002</v>
      </c>
      <c r="G711" t="s">
        <v>77</v>
      </c>
      <c r="H711" s="2">
        <v>-0.8</v>
      </c>
      <c r="I711" s="3">
        <v>600</v>
      </c>
      <c r="J711" s="3" t="str">
        <f t="shared" si="45"/>
        <v>Low Price</v>
      </c>
      <c r="K711" t="s">
        <v>179</v>
      </c>
      <c r="L711" t="s">
        <v>33</v>
      </c>
      <c r="M711" t="s">
        <v>18</v>
      </c>
      <c r="N711">
        <v>0</v>
      </c>
      <c r="O711" t="str">
        <f t="shared" si="46"/>
        <v>Low</v>
      </c>
      <c r="P711">
        <f t="shared" si="47"/>
        <v>0</v>
      </c>
      <c r="Q711" s="2">
        <f t="shared" si="48"/>
        <v>0</v>
      </c>
    </row>
    <row r="712" spans="1:17" x14ac:dyDescent="0.3">
      <c r="A712" s="3">
        <v>24</v>
      </c>
      <c r="B712" s="3">
        <v>9</v>
      </c>
      <c r="C712" s="6">
        <v>4.7</v>
      </c>
      <c r="D712" t="s">
        <v>13</v>
      </c>
      <c r="E712" s="3">
        <v>1600</v>
      </c>
      <c r="F712" s="6">
        <v>4.4000000000000004</v>
      </c>
      <c r="G712" t="s">
        <v>66</v>
      </c>
      <c r="H712" s="2">
        <v>0.8</v>
      </c>
      <c r="I712" s="3">
        <v>800</v>
      </c>
      <c r="J712" s="3" t="str">
        <f t="shared" si="45"/>
        <v>Low Price</v>
      </c>
      <c r="K712" t="s">
        <v>9</v>
      </c>
      <c r="L712" t="s">
        <v>33</v>
      </c>
      <c r="M712" t="s">
        <v>18</v>
      </c>
      <c r="N712">
        <v>0.8</v>
      </c>
      <c r="O712" t="str">
        <f t="shared" si="46"/>
        <v>High</v>
      </c>
      <c r="P712">
        <f t="shared" si="47"/>
        <v>7200</v>
      </c>
      <c r="Q712" s="2">
        <f t="shared" si="48"/>
        <v>0.375</v>
      </c>
    </row>
    <row r="713" spans="1:17" x14ac:dyDescent="0.3">
      <c r="A713" s="3">
        <v>36</v>
      </c>
      <c r="B713" s="3">
        <v>14</v>
      </c>
      <c r="C713" s="6">
        <v>4.9000000000000004</v>
      </c>
      <c r="D713" t="s">
        <v>13</v>
      </c>
      <c r="E713" s="3">
        <v>1100</v>
      </c>
      <c r="F713" s="6">
        <v>5</v>
      </c>
      <c r="G713" t="s">
        <v>27</v>
      </c>
      <c r="H713" s="2">
        <v>0.9</v>
      </c>
      <c r="I713" s="3">
        <v>700</v>
      </c>
      <c r="J713" s="3" t="str">
        <f t="shared" si="45"/>
        <v>Low Price</v>
      </c>
      <c r="K713" t="s">
        <v>9</v>
      </c>
      <c r="L713" t="s">
        <v>24</v>
      </c>
      <c r="M713" t="s">
        <v>18</v>
      </c>
      <c r="N713">
        <v>1</v>
      </c>
      <c r="O713" t="str">
        <f t="shared" si="46"/>
        <v>High</v>
      </c>
      <c r="P713">
        <f t="shared" si="47"/>
        <v>9800</v>
      </c>
      <c r="Q713" s="2">
        <f t="shared" si="48"/>
        <v>0.3888888888888889</v>
      </c>
    </row>
    <row r="714" spans="1:17" x14ac:dyDescent="0.3">
      <c r="A714" s="3">
        <v>7</v>
      </c>
      <c r="B714" s="3">
        <v>1</v>
      </c>
      <c r="C714" s="6">
        <v>1</v>
      </c>
      <c r="D714" t="s">
        <v>20</v>
      </c>
      <c r="E714" s="3">
        <v>4000</v>
      </c>
      <c r="F714" s="6">
        <v>1.3</v>
      </c>
      <c r="G714" t="s">
        <v>14</v>
      </c>
      <c r="H714" s="2">
        <v>-1</v>
      </c>
      <c r="I714" s="3">
        <v>500</v>
      </c>
      <c r="J714" s="3" t="str">
        <f t="shared" si="45"/>
        <v>Low Price</v>
      </c>
      <c r="K714" t="s">
        <v>179</v>
      </c>
      <c r="L714" t="s">
        <v>33</v>
      </c>
      <c r="M714" t="s">
        <v>34</v>
      </c>
      <c r="N714">
        <v>0</v>
      </c>
      <c r="O714" t="str">
        <f t="shared" si="46"/>
        <v>Low</v>
      </c>
      <c r="P714">
        <f t="shared" si="47"/>
        <v>500</v>
      </c>
      <c r="Q714" s="2">
        <f t="shared" si="48"/>
        <v>0.14285714285714285</v>
      </c>
    </row>
    <row r="715" spans="1:17" x14ac:dyDescent="0.3">
      <c r="A715" s="3">
        <v>18</v>
      </c>
      <c r="B715" s="3">
        <v>8</v>
      </c>
      <c r="C715" s="6">
        <v>4</v>
      </c>
      <c r="D715" t="s">
        <v>13</v>
      </c>
      <c r="E715" s="3">
        <v>6500</v>
      </c>
      <c r="F715" s="6">
        <v>4.2</v>
      </c>
      <c r="G715" t="s">
        <v>115</v>
      </c>
      <c r="H715" s="2">
        <v>0.6</v>
      </c>
      <c r="I715" s="3">
        <v>1200</v>
      </c>
      <c r="J715" s="3" t="str">
        <f t="shared" si="45"/>
        <v>Medium Price</v>
      </c>
      <c r="K715" t="s">
        <v>9</v>
      </c>
      <c r="L715" t="s">
        <v>33</v>
      </c>
      <c r="M715" t="s">
        <v>25</v>
      </c>
      <c r="N715">
        <v>0.7</v>
      </c>
      <c r="O715" t="str">
        <f t="shared" si="46"/>
        <v>Medium</v>
      </c>
      <c r="P715">
        <f t="shared" si="47"/>
        <v>9600</v>
      </c>
      <c r="Q715" s="2">
        <f t="shared" si="48"/>
        <v>0.44444444444444442</v>
      </c>
    </row>
    <row r="716" spans="1:17" x14ac:dyDescent="0.3">
      <c r="A716" s="3">
        <v>8</v>
      </c>
      <c r="B716" s="3">
        <v>5</v>
      </c>
      <c r="C716" s="6">
        <v>2.5</v>
      </c>
      <c r="D716" t="s">
        <v>20</v>
      </c>
      <c r="E716" s="3">
        <v>7500</v>
      </c>
      <c r="F716" s="6">
        <v>2.9</v>
      </c>
      <c r="G716" t="s">
        <v>116</v>
      </c>
      <c r="H716" s="2">
        <v>0.2</v>
      </c>
      <c r="I716" s="3">
        <v>700</v>
      </c>
      <c r="J716" s="3" t="str">
        <f t="shared" si="45"/>
        <v>Low Price</v>
      </c>
      <c r="K716" t="s">
        <v>9</v>
      </c>
      <c r="L716" t="s">
        <v>17</v>
      </c>
      <c r="M716" t="s">
        <v>34</v>
      </c>
      <c r="N716">
        <v>0.4</v>
      </c>
      <c r="O716" t="str">
        <f t="shared" si="46"/>
        <v>Medium</v>
      </c>
      <c r="P716">
        <f t="shared" si="47"/>
        <v>3500</v>
      </c>
      <c r="Q716" s="2">
        <f t="shared" si="48"/>
        <v>0.625</v>
      </c>
    </row>
    <row r="717" spans="1:17" x14ac:dyDescent="0.3">
      <c r="A717" s="3">
        <v>22</v>
      </c>
      <c r="B717" s="3">
        <v>10</v>
      </c>
      <c r="C717" s="6">
        <v>4.3</v>
      </c>
      <c r="D717" t="s">
        <v>20</v>
      </c>
      <c r="E717" s="3">
        <v>1200</v>
      </c>
      <c r="F717" s="6">
        <v>4.8</v>
      </c>
      <c r="G717" t="s">
        <v>31</v>
      </c>
      <c r="H717" s="2">
        <v>0.8</v>
      </c>
      <c r="I717" s="3">
        <v>1000</v>
      </c>
      <c r="J717" s="3" t="str">
        <f t="shared" si="45"/>
        <v>Medium Price</v>
      </c>
      <c r="K717" t="s">
        <v>9</v>
      </c>
      <c r="L717" t="s">
        <v>33</v>
      </c>
      <c r="M717" t="s">
        <v>18</v>
      </c>
      <c r="N717">
        <v>0.9</v>
      </c>
      <c r="O717" t="str">
        <f t="shared" si="46"/>
        <v>High</v>
      </c>
      <c r="P717">
        <f t="shared" si="47"/>
        <v>10000</v>
      </c>
      <c r="Q717" s="2">
        <f t="shared" si="48"/>
        <v>0.45454545454545453</v>
      </c>
    </row>
    <row r="718" spans="1:17" x14ac:dyDescent="0.3">
      <c r="A718" s="3">
        <v>27</v>
      </c>
      <c r="B718" s="3">
        <v>12</v>
      </c>
      <c r="C718" s="6">
        <v>4.3</v>
      </c>
      <c r="D718" t="s">
        <v>13</v>
      </c>
      <c r="E718" s="3">
        <v>1700</v>
      </c>
      <c r="F718" s="6">
        <v>4.9000000000000004</v>
      </c>
      <c r="G718" t="s">
        <v>62</v>
      </c>
      <c r="H718" s="2">
        <v>0.6</v>
      </c>
      <c r="I718" s="3">
        <v>800</v>
      </c>
      <c r="J718" s="3" t="str">
        <f t="shared" si="45"/>
        <v>Low Price</v>
      </c>
      <c r="K718" t="s">
        <v>9</v>
      </c>
      <c r="L718" t="s">
        <v>17</v>
      </c>
      <c r="M718" t="s">
        <v>18</v>
      </c>
      <c r="N718">
        <v>0.7</v>
      </c>
      <c r="O718" t="str">
        <f t="shared" si="46"/>
        <v>Medium</v>
      </c>
      <c r="P718">
        <f t="shared" si="47"/>
        <v>9600</v>
      </c>
      <c r="Q718" s="2">
        <f t="shared" si="48"/>
        <v>0.44444444444444442</v>
      </c>
    </row>
    <row r="719" spans="1:17" x14ac:dyDescent="0.3">
      <c r="A719" s="3">
        <v>18</v>
      </c>
      <c r="B719" s="3">
        <v>6</v>
      </c>
      <c r="C719" s="6">
        <v>3.7</v>
      </c>
      <c r="D719" t="s">
        <v>20</v>
      </c>
      <c r="E719" s="3">
        <v>7500</v>
      </c>
      <c r="F719" s="6">
        <v>3.9</v>
      </c>
      <c r="G719" t="s">
        <v>35</v>
      </c>
      <c r="H719" s="2">
        <v>0.7</v>
      </c>
      <c r="I719" s="3">
        <v>600</v>
      </c>
      <c r="J719" s="3" t="str">
        <f t="shared" si="45"/>
        <v>Low Price</v>
      </c>
      <c r="K719" t="s">
        <v>9</v>
      </c>
      <c r="L719" t="s">
        <v>33</v>
      </c>
      <c r="M719" t="s">
        <v>18</v>
      </c>
      <c r="N719">
        <v>0.6</v>
      </c>
      <c r="O719" t="str">
        <f t="shared" si="46"/>
        <v>Medium</v>
      </c>
      <c r="P719">
        <f t="shared" si="47"/>
        <v>3600</v>
      </c>
      <c r="Q719" s="2">
        <f t="shared" si="48"/>
        <v>0.33333333333333331</v>
      </c>
    </row>
    <row r="720" spans="1:17" x14ac:dyDescent="0.3">
      <c r="A720" s="3">
        <v>36</v>
      </c>
      <c r="B720" s="3">
        <v>18</v>
      </c>
      <c r="C720" s="6">
        <v>4.8</v>
      </c>
      <c r="D720" t="s">
        <v>13</v>
      </c>
      <c r="E720" s="3">
        <v>12000</v>
      </c>
      <c r="F720" s="6">
        <v>4.9000000000000004</v>
      </c>
      <c r="G720" t="s">
        <v>50</v>
      </c>
      <c r="H720" s="2">
        <v>0.9</v>
      </c>
      <c r="I720" s="3">
        <v>1600</v>
      </c>
      <c r="J720" s="3" t="str">
        <f t="shared" si="45"/>
        <v>Medium Price</v>
      </c>
      <c r="K720" t="s">
        <v>9</v>
      </c>
      <c r="L720" t="s">
        <v>17</v>
      </c>
      <c r="M720" t="s">
        <v>25</v>
      </c>
      <c r="N720">
        <v>0.9</v>
      </c>
      <c r="O720" t="str">
        <f t="shared" si="46"/>
        <v>High</v>
      </c>
      <c r="P720">
        <f t="shared" si="47"/>
        <v>28800</v>
      </c>
      <c r="Q720" s="2">
        <f t="shared" si="48"/>
        <v>0.5</v>
      </c>
    </row>
    <row r="721" spans="1:17" x14ac:dyDescent="0.3">
      <c r="A721" s="3">
        <v>12</v>
      </c>
      <c r="B721" s="3">
        <v>2</v>
      </c>
      <c r="C721" s="6">
        <v>2.5</v>
      </c>
      <c r="D721" t="s">
        <v>20</v>
      </c>
      <c r="E721" s="3">
        <v>700</v>
      </c>
      <c r="F721" s="6">
        <v>2.8</v>
      </c>
      <c r="G721" t="s">
        <v>117</v>
      </c>
      <c r="H721" s="2">
        <v>-0.1</v>
      </c>
      <c r="I721" s="3">
        <v>900</v>
      </c>
      <c r="J721" s="3" t="str">
        <f t="shared" si="45"/>
        <v>Low Price</v>
      </c>
      <c r="K721" t="s">
        <v>9</v>
      </c>
      <c r="L721" t="s">
        <v>33</v>
      </c>
      <c r="M721" t="s">
        <v>25</v>
      </c>
      <c r="N721">
        <v>0.3</v>
      </c>
      <c r="O721" t="str">
        <f t="shared" si="46"/>
        <v>Low</v>
      </c>
      <c r="P721">
        <f t="shared" si="47"/>
        <v>1800</v>
      </c>
      <c r="Q721" s="2">
        <f t="shared" si="48"/>
        <v>0.16666666666666666</v>
      </c>
    </row>
    <row r="722" spans="1:17" x14ac:dyDescent="0.3">
      <c r="A722" s="3">
        <v>46</v>
      </c>
      <c r="B722" s="3">
        <v>20</v>
      </c>
      <c r="C722" s="6">
        <v>4.9000000000000004</v>
      </c>
      <c r="D722" t="s">
        <v>13</v>
      </c>
      <c r="E722" s="3">
        <v>950</v>
      </c>
      <c r="F722" s="6">
        <v>4.8</v>
      </c>
      <c r="G722" t="s">
        <v>42</v>
      </c>
      <c r="H722" s="2">
        <v>0.9</v>
      </c>
      <c r="I722" s="3">
        <v>1300</v>
      </c>
      <c r="J722" s="3" t="str">
        <f t="shared" si="45"/>
        <v>Medium Price</v>
      </c>
      <c r="K722" t="s">
        <v>9</v>
      </c>
      <c r="L722" t="s">
        <v>29</v>
      </c>
      <c r="M722" t="s">
        <v>18</v>
      </c>
      <c r="N722">
        <v>1</v>
      </c>
      <c r="O722" t="str">
        <f t="shared" si="46"/>
        <v>High</v>
      </c>
      <c r="P722">
        <f t="shared" si="47"/>
        <v>26000</v>
      </c>
      <c r="Q722" s="2">
        <f t="shared" si="48"/>
        <v>0.43478260869565216</v>
      </c>
    </row>
    <row r="723" spans="1:17" x14ac:dyDescent="0.3">
      <c r="A723" s="3">
        <v>10</v>
      </c>
      <c r="B723" s="3">
        <v>1</v>
      </c>
      <c r="C723" s="6">
        <v>1.9</v>
      </c>
      <c r="D723" t="s">
        <v>20</v>
      </c>
      <c r="E723" s="3">
        <v>800</v>
      </c>
      <c r="F723" s="6">
        <v>2.2000000000000002</v>
      </c>
      <c r="G723" t="s">
        <v>68</v>
      </c>
      <c r="H723" s="2">
        <v>0.3</v>
      </c>
      <c r="I723" s="3">
        <v>1000</v>
      </c>
      <c r="J723" s="3" t="str">
        <f t="shared" si="45"/>
        <v>Medium Price</v>
      </c>
      <c r="K723" t="s">
        <v>9</v>
      </c>
      <c r="L723" t="s">
        <v>33</v>
      </c>
      <c r="M723" t="s">
        <v>25</v>
      </c>
      <c r="N723">
        <v>0.6</v>
      </c>
      <c r="O723" t="str">
        <f t="shared" si="46"/>
        <v>Medium</v>
      </c>
      <c r="P723">
        <f t="shared" si="47"/>
        <v>1000</v>
      </c>
      <c r="Q723" s="2">
        <f t="shared" si="48"/>
        <v>0.1</v>
      </c>
    </row>
    <row r="724" spans="1:17" x14ac:dyDescent="0.3">
      <c r="A724" s="3">
        <v>17</v>
      </c>
      <c r="B724" s="3">
        <v>7</v>
      </c>
      <c r="C724" s="6">
        <v>3.8</v>
      </c>
      <c r="D724" t="s">
        <v>13</v>
      </c>
      <c r="E724" s="3">
        <v>9500</v>
      </c>
      <c r="F724" s="6">
        <v>4</v>
      </c>
      <c r="G724" t="s">
        <v>73</v>
      </c>
      <c r="H724" s="2">
        <v>0.7</v>
      </c>
      <c r="I724" s="3">
        <v>1200</v>
      </c>
      <c r="J724" s="3" t="str">
        <f t="shared" si="45"/>
        <v>Medium Price</v>
      </c>
      <c r="K724" t="s">
        <v>9</v>
      </c>
      <c r="L724" t="s">
        <v>17</v>
      </c>
      <c r="M724" t="s">
        <v>18</v>
      </c>
      <c r="N724">
        <v>0.8</v>
      </c>
      <c r="O724" t="str">
        <f t="shared" si="46"/>
        <v>High</v>
      </c>
      <c r="P724">
        <f t="shared" si="47"/>
        <v>8400</v>
      </c>
      <c r="Q724" s="2">
        <f t="shared" si="48"/>
        <v>0.41176470588235292</v>
      </c>
    </row>
    <row r="725" spans="1:17" x14ac:dyDescent="0.3">
      <c r="A725" s="3">
        <v>32</v>
      </c>
      <c r="B725" s="3">
        <v>11</v>
      </c>
      <c r="C725" s="6">
        <v>4</v>
      </c>
      <c r="D725" t="s">
        <v>20</v>
      </c>
      <c r="E725" s="3">
        <v>2800</v>
      </c>
      <c r="F725" s="6">
        <v>4.5</v>
      </c>
      <c r="G725" t="s">
        <v>95</v>
      </c>
      <c r="H725" s="2">
        <v>0.9</v>
      </c>
      <c r="I725" s="3">
        <v>1100</v>
      </c>
      <c r="J725" s="3" t="str">
        <f t="shared" si="45"/>
        <v>Medium Price</v>
      </c>
      <c r="K725" t="s">
        <v>9</v>
      </c>
      <c r="L725" t="s">
        <v>33</v>
      </c>
      <c r="M725" t="s">
        <v>34</v>
      </c>
      <c r="N725">
        <v>0.9</v>
      </c>
      <c r="O725" t="str">
        <f t="shared" si="46"/>
        <v>High</v>
      </c>
      <c r="P725">
        <f t="shared" si="47"/>
        <v>12100</v>
      </c>
      <c r="Q725" s="2">
        <f t="shared" si="48"/>
        <v>0.34375</v>
      </c>
    </row>
    <row r="726" spans="1:17" x14ac:dyDescent="0.3">
      <c r="A726" s="3">
        <v>39</v>
      </c>
      <c r="B726" s="3">
        <v>17</v>
      </c>
      <c r="C726" s="6">
        <v>4.9000000000000004</v>
      </c>
      <c r="D726" t="s">
        <v>13</v>
      </c>
      <c r="E726" s="3">
        <v>6000</v>
      </c>
      <c r="F726" s="6">
        <v>4.8</v>
      </c>
      <c r="G726" t="s">
        <v>57</v>
      </c>
      <c r="H726" s="2">
        <v>0.9</v>
      </c>
      <c r="I726" s="3">
        <v>1000</v>
      </c>
      <c r="J726" s="3" t="str">
        <f t="shared" si="45"/>
        <v>Medium Price</v>
      </c>
      <c r="K726" t="s">
        <v>9</v>
      </c>
      <c r="L726" t="s">
        <v>33</v>
      </c>
      <c r="M726" t="s">
        <v>18</v>
      </c>
      <c r="N726">
        <v>1</v>
      </c>
      <c r="O726" t="str">
        <f t="shared" si="46"/>
        <v>High</v>
      </c>
      <c r="P726">
        <f t="shared" si="47"/>
        <v>17000</v>
      </c>
      <c r="Q726" s="2">
        <f t="shared" si="48"/>
        <v>0.4358974358974359</v>
      </c>
    </row>
    <row r="727" spans="1:17" x14ac:dyDescent="0.3">
      <c r="A727" s="3">
        <v>4</v>
      </c>
      <c r="B727" s="3">
        <v>2</v>
      </c>
      <c r="C727" s="6">
        <v>1.3</v>
      </c>
      <c r="D727" t="s">
        <v>13</v>
      </c>
      <c r="E727" s="3">
        <v>900</v>
      </c>
      <c r="F727" s="6">
        <v>1.8</v>
      </c>
      <c r="G727" t="s">
        <v>72</v>
      </c>
      <c r="H727" s="2">
        <v>-1</v>
      </c>
      <c r="I727" s="3">
        <v>600</v>
      </c>
      <c r="J727" s="3" t="str">
        <f t="shared" si="45"/>
        <v>Low Price</v>
      </c>
      <c r="K727" t="s">
        <v>179</v>
      </c>
      <c r="L727" t="s">
        <v>33</v>
      </c>
      <c r="M727" t="s">
        <v>34</v>
      </c>
      <c r="N727">
        <v>0.1</v>
      </c>
      <c r="O727" t="str">
        <f t="shared" si="46"/>
        <v>Low</v>
      </c>
      <c r="P727">
        <f t="shared" si="47"/>
        <v>1200</v>
      </c>
      <c r="Q727" s="2">
        <f t="shared" si="48"/>
        <v>0.5</v>
      </c>
    </row>
    <row r="728" spans="1:17" x14ac:dyDescent="0.3">
      <c r="A728" s="3">
        <v>20</v>
      </c>
      <c r="B728" s="3">
        <v>9</v>
      </c>
      <c r="C728" s="6">
        <v>4</v>
      </c>
      <c r="D728" t="s">
        <v>20</v>
      </c>
      <c r="E728" s="3">
        <v>16000</v>
      </c>
      <c r="F728" s="6">
        <v>4.0999999999999996</v>
      </c>
      <c r="G728" t="s">
        <v>78</v>
      </c>
      <c r="H728" s="2">
        <v>0.5</v>
      </c>
      <c r="I728" s="3">
        <v>700</v>
      </c>
      <c r="J728" s="3" t="str">
        <f t="shared" si="45"/>
        <v>Low Price</v>
      </c>
      <c r="K728" t="s">
        <v>9</v>
      </c>
      <c r="L728" t="s">
        <v>17</v>
      </c>
      <c r="M728" t="s">
        <v>18</v>
      </c>
      <c r="N728">
        <v>0.3</v>
      </c>
      <c r="O728" t="str">
        <f t="shared" si="46"/>
        <v>Low</v>
      </c>
      <c r="P728">
        <f t="shared" si="47"/>
        <v>6300</v>
      </c>
      <c r="Q728" s="2">
        <f t="shared" si="48"/>
        <v>0.45</v>
      </c>
    </row>
    <row r="729" spans="1:17" x14ac:dyDescent="0.3">
      <c r="A729" s="3">
        <v>10</v>
      </c>
      <c r="B729" s="3">
        <v>3</v>
      </c>
      <c r="C729" s="6">
        <v>2</v>
      </c>
      <c r="D729" t="s">
        <v>13</v>
      </c>
      <c r="E729" s="3">
        <v>900</v>
      </c>
      <c r="F729" s="6">
        <v>2.4</v>
      </c>
      <c r="G729" t="s">
        <v>55</v>
      </c>
      <c r="H729" s="2">
        <v>-0.8</v>
      </c>
      <c r="I729" s="3">
        <v>1200</v>
      </c>
      <c r="J729" s="3" t="str">
        <f t="shared" si="45"/>
        <v>Medium Price</v>
      </c>
      <c r="K729" t="s">
        <v>9</v>
      </c>
      <c r="L729" t="s">
        <v>33</v>
      </c>
      <c r="M729" t="s">
        <v>25</v>
      </c>
      <c r="N729">
        <v>0.3</v>
      </c>
      <c r="O729" t="str">
        <f t="shared" si="46"/>
        <v>Low</v>
      </c>
      <c r="P729">
        <f t="shared" si="47"/>
        <v>3600</v>
      </c>
      <c r="Q729" s="2">
        <f t="shared" si="48"/>
        <v>0.3</v>
      </c>
    </row>
    <row r="730" spans="1:17" x14ac:dyDescent="0.3">
      <c r="A730" s="3">
        <v>45</v>
      </c>
      <c r="B730" s="3">
        <v>22</v>
      </c>
      <c r="C730" s="6">
        <v>4.9000000000000004</v>
      </c>
      <c r="D730" t="s">
        <v>20</v>
      </c>
      <c r="E730" s="3">
        <v>9800</v>
      </c>
      <c r="F730" s="6">
        <v>4.8</v>
      </c>
      <c r="G730" t="s">
        <v>99</v>
      </c>
      <c r="H730" s="2">
        <v>0.9</v>
      </c>
      <c r="I730" s="3">
        <v>1100</v>
      </c>
      <c r="J730" s="3" t="str">
        <f t="shared" si="45"/>
        <v>Medium Price</v>
      </c>
      <c r="K730" t="s">
        <v>9</v>
      </c>
      <c r="L730" t="s">
        <v>29</v>
      </c>
      <c r="M730" t="s">
        <v>34</v>
      </c>
      <c r="N730">
        <v>1</v>
      </c>
      <c r="O730" t="str">
        <f t="shared" si="46"/>
        <v>High</v>
      </c>
      <c r="P730">
        <f t="shared" si="47"/>
        <v>24200</v>
      </c>
      <c r="Q730" s="2">
        <f t="shared" si="48"/>
        <v>0.48888888888888887</v>
      </c>
    </row>
    <row r="731" spans="1:17" x14ac:dyDescent="0.3">
      <c r="A731" s="3">
        <v>9</v>
      </c>
      <c r="B731" s="3">
        <v>1</v>
      </c>
      <c r="C731" s="6">
        <v>1.8</v>
      </c>
      <c r="D731" t="s">
        <v>13</v>
      </c>
      <c r="E731" s="3">
        <v>1300</v>
      </c>
      <c r="F731" s="6">
        <v>2.1</v>
      </c>
      <c r="G731" t="s">
        <v>69</v>
      </c>
      <c r="H731" s="2">
        <v>-0.9</v>
      </c>
      <c r="I731" s="3">
        <v>500</v>
      </c>
      <c r="J731" s="3" t="str">
        <f t="shared" si="45"/>
        <v>Low Price</v>
      </c>
      <c r="K731" t="s">
        <v>179</v>
      </c>
      <c r="L731" t="s">
        <v>33</v>
      </c>
      <c r="M731" t="s">
        <v>18</v>
      </c>
      <c r="N731">
        <v>0.1</v>
      </c>
      <c r="O731" t="str">
        <f t="shared" si="46"/>
        <v>Low</v>
      </c>
      <c r="P731">
        <f t="shared" si="47"/>
        <v>500</v>
      </c>
      <c r="Q731" s="2">
        <f t="shared" si="48"/>
        <v>0.1111111111111111</v>
      </c>
    </row>
    <row r="732" spans="1:17" x14ac:dyDescent="0.3">
      <c r="A732" s="3">
        <v>25</v>
      </c>
      <c r="B732" s="3">
        <v>7</v>
      </c>
      <c r="C732" s="6">
        <v>4</v>
      </c>
      <c r="D732" t="s">
        <v>20</v>
      </c>
      <c r="E732" s="3">
        <v>7500</v>
      </c>
      <c r="F732" s="6">
        <v>4.2</v>
      </c>
      <c r="G732" t="s">
        <v>37</v>
      </c>
      <c r="H732" s="2">
        <v>0.7</v>
      </c>
      <c r="I732" s="3">
        <v>1400</v>
      </c>
      <c r="J732" s="3" t="str">
        <f t="shared" si="45"/>
        <v>Medium Price</v>
      </c>
      <c r="K732" t="s">
        <v>9</v>
      </c>
      <c r="L732" t="s">
        <v>33</v>
      </c>
      <c r="M732" t="s">
        <v>34</v>
      </c>
      <c r="N732">
        <v>0.8</v>
      </c>
      <c r="O732" t="str">
        <f t="shared" si="46"/>
        <v>High</v>
      </c>
      <c r="P732">
        <f t="shared" si="47"/>
        <v>9800</v>
      </c>
      <c r="Q732" s="2">
        <f t="shared" si="48"/>
        <v>0.28000000000000003</v>
      </c>
    </row>
    <row r="733" spans="1:17" x14ac:dyDescent="0.3">
      <c r="A733" s="3">
        <v>28</v>
      </c>
      <c r="B733" s="3">
        <v>12</v>
      </c>
      <c r="C733" s="6">
        <v>4.9000000000000004</v>
      </c>
      <c r="D733" t="s">
        <v>20</v>
      </c>
      <c r="E733" s="3">
        <v>1100</v>
      </c>
      <c r="F733" s="6">
        <v>4.9000000000000004</v>
      </c>
      <c r="G733" t="s">
        <v>82</v>
      </c>
      <c r="H733" s="2">
        <v>0.9</v>
      </c>
      <c r="I733" s="3">
        <v>1100</v>
      </c>
      <c r="J733" s="3" t="str">
        <f t="shared" si="45"/>
        <v>Medium Price</v>
      </c>
      <c r="K733" t="s">
        <v>9</v>
      </c>
      <c r="L733" t="s">
        <v>17</v>
      </c>
      <c r="M733" t="s">
        <v>18</v>
      </c>
      <c r="N733">
        <v>0.9</v>
      </c>
      <c r="O733" t="str">
        <f t="shared" si="46"/>
        <v>High</v>
      </c>
      <c r="P733">
        <f t="shared" si="47"/>
        <v>13200</v>
      </c>
      <c r="Q733" s="2">
        <f t="shared" si="48"/>
        <v>0.42857142857142855</v>
      </c>
    </row>
    <row r="734" spans="1:17" x14ac:dyDescent="0.3">
      <c r="A734" s="3">
        <v>50</v>
      </c>
      <c r="B734" s="3">
        <v>17</v>
      </c>
      <c r="C734" s="6">
        <v>4.9000000000000004</v>
      </c>
      <c r="D734" t="s">
        <v>13</v>
      </c>
      <c r="E734" s="3">
        <v>3300</v>
      </c>
      <c r="F734" s="6">
        <v>4.8</v>
      </c>
      <c r="G734" t="s">
        <v>48</v>
      </c>
      <c r="H734" s="2">
        <v>0.8</v>
      </c>
      <c r="I734" s="3">
        <v>900</v>
      </c>
      <c r="J734" s="3" t="str">
        <f t="shared" si="45"/>
        <v>Low Price</v>
      </c>
      <c r="K734" t="s">
        <v>9</v>
      </c>
      <c r="L734" t="s">
        <v>33</v>
      </c>
      <c r="M734" t="s">
        <v>34</v>
      </c>
      <c r="N734">
        <v>0.9</v>
      </c>
      <c r="O734" t="str">
        <f t="shared" si="46"/>
        <v>High</v>
      </c>
      <c r="P734">
        <f t="shared" si="47"/>
        <v>15300</v>
      </c>
      <c r="Q734" s="2">
        <f t="shared" si="48"/>
        <v>0.34</v>
      </c>
    </row>
    <row r="735" spans="1:17" x14ac:dyDescent="0.3">
      <c r="A735" s="3">
        <v>12</v>
      </c>
      <c r="B735" s="3">
        <v>4</v>
      </c>
      <c r="C735" s="6">
        <v>3.6</v>
      </c>
      <c r="D735" t="s">
        <v>13</v>
      </c>
      <c r="E735" s="3">
        <v>9000</v>
      </c>
      <c r="F735" s="6">
        <v>3.8</v>
      </c>
      <c r="G735" t="s">
        <v>75</v>
      </c>
      <c r="H735" s="2">
        <v>0.5</v>
      </c>
      <c r="I735" s="3">
        <v>1000</v>
      </c>
      <c r="J735" s="3" t="str">
        <f t="shared" si="45"/>
        <v>Medium Price</v>
      </c>
      <c r="K735" t="s">
        <v>9</v>
      </c>
      <c r="L735" t="s">
        <v>33</v>
      </c>
      <c r="M735" t="s">
        <v>25</v>
      </c>
      <c r="N735">
        <v>0.6</v>
      </c>
      <c r="O735" t="str">
        <f t="shared" si="46"/>
        <v>Medium</v>
      </c>
      <c r="P735">
        <f t="shared" si="47"/>
        <v>4000</v>
      </c>
      <c r="Q735" s="2">
        <f t="shared" si="48"/>
        <v>0.33333333333333331</v>
      </c>
    </row>
    <row r="736" spans="1:17" x14ac:dyDescent="0.3">
      <c r="A736" s="3">
        <v>20</v>
      </c>
      <c r="B736" s="3">
        <v>6</v>
      </c>
      <c r="C736" s="6">
        <v>4</v>
      </c>
      <c r="D736" t="s">
        <v>20</v>
      </c>
      <c r="E736" s="3">
        <v>10000</v>
      </c>
      <c r="F736" s="6">
        <v>4.5</v>
      </c>
      <c r="G736" t="s">
        <v>21</v>
      </c>
      <c r="H736" s="2">
        <v>0.9</v>
      </c>
      <c r="I736" s="3">
        <v>700</v>
      </c>
      <c r="J736" s="3" t="str">
        <f t="shared" si="45"/>
        <v>Low Price</v>
      </c>
      <c r="K736" t="s">
        <v>9</v>
      </c>
      <c r="L736" t="s">
        <v>17</v>
      </c>
      <c r="M736" t="s">
        <v>34</v>
      </c>
      <c r="N736">
        <v>0.9</v>
      </c>
      <c r="O736" t="str">
        <f t="shared" si="46"/>
        <v>High</v>
      </c>
      <c r="P736">
        <f t="shared" si="47"/>
        <v>4200</v>
      </c>
      <c r="Q736" s="2">
        <f t="shared" si="48"/>
        <v>0.3</v>
      </c>
    </row>
    <row r="737" spans="1:17" x14ac:dyDescent="0.3">
      <c r="A737" s="3">
        <v>35</v>
      </c>
      <c r="B737" s="3">
        <v>14</v>
      </c>
      <c r="C737" s="6">
        <v>4.8</v>
      </c>
      <c r="D737" t="s">
        <v>13</v>
      </c>
      <c r="E737" s="3">
        <v>14500</v>
      </c>
      <c r="F737" s="6">
        <v>4.9000000000000004</v>
      </c>
      <c r="G737" t="s">
        <v>118</v>
      </c>
      <c r="H737" s="2">
        <v>0.9</v>
      </c>
      <c r="I737" s="3">
        <v>1600</v>
      </c>
      <c r="J737" s="3" t="str">
        <f t="shared" si="45"/>
        <v>Medium Price</v>
      </c>
      <c r="K737" t="s">
        <v>9</v>
      </c>
      <c r="L737" t="s">
        <v>29</v>
      </c>
      <c r="M737" t="s">
        <v>25</v>
      </c>
      <c r="N737">
        <v>1</v>
      </c>
      <c r="O737" t="str">
        <f t="shared" si="46"/>
        <v>High</v>
      </c>
      <c r="P737">
        <f t="shared" si="47"/>
        <v>22400</v>
      </c>
      <c r="Q737" s="2">
        <f t="shared" si="48"/>
        <v>0.4</v>
      </c>
    </row>
    <row r="738" spans="1:17" x14ac:dyDescent="0.3">
      <c r="A738" s="3">
        <v>11</v>
      </c>
      <c r="B738" s="3">
        <v>0</v>
      </c>
      <c r="C738" s="6">
        <v>1.8</v>
      </c>
      <c r="D738" t="s">
        <v>20</v>
      </c>
      <c r="E738" s="3">
        <v>1200</v>
      </c>
      <c r="F738" s="6">
        <v>2</v>
      </c>
      <c r="G738" t="s">
        <v>77</v>
      </c>
      <c r="H738" s="2">
        <v>-0.9</v>
      </c>
      <c r="I738" s="3">
        <v>700</v>
      </c>
      <c r="J738" s="3" t="str">
        <f t="shared" si="45"/>
        <v>Low Price</v>
      </c>
      <c r="K738" t="s">
        <v>179</v>
      </c>
      <c r="L738" t="s">
        <v>33</v>
      </c>
      <c r="M738" t="s">
        <v>18</v>
      </c>
      <c r="N738">
        <v>0</v>
      </c>
      <c r="O738" t="str">
        <f t="shared" si="46"/>
        <v>Low</v>
      </c>
      <c r="P738">
        <f t="shared" si="47"/>
        <v>0</v>
      </c>
      <c r="Q738" s="2">
        <f t="shared" si="48"/>
        <v>0</v>
      </c>
    </row>
    <row r="739" spans="1:17" x14ac:dyDescent="0.3">
      <c r="A739" s="3">
        <v>25</v>
      </c>
      <c r="B739" s="3">
        <v>10</v>
      </c>
      <c r="C739" s="6">
        <v>4.8</v>
      </c>
      <c r="D739" t="s">
        <v>13</v>
      </c>
      <c r="E739" s="3">
        <v>1700</v>
      </c>
      <c r="F739" s="6">
        <v>4.5</v>
      </c>
      <c r="G739" t="s">
        <v>66</v>
      </c>
      <c r="H739" s="2">
        <v>0.8</v>
      </c>
      <c r="I739" s="3">
        <v>900</v>
      </c>
      <c r="J739" s="3" t="str">
        <f t="shared" si="45"/>
        <v>Low Price</v>
      </c>
      <c r="K739" t="s">
        <v>9</v>
      </c>
      <c r="L739" t="s">
        <v>33</v>
      </c>
      <c r="M739" t="s">
        <v>18</v>
      </c>
      <c r="N739">
        <v>0.8</v>
      </c>
      <c r="O739" t="str">
        <f t="shared" si="46"/>
        <v>High</v>
      </c>
      <c r="P739">
        <f t="shared" si="47"/>
        <v>9000</v>
      </c>
      <c r="Q739" s="2">
        <f t="shared" si="48"/>
        <v>0.4</v>
      </c>
    </row>
    <row r="740" spans="1:17" x14ac:dyDescent="0.3">
      <c r="A740" s="3">
        <v>37</v>
      </c>
      <c r="B740" s="3">
        <v>15</v>
      </c>
      <c r="C740" s="6">
        <v>4.9000000000000004</v>
      </c>
      <c r="D740" t="s">
        <v>13</v>
      </c>
      <c r="E740" s="3">
        <v>1200</v>
      </c>
      <c r="F740" s="6">
        <v>5</v>
      </c>
      <c r="G740" t="s">
        <v>27</v>
      </c>
      <c r="H740" s="2">
        <v>0.9</v>
      </c>
      <c r="I740" s="3">
        <v>800</v>
      </c>
      <c r="J740" s="3" t="str">
        <f t="shared" si="45"/>
        <v>Low Price</v>
      </c>
      <c r="K740" t="s">
        <v>9</v>
      </c>
      <c r="L740" t="s">
        <v>24</v>
      </c>
      <c r="M740" t="s">
        <v>18</v>
      </c>
      <c r="N740">
        <v>1</v>
      </c>
      <c r="O740" t="str">
        <f t="shared" si="46"/>
        <v>High</v>
      </c>
      <c r="P740">
        <f t="shared" si="47"/>
        <v>12000</v>
      </c>
      <c r="Q740" s="2">
        <f t="shared" si="48"/>
        <v>0.40540540540540543</v>
      </c>
    </row>
    <row r="741" spans="1:17" x14ac:dyDescent="0.3">
      <c r="A741" s="3">
        <v>8</v>
      </c>
      <c r="B741" s="3">
        <v>2</v>
      </c>
      <c r="C741" s="6">
        <v>1.8</v>
      </c>
      <c r="D741" t="s">
        <v>20</v>
      </c>
      <c r="E741" s="3">
        <v>4500</v>
      </c>
      <c r="F741" s="6">
        <v>2.1</v>
      </c>
      <c r="G741" t="s">
        <v>14</v>
      </c>
      <c r="H741" s="2">
        <v>-1</v>
      </c>
      <c r="I741" s="3">
        <v>600</v>
      </c>
      <c r="J741" s="3" t="str">
        <f t="shared" si="45"/>
        <v>Low Price</v>
      </c>
      <c r="K741" t="s">
        <v>179</v>
      </c>
      <c r="L741" t="s">
        <v>33</v>
      </c>
      <c r="M741" t="s">
        <v>34</v>
      </c>
      <c r="N741">
        <v>0</v>
      </c>
      <c r="O741" t="str">
        <f t="shared" si="46"/>
        <v>Low</v>
      </c>
      <c r="P741">
        <f t="shared" si="47"/>
        <v>1200</v>
      </c>
      <c r="Q741" s="2">
        <f t="shared" si="48"/>
        <v>0.25</v>
      </c>
    </row>
    <row r="742" spans="1:17" x14ac:dyDescent="0.3">
      <c r="A742" s="3">
        <v>20</v>
      </c>
      <c r="B742" s="3">
        <v>9</v>
      </c>
      <c r="C742" s="6">
        <v>3.9</v>
      </c>
      <c r="D742" t="s">
        <v>13</v>
      </c>
      <c r="E742" s="3">
        <v>7500</v>
      </c>
      <c r="F742" s="6">
        <v>4.3</v>
      </c>
      <c r="G742" t="s">
        <v>115</v>
      </c>
      <c r="H742" s="2">
        <v>0.7</v>
      </c>
      <c r="I742" s="3">
        <v>1300</v>
      </c>
      <c r="J742" s="3" t="str">
        <f t="shared" si="45"/>
        <v>Medium Price</v>
      </c>
      <c r="K742" t="s">
        <v>9</v>
      </c>
      <c r="L742" t="s">
        <v>33</v>
      </c>
      <c r="M742" t="s">
        <v>25</v>
      </c>
      <c r="N742">
        <v>0.7</v>
      </c>
      <c r="O742" t="str">
        <f t="shared" si="46"/>
        <v>Medium</v>
      </c>
      <c r="P742">
        <f t="shared" si="47"/>
        <v>11700</v>
      </c>
      <c r="Q742" s="2">
        <f t="shared" si="48"/>
        <v>0.45</v>
      </c>
    </row>
    <row r="743" spans="1:17" x14ac:dyDescent="0.3">
      <c r="A743" s="3">
        <v>9</v>
      </c>
      <c r="B743" s="3">
        <v>6</v>
      </c>
      <c r="C743" s="6">
        <v>2.8</v>
      </c>
      <c r="D743" t="s">
        <v>20</v>
      </c>
      <c r="E743" s="3">
        <v>8500</v>
      </c>
      <c r="F743" s="6">
        <v>3</v>
      </c>
      <c r="G743" t="s">
        <v>116</v>
      </c>
      <c r="H743" s="2">
        <v>0.2</v>
      </c>
      <c r="I743" s="3">
        <v>800</v>
      </c>
      <c r="J743" s="3" t="str">
        <f t="shared" si="45"/>
        <v>Low Price</v>
      </c>
      <c r="K743" t="s">
        <v>9</v>
      </c>
      <c r="L743" t="s">
        <v>17</v>
      </c>
      <c r="M743" t="s">
        <v>34</v>
      </c>
      <c r="N743">
        <v>0.4</v>
      </c>
      <c r="O743" t="str">
        <f t="shared" si="46"/>
        <v>Medium</v>
      </c>
      <c r="P743">
        <f t="shared" si="47"/>
        <v>4800</v>
      </c>
      <c r="Q743" s="2">
        <f t="shared" si="48"/>
        <v>0.66666666666666663</v>
      </c>
    </row>
    <row r="744" spans="1:17" x14ac:dyDescent="0.3">
      <c r="A744" s="3">
        <v>23</v>
      </c>
      <c r="B744" s="3">
        <v>11</v>
      </c>
      <c r="C744" s="6">
        <v>4.4000000000000004</v>
      </c>
      <c r="D744" t="s">
        <v>20</v>
      </c>
      <c r="E744" s="3">
        <v>1300</v>
      </c>
      <c r="F744" s="6">
        <v>4.8</v>
      </c>
      <c r="G744" t="s">
        <v>31</v>
      </c>
      <c r="H744" s="2">
        <v>0.8</v>
      </c>
      <c r="I744" s="3">
        <v>1200</v>
      </c>
      <c r="J744" s="3" t="str">
        <f t="shared" si="45"/>
        <v>Medium Price</v>
      </c>
      <c r="K744" t="s">
        <v>9</v>
      </c>
      <c r="L744" t="s">
        <v>33</v>
      </c>
      <c r="M744" t="s">
        <v>18</v>
      </c>
      <c r="N744">
        <v>0.9</v>
      </c>
      <c r="O744" t="str">
        <f t="shared" si="46"/>
        <v>High</v>
      </c>
      <c r="P744">
        <f t="shared" si="47"/>
        <v>13200</v>
      </c>
      <c r="Q744" s="2">
        <f t="shared" si="48"/>
        <v>0.47826086956521741</v>
      </c>
    </row>
    <row r="745" spans="1:17" x14ac:dyDescent="0.3">
      <c r="A745" s="3">
        <v>28</v>
      </c>
      <c r="B745" s="3">
        <v>13</v>
      </c>
      <c r="C745" s="6">
        <v>4.4000000000000004</v>
      </c>
      <c r="D745" t="s">
        <v>13</v>
      </c>
      <c r="E745" s="3">
        <v>1800</v>
      </c>
      <c r="F745" s="6">
        <v>4.9000000000000004</v>
      </c>
      <c r="G745" t="s">
        <v>62</v>
      </c>
      <c r="H745" s="2">
        <v>0.6</v>
      </c>
      <c r="I745" s="3">
        <v>900</v>
      </c>
      <c r="J745" s="3" t="str">
        <f t="shared" si="45"/>
        <v>Low Price</v>
      </c>
      <c r="K745" t="s">
        <v>9</v>
      </c>
      <c r="L745" t="s">
        <v>17</v>
      </c>
      <c r="M745" t="s">
        <v>18</v>
      </c>
      <c r="N745">
        <v>0.7</v>
      </c>
      <c r="O745" t="str">
        <f t="shared" si="46"/>
        <v>Medium</v>
      </c>
      <c r="P745">
        <f t="shared" si="47"/>
        <v>11700</v>
      </c>
      <c r="Q745" s="2">
        <f t="shared" si="48"/>
        <v>0.4642857142857143</v>
      </c>
    </row>
    <row r="746" spans="1:17" x14ac:dyDescent="0.3">
      <c r="A746" s="3">
        <v>20</v>
      </c>
      <c r="B746" s="3">
        <v>7</v>
      </c>
      <c r="C746" s="6">
        <v>3.6</v>
      </c>
      <c r="D746" t="s">
        <v>20</v>
      </c>
      <c r="E746" s="3">
        <v>8000</v>
      </c>
      <c r="F746" s="6">
        <v>3.9</v>
      </c>
      <c r="G746" t="s">
        <v>35</v>
      </c>
      <c r="H746" s="2">
        <v>0.7</v>
      </c>
      <c r="I746" s="3">
        <v>700</v>
      </c>
      <c r="J746" s="3" t="str">
        <f t="shared" si="45"/>
        <v>Low Price</v>
      </c>
      <c r="K746" t="s">
        <v>9</v>
      </c>
      <c r="L746" t="s">
        <v>33</v>
      </c>
      <c r="M746" t="s">
        <v>18</v>
      </c>
      <c r="N746">
        <v>0.6</v>
      </c>
      <c r="O746" t="str">
        <f t="shared" si="46"/>
        <v>Medium</v>
      </c>
      <c r="P746">
        <f t="shared" si="47"/>
        <v>4900</v>
      </c>
      <c r="Q746" s="2">
        <f t="shared" si="48"/>
        <v>0.35</v>
      </c>
    </row>
    <row r="747" spans="1:17" x14ac:dyDescent="0.3">
      <c r="A747" s="3">
        <v>38</v>
      </c>
      <c r="B747" s="3">
        <v>19</v>
      </c>
      <c r="C747" s="6">
        <v>4.9000000000000004</v>
      </c>
      <c r="D747" t="s">
        <v>13</v>
      </c>
      <c r="E747" s="3">
        <v>13000</v>
      </c>
      <c r="F747" s="6">
        <v>5</v>
      </c>
      <c r="G747" t="s">
        <v>50</v>
      </c>
      <c r="H747" s="2">
        <v>0.9</v>
      </c>
      <c r="I747" s="3">
        <v>1700</v>
      </c>
      <c r="J747" s="3" t="str">
        <f t="shared" si="45"/>
        <v>Medium Price</v>
      </c>
      <c r="K747" t="s">
        <v>9</v>
      </c>
      <c r="L747" t="s">
        <v>17</v>
      </c>
      <c r="M747" t="s">
        <v>25</v>
      </c>
      <c r="N747">
        <v>0.9</v>
      </c>
      <c r="O747" t="str">
        <f t="shared" si="46"/>
        <v>High</v>
      </c>
      <c r="P747">
        <f t="shared" si="47"/>
        <v>32300</v>
      </c>
      <c r="Q747" s="2">
        <f t="shared" si="48"/>
        <v>0.5</v>
      </c>
    </row>
    <row r="748" spans="1:17" x14ac:dyDescent="0.3">
      <c r="A748" s="3">
        <v>13</v>
      </c>
      <c r="B748" s="3">
        <v>3</v>
      </c>
      <c r="C748" s="6">
        <v>2.2999999999999998</v>
      </c>
      <c r="D748" t="s">
        <v>20</v>
      </c>
      <c r="E748" s="3">
        <v>600</v>
      </c>
      <c r="F748" s="6">
        <v>2.6</v>
      </c>
      <c r="G748" t="s">
        <v>117</v>
      </c>
      <c r="H748" s="2">
        <v>-0.1</v>
      </c>
      <c r="I748" s="3">
        <v>1000</v>
      </c>
      <c r="J748" s="3" t="str">
        <f t="shared" si="45"/>
        <v>Medium Price</v>
      </c>
      <c r="K748" t="s">
        <v>9</v>
      </c>
      <c r="L748" t="s">
        <v>33</v>
      </c>
      <c r="M748" t="s">
        <v>25</v>
      </c>
      <c r="N748">
        <v>0.3</v>
      </c>
      <c r="O748" t="str">
        <f t="shared" si="46"/>
        <v>Low</v>
      </c>
      <c r="P748">
        <f t="shared" si="47"/>
        <v>3000</v>
      </c>
      <c r="Q748" s="2">
        <f t="shared" si="48"/>
        <v>0.23076923076923078</v>
      </c>
    </row>
    <row r="749" spans="1:17" x14ac:dyDescent="0.3">
      <c r="A749" s="3">
        <v>50</v>
      </c>
      <c r="B749" s="3">
        <v>21</v>
      </c>
      <c r="C749" s="6">
        <v>4.9000000000000004</v>
      </c>
      <c r="D749" t="s">
        <v>13</v>
      </c>
      <c r="E749" s="3">
        <v>1000</v>
      </c>
      <c r="F749" s="6">
        <v>4.9000000000000004</v>
      </c>
      <c r="G749" t="s">
        <v>42</v>
      </c>
      <c r="H749" s="2">
        <v>0.9</v>
      </c>
      <c r="I749" s="3">
        <v>1400</v>
      </c>
      <c r="J749" s="3" t="str">
        <f t="shared" si="45"/>
        <v>Medium Price</v>
      </c>
      <c r="K749" t="s">
        <v>9</v>
      </c>
      <c r="L749" t="s">
        <v>29</v>
      </c>
      <c r="M749" t="s">
        <v>18</v>
      </c>
      <c r="N749">
        <v>1</v>
      </c>
      <c r="O749" t="str">
        <f t="shared" si="46"/>
        <v>High</v>
      </c>
      <c r="P749">
        <f t="shared" si="47"/>
        <v>29400</v>
      </c>
      <c r="Q749" s="2">
        <f t="shared" si="48"/>
        <v>0.42</v>
      </c>
    </row>
    <row r="750" spans="1:17" x14ac:dyDescent="0.3">
      <c r="A750" s="3">
        <v>12</v>
      </c>
      <c r="B750" s="3">
        <v>2</v>
      </c>
      <c r="C750" s="6">
        <v>1.7</v>
      </c>
      <c r="D750" t="s">
        <v>20</v>
      </c>
      <c r="E750" s="3">
        <v>900</v>
      </c>
      <c r="F750" s="6">
        <v>2</v>
      </c>
      <c r="G750" t="s">
        <v>68</v>
      </c>
      <c r="H750" s="2">
        <v>0.3</v>
      </c>
      <c r="I750" s="3">
        <v>1100</v>
      </c>
      <c r="J750" s="3" t="str">
        <f t="shared" si="45"/>
        <v>Medium Price</v>
      </c>
      <c r="K750" t="s">
        <v>9</v>
      </c>
      <c r="L750" t="s">
        <v>33</v>
      </c>
      <c r="M750" t="s">
        <v>25</v>
      </c>
      <c r="N750">
        <v>0.6</v>
      </c>
      <c r="O750" t="str">
        <f t="shared" si="46"/>
        <v>Medium</v>
      </c>
      <c r="P750">
        <f t="shared" si="47"/>
        <v>2200</v>
      </c>
      <c r="Q750" s="2">
        <f t="shared" si="48"/>
        <v>0.16666666666666666</v>
      </c>
    </row>
    <row r="751" spans="1:17" x14ac:dyDescent="0.3">
      <c r="A751" s="3">
        <v>22</v>
      </c>
      <c r="B751" s="3">
        <v>8</v>
      </c>
      <c r="C751" s="6">
        <v>4.0999999999999996</v>
      </c>
      <c r="D751" t="s">
        <v>20</v>
      </c>
      <c r="E751" s="3">
        <v>11000</v>
      </c>
      <c r="F751" s="6">
        <v>4.5999999999999996</v>
      </c>
      <c r="G751" t="s">
        <v>73</v>
      </c>
      <c r="H751" s="2">
        <v>0.7</v>
      </c>
      <c r="I751" s="3">
        <v>1400</v>
      </c>
      <c r="J751" s="3" t="str">
        <f t="shared" si="45"/>
        <v>Medium Price</v>
      </c>
      <c r="K751" t="s">
        <v>9</v>
      </c>
      <c r="L751" t="s">
        <v>17</v>
      </c>
      <c r="M751" t="s">
        <v>18</v>
      </c>
      <c r="N751">
        <v>0.8</v>
      </c>
      <c r="O751" t="str">
        <f t="shared" si="46"/>
        <v>High</v>
      </c>
      <c r="P751">
        <f t="shared" si="47"/>
        <v>11200</v>
      </c>
      <c r="Q751" s="2">
        <f t="shared" si="48"/>
        <v>0.36363636363636365</v>
      </c>
    </row>
    <row r="752" spans="1:17" x14ac:dyDescent="0.3">
      <c r="A752" s="3">
        <v>34</v>
      </c>
      <c r="B752" s="3">
        <v>12</v>
      </c>
      <c r="C752" s="6">
        <v>4.0999999999999996</v>
      </c>
      <c r="D752" t="s">
        <v>13</v>
      </c>
      <c r="E752" s="3">
        <v>3000</v>
      </c>
      <c r="F752" s="6">
        <v>4.5999999999999996</v>
      </c>
      <c r="G752" t="s">
        <v>95</v>
      </c>
      <c r="H752" s="2">
        <v>0.9</v>
      </c>
      <c r="I752" s="3">
        <v>1200</v>
      </c>
      <c r="J752" s="3" t="str">
        <f t="shared" si="45"/>
        <v>Medium Price</v>
      </c>
      <c r="K752" t="s">
        <v>9</v>
      </c>
      <c r="L752" t="s">
        <v>33</v>
      </c>
      <c r="M752" t="s">
        <v>34</v>
      </c>
      <c r="N752">
        <v>0.9</v>
      </c>
      <c r="O752" t="str">
        <f t="shared" si="46"/>
        <v>High</v>
      </c>
      <c r="P752">
        <f t="shared" si="47"/>
        <v>14400</v>
      </c>
      <c r="Q752" s="2">
        <f t="shared" si="48"/>
        <v>0.35294117647058826</v>
      </c>
    </row>
    <row r="753" spans="1:17" x14ac:dyDescent="0.3">
      <c r="A753" s="3">
        <v>41</v>
      </c>
      <c r="B753" s="3">
        <v>18</v>
      </c>
      <c r="C753" s="6">
        <v>4.9000000000000004</v>
      </c>
      <c r="D753" t="s">
        <v>13</v>
      </c>
      <c r="E753" s="3">
        <v>7000</v>
      </c>
      <c r="F753" s="6">
        <v>4.9000000000000004</v>
      </c>
      <c r="G753" t="s">
        <v>57</v>
      </c>
      <c r="H753" s="2">
        <v>0.9</v>
      </c>
      <c r="I753" s="3">
        <v>1100</v>
      </c>
      <c r="J753" s="3" t="str">
        <f t="shared" si="45"/>
        <v>Medium Price</v>
      </c>
      <c r="K753" t="s">
        <v>9</v>
      </c>
      <c r="L753" t="s">
        <v>33</v>
      </c>
      <c r="M753" t="s">
        <v>18</v>
      </c>
      <c r="N753">
        <v>1</v>
      </c>
      <c r="O753" t="str">
        <f t="shared" si="46"/>
        <v>High</v>
      </c>
      <c r="P753">
        <f t="shared" si="47"/>
        <v>19800</v>
      </c>
      <c r="Q753" s="2">
        <f t="shared" si="48"/>
        <v>0.43902439024390244</v>
      </c>
    </row>
    <row r="754" spans="1:17" x14ac:dyDescent="0.3">
      <c r="A754" s="3">
        <v>6</v>
      </c>
      <c r="B754" s="3">
        <v>3</v>
      </c>
      <c r="C754" s="6">
        <v>1</v>
      </c>
      <c r="D754" t="s">
        <v>13</v>
      </c>
      <c r="E754" s="3">
        <v>1000</v>
      </c>
      <c r="F754" s="6">
        <v>1.5</v>
      </c>
      <c r="G754" t="s">
        <v>72</v>
      </c>
      <c r="H754" s="2">
        <v>-1</v>
      </c>
      <c r="I754" s="3">
        <v>700</v>
      </c>
      <c r="J754" s="3" t="str">
        <f t="shared" si="45"/>
        <v>Low Price</v>
      </c>
      <c r="K754" t="s">
        <v>179</v>
      </c>
      <c r="L754" t="s">
        <v>33</v>
      </c>
      <c r="M754" t="s">
        <v>34</v>
      </c>
      <c r="N754">
        <v>0.1</v>
      </c>
      <c r="O754" t="str">
        <f t="shared" si="46"/>
        <v>Low</v>
      </c>
      <c r="P754">
        <f t="shared" si="47"/>
        <v>2100</v>
      </c>
      <c r="Q754" s="2">
        <f t="shared" si="48"/>
        <v>0.5</v>
      </c>
    </row>
    <row r="755" spans="1:17" x14ac:dyDescent="0.3">
      <c r="A755" s="3">
        <v>21</v>
      </c>
      <c r="B755" s="3">
        <v>10</v>
      </c>
      <c r="C755" s="6">
        <v>3.9</v>
      </c>
      <c r="D755" t="s">
        <v>20</v>
      </c>
      <c r="E755" s="3">
        <v>18000</v>
      </c>
      <c r="F755" s="6">
        <v>4.0999999999999996</v>
      </c>
      <c r="G755" t="s">
        <v>78</v>
      </c>
      <c r="H755" s="2">
        <v>0.5</v>
      </c>
      <c r="I755" s="3">
        <v>800</v>
      </c>
      <c r="J755" s="3" t="str">
        <f t="shared" si="45"/>
        <v>Low Price</v>
      </c>
      <c r="K755" t="s">
        <v>9</v>
      </c>
      <c r="L755" t="s">
        <v>17</v>
      </c>
      <c r="M755" t="s">
        <v>18</v>
      </c>
      <c r="N755">
        <v>0.3</v>
      </c>
      <c r="O755" t="str">
        <f t="shared" si="46"/>
        <v>Low</v>
      </c>
      <c r="P755">
        <f t="shared" si="47"/>
        <v>8000</v>
      </c>
      <c r="Q755" s="2">
        <f t="shared" si="48"/>
        <v>0.47619047619047616</v>
      </c>
    </row>
    <row r="756" spans="1:17" x14ac:dyDescent="0.3">
      <c r="A756" s="3">
        <v>11</v>
      </c>
      <c r="B756" s="3">
        <v>4</v>
      </c>
      <c r="C756" s="6">
        <v>1.7</v>
      </c>
      <c r="D756" t="s">
        <v>13</v>
      </c>
      <c r="E756" s="3">
        <v>1000</v>
      </c>
      <c r="F756" s="6">
        <v>2</v>
      </c>
      <c r="G756" t="s">
        <v>55</v>
      </c>
      <c r="H756" s="2">
        <v>-0.9</v>
      </c>
      <c r="I756" s="3">
        <v>1300</v>
      </c>
      <c r="J756" s="3" t="str">
        <f t="shared" si="45"/>
        <v>Medium Price</v>
      </c>
      <c r="K756" t="s">
        <v>9</v>
      </c>
      <c r="L756" t="s">
        <v>33</v>
      </c>
      <c r="M756" t="s">
        <v>25</v>
      </c>
      <c r="N756">
        <v>0.3</v>
      </c>
      <c r="O756" t="str">
        <f t="shared" si="46"/>
        <v>Low</v>
      </c>
      <c r="P756">
        <f t="shared" si="47"/>
        <v>5200</v>
      </c>
      <c r="Q756" s="2">
        <f t="shared" si="48"/>
        <v>0.36363636363636365</v>
      </c>
    </row>
    <row r="757" spans="1:17" x14ac:dyDescent="0.3">
      <c r="A757" s="3">
        <v>48</v>
      </c>
      <c r="B757" s="3">
        <v>23</v>
      </c>
      <c r="C757" s="6">
        <v>4.9000000000000004</v>
      </c>
      <c r="D757" t="s">
        <v>20</v>
      </c>
      <c r="E757" s="3">
        <v>10000</v>
      </c>
      <c r="F757" s="6">
        <v>4.9000000000000004</v>
      </c>
      <c r="G757" t="s">
        <v>99</v>
      </c>
      <c r="H757" s="2">
        <v>0.9</v>
      </c>
      <c r="I757" s="3">
        <v>1200</v>
      </c>
      <c r="J757" s="3" t="str">
        <f t="shared" si="45"/>
        <v>Medium Price</v>
      </c>
      <c r="K757" t="s">
        <v>9</v>
      </c>
      <c r="L757" t="s">
        <v>29</v>
      </c>
      <c r="M757" t="s">
        <v>34</v>
      </c>
      <c r="N757">
        <v>1</v>
      </c>
      <c r="O757" t="str">
        <f t="shared" si="46"/>
        <v>High</v>
      </c>
      <c r="P757">
        <f t="shared" si="47"/>
        <v>27600</v>
      </c>
      <c r="Q757" s="2">
        <f t="shared" si="48"/>
        <v>0.47916666666666669</v>
      </c>
    </row>
    <row r="758" spans="1:17" x14ac:dyDescent="0.3">
      <c r="A758" s="3">
        <v>10</v>
      </c>
      <c r="B758" s="3">
        <v>2</v>
      </c>
      <c r="C758" s="6">
        <v>1.7</v>
      </c>
      <c r="D758" t="s">
        <v>13</v>
      </c>
      <c r="E758" s="3">
        <v>1500</v>
      </c>
      <c r="F758" s="6">
        <v>2</v>
      </c>
      <c r="G758" t="s">
        <v>69</v>
      </c>
      <c r="H758" s="2">
        <v>-0.9</v>
      </c>
      <c r="I758" s="3">
        <v>600</v>
      </c>
      <c r="J758" s="3" t="str">
        <f t="shared" si="45"/>
        <v>Low Price</v>
      </c>
      <c r="K758" t="s">
        <v>179</v>
      </c>
      <c r="L758" t="s">
        <v>33</v>
      </c>
      <c r="M758" t="s">
        <v>18</v>
      </c>
      <c r="N758">
        <v>0.1</v>
      </c>
      <c r="O758" t="str">
        <f t="shared" si="46"/>
        <v>Low</v>
      </c>
      <c r="P758">
        <f t="shared" si="47"/>
        <v>1200</v>
      </c>
      <c r="Q758" s="2">
        <f t="shared" si="48"/>
        <v>0.2</v>
      </c>
    </row>
    <row r="759" spans="1:17" x14ac:dyDescent="0.3">
      <c r="A759" s="3">
        <v>27</v>
      </c>
      <c r="B759" s="3">
        <v>8</v>
      </c>
      <c r="C759" s="6">
        <v>4</v>
      </c>
      <c r="D759" t="s">
        <v>20</v>
      </c>
      <c r="E759" s="3">
        <v>9500</v>
      </c>
      <c r="F759" s="6">
        <v>4.3</v>
      </c>
      <c r="G759" t="s">
        <v>37</v>
      </c>
      <c r="H759" s="2">
        <v>0.7</v>
      </c>
      <c r="I759" s="3">
        <v>1500</v>
      </c>
      <c r="J759" s="3" t="str">
        <f t="shared" si="45"/>
        <v>Medium Price</v>
      </c>
      <c r="K759" t="s">
        <v>9</v>
      </c>
      <c r="L759" t="s">
        <v>33</v>
      </c>
      <c r="M759" t="s">
        <v>34</v>
      </c>
      <c r="N759">
        <v>0.8</v>
      </c>
      <c r="O759" t="str">
        <f t="shared" si="46"/>
        <v>High</v>
      </c>
      <c r="P759">
        <f t="shared" si="47"/>
        <v>12000</v>
      </c>
      <c r="Q759" s="2">
        <f t="shared" si="48"/>
        <v>0.29629629629629628</v>
      </c>
    </row>
    <row r="760" spans="1:17" x14ac:dyDescent="0.3">
      <c r="A760" s="3">
        <v>30</v>
      </c>
      <c r="B760" s="3">
        <v>14</v>
      </c>
      <c r="C760" s="6">
        <v>4.9000000000000004</v>
      </c>
      <c r="D760" t="s">
        <v>20</v>
      </c>
      <c r="E760" s="3">
        <v>1200</v>
      </c>
      <c r="F760" s="6">
        <v>4.9000000000000004</v>
      </c>
      <c r="G760" t="s">
        <v>82</v>
      </c>
      <c r="H760" s="2">
        <v>0.9</v>
      </c>
      <c r="I760" s="3">
        <v>1200</v>
      </c>
      <c r="J760" s="3" t="str">
        <f t="shared" si="45"/>
        <v>Medium Price</v>
      </c>
      <c r="K760" t="s">
        <v>9</v>
      </c>
      <c r="L760" t="s">
        <v>17</v>
      </c>
      <c r="M760" t="s">
        <v>18</v>
      </c>
      <c r="N760">
        <v>0.9</v>
      </c>
      <c r="O760" t="str">
        <f t="shared" si="46"/>
        <v>High</v>
      </c>
      <c r="P760">
        <f t="shared" si="47"/>
        <v>16800</v>
      </c>
      <c r="Q760" s="2">
        <f t="shared" si="48"/>
        <v>0.46666666666666667</v>
      </c>
    </row>
    <row r="761" spans="1:17" x14ac:dyDescent="0.3">
      <c r="A761" s="3">
        <v>53</v>
      </c>
      <c r="B761" s="3">
        <v>18</v>
      </c>
      <c r="C761" s="6">
        <v>4.9000000000000004</v>
      </c>
      <c r="D761" t="s">
        <v>13</v>
      </c>
      <c r="E761" s="3">
        <v>3500</v>
      </c>
      <c r="F761" s="6">
        <v>4.9000000000000004</v>
      </c>
      <c r="G761" t="s">
        <v>48</v>
      </c>
      <c r="H761" s="2">
        <v>0.9</v>
      </c>
      <c r="I761" s="3">
        <v>1000</v>
      </c>
      <c r="J761" s="3" t="str">
        <f t="shared" si="45"/>
        <v>Medium Price</v>
      </c>
      <c r="K761" t="s">
        <v>9</v>
      </c>
      <c r="L761" t="s">
        <v>33</v>
      </c>
      <c r="M761" t="s">
        <v>34</v>
      </c>
      <c r="N761">
        <v>0.9</v>
      </c>
      <c r="O761" t="str">
        <f t="shared" si="46"/>
        <v>High</v>
      </c>
      <c r="P761">
        <f t="shared" si="47"/>
        <v>18000</v>
      </c>
      <c r="Q761" s="2">
        <f t="shared" si="48"/>
        <v>0.33962264150943394</v>
      </c>
    </row>
    <row r="762" spans="1:17" x14ac:dyDescent="0.3">
      <c r="A762" s="3">
        <v>13</v>
      </c>
      <c r="B762" s="3">
        <v>5</v>
      </c>
      <c r="C762" s="6">
        <v>3</v>
      </c>
      <c r="D762" t="s">
        <v>13</v>
      </c>
      <c r="E762" s="3">
        <v>9500</v>
      </c>
      <c r="F762" s="6">
        <v>3.5</v>
      </c>
      <c r="G762" t="s">
        <v>75</v>
      </c>
      <c r="H762" s="2">
        <v>0.5</v>
      </c>
      <c r="I762" s="3">
        <v>1100</v>
      </c>
      <c r="J762" s="3" t="str">
        <f t="shared" si="45"/>
        <v>Medium Price</v>
      </c>
      <c r="K762" t="s">
        <v>9</v>
      </c>
      <c r="L762" t="s">
        <v>33</v>
      </c>
      <c r="M762" t="s">
        <v>25</v>
      </c>
      <c r="N762">
        <v>0.6</v>
      </c>
      <c r="O762" t="str">
        <f t="shared" si="46"/>
        <v>Medium</v>
      </c>
      <c r="P762">
        <f t="shared" si="47"/>
        <v>5500</v>
      </c>
      <c r="Q762" s="2">
        <f t="shared" si="48"/>
        <v>0.38461538461538464</v>
      </c>
    </row>
    <row r="763" spans="1:17" x14ac:dyDescent="0.3">
      <c r="A763" s="3">
        <v>22</v>
      </c>
      <c r="B763" s="3">
        <v>7</v>
      </c>
      <c r="C763" s="6">
        <v>4</v>
      </c>
      <c r="D763" t="s">
        <v>20</v>
      </c>
      <c r="E763" s="3">
        <v>10500</v>
      </c>
      <c r="F763" s="6">
        <v>4.5999999999999996</v>
      </c>
      <c r="G763" t="s">
        <v>21</v>
      </c>
      <c r="H763" s="2">
        <v>0.9</v>
      </c>
      <c r="I763" s="3">
        <v>800</v>
      </c>
      <c r="J763" s="3" t="str">
        <f t="shared" si="45"/>
        <v>Low Price</v>
      </c>
      <c r="K763" t="s">
        <v>9</v>
      </c>
      <c r="L763" t="s">
        <v>17</v>
      </c>
      <c r="M763" t="s">
        <v>34</v>
      </c>
      <c r="N763">
        <v>0.9</v>
      </c>
      <c r="O763" t="str">
        <f t="shared" si="46"/>
        <v>High</v>
      </c>
      <c r="P763">
        <f t="shared" si="47"/>
        <v>5600</v>
      </c>
      <c r="Q763" s="2">
        <f t="shared" si="48"/>
        <v>0.31818181818181818</v>
      </c>
    </row>
    <row r="764" spans="1:17" x14ac:dyDescent="0.3">
      <c r="A764" s="3">
        <v>37</v>
      </c>
      <c r="B764" s="3">
        <v>15</v>
      </c>
      <c r="C764" s="6">
        <v>4.9000000000000004</v>
      </c>
      <c r="D764" t="s">
        <v>13</v>
      </c>
      <c r="E764" s="3">
        <v>15000</v>
      </c>
      <c r="F764" s="6">
        <v>5</v>
      </c>
      <c r="G764" t="s">
        <v>118</v>
      </c>
      <c r="H764" s="2">
        <v>0.9</v>
      </c>
      <c r="I764" s="3">
        <v>1700</v>
      </c>
      <c r="J764" s="3" t="str">
        <f t="shared" si="45"/>
        <v>Medium Price</v>
      </c>
      <c r="K764" t="s">
        <v>9</v>
      </c>
      <c r="L764" t="s">
        <v>29</v>
      </c>
      <c r="M764" t="s">
        <v>25</v>
      </c>
      <c r="N764">
        <v>1</v>
      </c>
      <c r="O764" t="str">
        <f t="shared" si="46"/>
        <v>High</v>
      </c>
      <c r="P764">
        <f t="shared" si="47"/>
        <v>25500</v>
      </c>
      <c r="Q764" s="2">
        <f t="shared" si="48"/>
        <v>0.40540540540540543</v>
      </c>
    </row>
    <row r="765" spans="1:17" x14ac:dyDescent="0.3">
      <c r="A765" s="3">
        <v>12</v>
      </c>
      <c r="B765" s="3">
        <v>1</v>
      </c>
      <c r="C765" s="6">
        <v>1.5</v>
      </c>
      <c r="D765" t="s">
        <v>20</v>
      </c>
      <c r="E765" s="3">
        <v>1400</v>
      </c>
      <c r="F765" s="6">
        <v>1.7</v>
      </c>
      <c r="G765" t="s">
        <v>77</v>
      </c>
      <c r="H765" s="2">
        <v>-0.9</v>
      </c>
      <c r="I765" s="3">
        <v>800</v>
      </c>
      <c r="J765" s="3" t="str">
        <f t="shared" si="45"/>
        <v>Low Price</v>
      </c>
      <c r="K765" t="s">
        <v>179</v>
      </c>
      <c r="L765" t="s">
        <v>33</v>
      </c>
      <c r="M765" t="s">
        <v>18</v>
      </c>
      <c r="N765">
        <v>0</v>
      </c>
      <c r="O765" t="str">
        <f t="shared" si="46"/>
        <v>Low</v>
      </c>
      <c r="P765">
        <f t="shared" si="47"/>
        <v>800</v>
      </c>
      <c r="Q765" s="2">
        <f t="shared" si="48"/>
        <v>8.3333333333333329E-2</v>
      </c>
    </row>
    <row r="766" spans="1:17" x14ac:dyDescent="0.3">
      <c r="A766" s="3">
        <v>26</v>
      </c>
      <c r="B766" s="3">
        <v>11</v>
      </c>
      <c r="C766" s="6">
        <v>4.9000000000000004</v>
      </c>
      <c r="D766" t="s">
        <v>13</v>
      </c>
      <c r="E766" s="3">
        <v>1800</v>
      </c>
      <c r="F766" s="6">
        <v>4.5999999999999996</v>
      </c>
      <c r="G766" t="s">
        <v>66</v>
      </c>
      <c r="H766" s="2">
        <v>0.8</v>
      </c>
      <c r="I766" s="3">
        <v>1000</v>
      </c>
      <c r="J766" s="3" t="str">
        <f t="shared" si="45"/>
        <v>Medium Price</v>
      </c>
      <c r="K766" t="s">
        <v>9</v>
      </c>
      <c r="L766" t="s">
        <v>33</v>
      </c>
      <c r="M766" t="s">
        <v>18</v>
      </c>
      <c r="N766">
        <v>0.8</v>
      </c>
      <c r="O766" t="str">
        <f t="shared" si="46"/>
        <v>High</v>
      </c>
      <c r="P766">
        <f t="shared" si="47"/>
        <v>11000</v>
      </c>
      <c r="Q766" s="2">
        <f t="shared" si="48"/>
        <v>0.42307692307692307</v>
      </c>
    </row>
    <row r="767" spans="1:17" x14ac:dyDescent="0.3">
      <c r="A767" s="3">
        <v>39</v>
      </c>
      <c r="B767" s="3">
        <v>16</v>
      </c>
      <c r="C767" s="6">
        <v>4.9000000000000004</v>
      </c>
      <c r="D767" t="s">
        <v>13</v>
      </c>
      <c r="E767" s="3">
        <v>1300</v>
      </c>
      <c r="F767" s="6">
        <v>5</v>
      </c>
      <c r="G767" t="s">
        <v>27</v>
      </c>
      <c r="H767" s="2">
        <v>0.9</v>
      </c>
      <c r="I767" s="3">
        <v>900</v>
      </c>
      <c r="J767" s="3" t="str">
        <f t="shared" si="45"/>
        <v>Low Price</v>
      </c>
      <c r="K767" t="s">
        <v>9</v>
      </c>
      <c r="L767" t="s">
        <v>24</v>
      </c>
      <c r="M767" t="s">
        <v>18</v>
      </c>
      <c r="N767">
        <v>1</v>
      </c>
      <c r="O767" t="str">
        <f t="shared" si="46"/>
        <v>High</v>
      </c>
      <c r="P767">
        <f t="shared" si="47"/>
        <v>14400</v>
      </c>
      <c r="Q767" s="2">
        <f t="shared" si="48"/>
        <v>0.41025641025641024</v>
      </c>
    </row>
    <row r="768" spans="1:17" x14ac:dyDescent="0.3">
      <c r="A768" s="3">
        <v>10</v>
      </c>
      <c r="B768" s="3">
        <v>3</v>
      </c>
      <c r="C768" s="6">
        <v>1.5</v>
      </c>
      <c r="D768" t="s">
        <v>20</v>
      </c>
      <c r="E768" s="3">
        <v>5000</v>
      </c>
      <c r="F768" s="6">
        <v>2</v>
      </c>
      <c r="G768" t="s">
        <v>14</v>
      </c>
      <c r="H768" s="2">
        <v>-1</v>
      </c>
      <c r="I768" s="3">
        <v>700</v>
      </c>
      <c r="J768" s="3" t="str">
        <f t="shared" si="45"/>
        <v>Low Price</v>
      </c>
      <c r="K768" t="s">
        <v>179</v>
      </c>
      <c r="L768" t="s">
        <v>33</v>
      </c>
      <c r="M768" t="s">
        <v>34</v>
      </c>
      <c r="N768">
        <v>0</v>
      </c>
      <c r="O768" t="str">
        <f t="shared" si="46"/>
        <v>Low</v>
      </c>
      <c r="P768">
        <f t="shared" si="47"/>
        <v>2100</v>
      </c>
      <c r="Q768" s="2">
        <f t="shared" si="48"/>
        <v>0.3</v>
      </c>
    </row>
    <row r="769" spans="1:17" x14ac:dyDescent="0.3">
      <c r="A769" s="3">
        <v>22</v>
      </c>
      <c r="B769" s="3">
        <v>10</v>
      </c>
      <c r="C769" s="6">
        <v>4</v>
      </c>
      <c r="D769" t="s">
        <v>13</v>
      </c>
      <c r="E769" s="3">
        <v>8500</v>
      </c>
      <c r="F769" s="6">
        <v>4.4000000000000004</v>
      </c>
      <c r="G769" t="s">
        <v>115</v>
      </c>
      <c r="H769" s="2">
        <v>0.7</v>
      </c>
      <c r="I769" s="3">
        <v>1400</v>
      </c>
      <c r="J769" s="3" t="str">
        <f t="shared" si="45"/>
        <v>Medium Price</v>
      </c>
      <c r="K769" t="s">
        <v>9</v>
      </c>
      <c r="L769" t="s">
        <v>33</v>
      </c>
      <c r="M769" t="s">
        <v>25</v>
      </c>
      <c r="N769">
        <v>0.7</v>
      </c>
      <c r="O769" t="str">
        <f t="shared" si="46"/>
        <v>Medium</v>
      </c>
      <c r="P769">
        <f t="shared" si="47"/>
        <v>14000</v>
      </c>
      <c r="Q769" s="2">
        <f t="shared" si="48"/>
        <v>0.45454545454545453</v>
      </c>
    </row>
    <row r="770" spans="1:17" x14ac:dyDescent="0.3">
      <c r="A770" s="3">
        <v>10</v>
      </c>
      <c r="B770" s="3">
        <v>7</v>
      </c>
      <c r="C770" s="6">
        <v>2.2000000000000002</v>
      </c>
      <c r="D770" t="s">
        <v>20</v>
      </c>
      <c r="E770" s="3">
        <v>9000</v>
      </c>
      <c r="F770" s="6">
        <v>2.5</v>
      </c>
      <c r="G770" t="s">
        <v>116</v>
      </c>
      <c r="H770" s="2">
        <v>0.2</v>
      </c>
      <c r="I770" s="3">
        <v>900</v>
      </c>
      <c r="J770" s="3" t="str">
        <f t="shared" ref="J770:J833" si="49">IF(I770&gt;5000, "High Price", IF(I770&gt;=1000, "Medium Price", IF(I770&lt;1000, "Low Price")))</f>
        <v>Low Price</v>
      </c>
      <c r="K770" t="s">
        <v>9</v>
      </c>
      <c r="L770" t="s">
        <v>17</v>
      </c>
      <c r="M770" t="s">
        <v>34</v>
      </c>
      <c r="N770">
        <v>0.4</v>
      </c>
      <c r="O770" t="str">
        <f t="shared" ref="O770:O833" si="50">IF(N770&gt;=0.8,"High",IF(N770&gt;=0.4,"Medium",IF(N770&lt;0.4,"Low")))</f>
        <v>Medium</v>
      </c>
      <c r="P770">
        <f t="shared" si="47"/>
        <v>6300</v>
      </c>
      <c r="Q770" s="2">
        <f t="shared" si="48"/>
        <v>0.7</v>
      </c>
    </row>
    <row r="771" spans="1:17" x14ac:dyDescent="0.3">
      <c r="A771" s="3">
        <v>25</v>
      </c>
      <c r="B771" s="3">
        <v>12</v>
      </c>
      <c r="C771" s="6">
        <v>4.5</v>
      </c>
      <c r="D771" t="s">
        <v>20</v>
      </c>
      <c r="E771" s="3">
        <v>1400</v>
      </c>
      <c r="F771" s="6">
        <v>5</v>
      </c>
      <c r="G771" t="s">
        <v>31</v>
      </c>
      <c r="H771" s="2">
        <v>0.8</v>
      </c>
      <c r="I771" s="3">
        <v>1300</v>
      </c>
      <c r="J771" s="3" t="str">
        <f t="shared" si="49"/>
        <v>Medium Price</v>
      </c>
      <c r="K771" t="s">
        <v>9</v>
      </c>
      <c r="L771" t="s">
        <v>33</v>
      </c>
      <c r="M771" t="s">
        <v>18</v>
      </c>
      <c r="N771">
        <v>0.9</v>
      </c>
      <c r="O771" t="str">
        <f t="shared" si="50"/>
        <v>High</v>
      </c>
      <c r="P771">
        <f t="shared" ref="P771:P834" si="51">I771*B771</f>
        <v>15600</v>
      </c>
      <c r="Q771" s="2">
        <f t="shared" ref="Q771:Q834" si="52">B771/A771</f>
        <v>0.48</v>
      </c>
    </row>
    <row r="772" spans="1:17" x14ac:dyDescent="0.3">
      <c r="A772" s="3">
        <v>29</v>
      </c>
      <c r="B772" s="3">
        <v>14</v>
      </c>
      <c r="C772" s="6">
        <v>4.5</v>
      </c>
      <c r="D772" t="s">
        <v>13</v>
      </c>
      <c r="E772" s="3">
        <v>1900</v>
      </c>
      <c r="F772" s="6">
        <v>4.9000000000000004</v>
      </c>
      <c r="G772" t="s">
        <v>62</v>
      </c>
      <c r="H772" s="2">
        <v>0.7</v>
      </c>
      <c r="I772" s="3">
        <v>1000</v>
      </c>
      <c r="J772" s="3" t="str">
        <f t="shared" si="49"/>
        <v>Medium Price</v>
      </c>
      <c r="K772" t="s">
        <v>9</v>
      </c>
      <c r="L772" t="s">
        <v>17</v>
      </c>
      <c r="M772" t="s">
        <v>18</v>
      </c>
      <c r="N772">
        <v>0.7</v>
      </c>
      <c r="O772" t="str">
        <f t="shared" si="50"/>
        <v>Medium</v>
      </c>
      <c r="P772">
        <f t="shared" si="51"/>
        <v>14000</v>
      </c>
      <c r="Q772" s="2">
        <f t="shared" si="52"/>
        <v>0.48275862068965519</v>
      </c>
    </row>
    <row r="773" spans="1:17" x14ac:dyDescent="0.3">
      <c r="A773" s="3">
        <v>22</v>
      </c>
      <c r="B773" s="3">
        <v>8</v>
      </c>
      <c r="C773" s="6">
        <v>3.5</v>
      </c>
      <c r="D773" t="s">
        <v>20</v>
      </c>
      <c r="E773" s="3">
        <v>8500</v>
      </c>
      <c r="F773" s="6">
        <v>3.9</v>
      </c>
      <c r="G773" t="s">
        <v>35</v>
      </c>
      <c r="H773" s="2">
        <v>0.7</v>
      </c>
      <c r="I773" s="3">
        <v>800</v>
      </c>
      <c r="J773" s="3" t="str">
        <f t="shared" si="49"/>
        <v>Low Price</v>
      </c>
      <c r="K773" t="s">
        <v>9</v>
      </c>
      <c r="L773" t="s">
        <v>33</v>
      </c>
      <c r="M773" t="s">
        <v>18</v>
      </c>
      <c r="N773">
        <v>0.6</v>
      </c>
      <c r="O773" t="str">
        <f t="shared" si="50"/>
        <v>Medium</v>
      </c>
      <c r="P773">
        <f t="shared" si="51"/>
        <v>6400</v>
      </c>
      <c r="Q773" s="2">
        <f t="shared" si="52"/>
        <v>0.36363636363636365</v>
      </c>
    </row>
    <row r="774" spans="1:17" x14ac:dyDescent="0.3">
      <c r="A774" s="3">
        <v>40</v>
      </c>
      <c r="B774" s="3">
        <v>20</v>
      </c>
      <c r="C774" s="6">
        <v>4.9000000000000004</v>
      </c>
      <c r="D774" t="s">
        <v>13</v>
      </c>
      <c r="E774" s="3">
        <v>13500</v>
      </c>
      <c r="F774" s="6">
        <v>5</v>
      </c>
      <c r="G774" t="s">
        <v>50</v>
      </c>
      <c r="H774" s="2">
        <v>0.9</v>
      </c>
      <c r="I774" s="3">
        <v>1800</v>
      </c>
      <c r="J774" s="3" t="str">
        <f t="shared" si="49"/>
        <v>Medium Price</v>
      </c>
      <c r="K774" t="s">
        <v>9</v>
      </c>
      <c r="L774" t="s">
        <v>17</v>
      </c>
      <c r="M774" t="s">
        <v>25</v>
      </c>
      <c r="N774">
        <v>0.9</v>
      </c>
      <c r="O774" t="str">
        <f t="shared" si="50"/>
        <v>High</v>
      </c>
      <c r="P774">
        <f t="shared" si="51"/>
        <v>36000</v>
      </c>
      <c r="Q774" s="2">
        <f t="shared" si="52"/>
        <v>0.5</v>
      </c>
    </row>
    <row r="775" spans="1:17" x14ac:dyDescent="0.3">
      <c r="A775" s="3">
        <v>15</v>
      </c>
      <c r="B775" s="3">
        <v>4</v>
      </c>
      <c r="C775" s="6">
        <v>1.8</v>
      </c>
      <c r="D775" t="s">
        <v>20</v>
      </c>
      <c r="E775" s="3">
        <v>700</v>
      </c>
      <c r="F775" s="6">
        <v>2.1</v>
      </c>
      <c r="G775" t="s">
        <v>117</v>
      </c>
      <c r="H775" s="2">
        <v>-0.1</v>
      </c>
      <c r="I775" s="3">
        <v>1100</v>
      </c>
      <c r="J775" s="3" t="str">
        <f t="shared" si="49"/>
        <v>Medium Price</v>
      </c>
      <c r="K775" t="s">
        <v>9</v>
      </c>
      <c r="L775" t="s">
        <v>33</v>
      </c>
      <c r="M775" t="s">
        <v>25</v>
      </c>
      <c r="N775">
        <v>0.3</v>
      </c>
      <c r="O775" t="str">
        <f t="shared" si="50"/>
        <v>Low</v>
      </c>
      <c r="P775">
        <f t="shared" si="51"/>
        <v>4400</v>
      </c>
      <c r="Q775" s="2">
        <f t="shared" si="52"/>
        <v>0.26666666666666666</v>
      </c>
    </row>
    <row r="776" spans="1:17" x14ac:dyDescent="0.3">
      <c r="A776" s="3">
        <v>55</v>
      </c>
      <c r="B776" s="3">
        <v>22</v>
      </c>
      <c r="C776" s="6">
        <v>4.9000000000000004</v>
      </c>
      <c r="D776" t="s">
        <v>13</v>
      </c>
      <c r="E776" s="3">
        <v>1100</v>
      </c>
      <c r="F776" s="6">
        <v>4.9000000000000004</v>
      </c>
      <c r="G776" t="s">
        <v>42</v>
      </c>
      <c r="H776" s="2">
        <v>0.9</v>
      </c>
      <c r="I776" s="3">
        <v>1500</v>
      </c>
      <c r="J776" s="3" t="str">
        <f t="shared" si="49"/>
        <v>Medium Price</v>
      </c>
      <c r="K776" t="s">
        <v>9</v>
      </c>
      <c r="L776" t="s">
        <v>29</v>
      </c>
      <c r="M776" t="s">
        <v>18</v>
      </c>
      <c r="N776">
        <v>1</v>
      </c>
      <c r="O776" t="str">
        <f t="shared" si="50"/>
        <v>High</v>
      </c>
      <c r="P776">
        <f t="shared" si="51"/>
        <v>33000</v>
      </c>
      <c r="Q776" s="2">
        <f t="shared" si="52"/>
        <v>0.4</v>
      </c>
    </row>
    <row r="777" spans="1:17" x14ac:dyDescent="0.3">
      <c r="A777" s="3">
        <v>14</v>
      </c>
      <c r="B777" s="3">
        <v>3</v>
      </c>
      <c r="C777" s="6">
        <v>1.5</v>
      </c>
      <c r="D777" t="s">
        <v>20</v>
      </c>
      <c r="E777" s="3">
        <v>950</v>
      </c>
      <c r="F777" s="6">
        <v>2</v>
      </c>
      <c r="G777" t="s">
        <v>68</v>
      </c>
      <c r="H777" s="2">
        <v>0.3</v>
      </c>
      <c r="I777" s="3">
        <v>1200</v>
      </c>
      <c r="J777" s="3" t="str">
        <f t="shared" si="49"/>
        <v>Medium Price</v>
      </c>
      <c r="K777" t="s">
        <v>9</v>
      </c>
      <c r="L777" t="s">
        <v>33</v>
      </c>
      <c r="M777" t="s">
        <v>25</v>
      </c>
      <c r="N777">
        <v>0.6</v>
      </c>
      <c r="O777" t="str">
        <f t="shared" si="50"/>
        <v>Medium</v>
      </c>
      <c r="P777">
        <f t="shared" si="51"/>
        <v>3600</v>
      </c>
      <c r="Q777" s="2">
        <f t="shared" si="52"/>
        <v>0.21428571428571427</v>
      </c>
    </row>
    <row r="778" spans="1:17" x14ac:dyDescent="0.3">
      <c r="A778" s="3">
        <v>24</v>
      </c>
      <c r="B778" s="3">
        <v>9</v>
      </c>
      <c r="C778" s="6">
        <v>4</v>
      </c>
      <c r="D778" t="s">
        <v>20</v>
      </c>
      <c r="E778" s="3">
        <v>13000</v>
      </c>
      <c r="F778" s="6">
        <v>4.7</v>
      </c>
      <c r="G778" t="s">
        <v>73</v>
      </c>
      <c r="H778" s="2">
        <v>0.7</v>
      </c>
      <c r="I778" s="3">
        <v>1600</v>
      </c>
      <c r="J778" s="3" t="str">
        <f t="shared" si="49"/>
        <v>Medium Price</v>
      </c>
      <c r="K778" t="s">
        <v>9</v>
      </c>
      <c r="L778" t="s">
        <v>17</v>
      </c>
      <c r="M778" t="s">
        <v>18</v>
      </c>
      <c r="N778">
        <v>0.8</v>
      </c>
      <c r="O778" t="str">
        <f t="shared" si="50"/>
        <v>High</v>
      </c>
      <c r="P778">
        <f t="shared" si="51"/>
        <v>14400</v>
      </c>
      <c r="Q778" s="2">
        <f t="shared" si="52"/>
        <v>0.375</v>
      </c>
    </row>
    <row r="779" spans="1:17" x14ac:dyDescent="0.3">
      <c r="A779" s="3">
        <v>36</v>
      </c>
      <c r="B779" s="3">
        <v>13</v>
      </c>
      <c r="C779" s="6">
        <v>4</v>
      </c>
      <c r="D779" t="s">
        <v>13</v>
      </c>
      <c r="E779" s="3">
        <v>3200</v>
      </c>
      <c r="F779" s="6">
        <v>4.7</v>
      </c>
      <c r="G779" t="s">
        <v>95</v>
      </c>
      <c r="H779" s="2">
        <v>0.9</v>
      </c>
      <c r="I779" s="3">
        <v>1300</v>
      </c>
      <c r="J779" s="3" t="str">
        <f t="shared" si="49"/>
        <v>Medium Price</v>
      </c>
      <c r="K779" t="s">
        <v>9</v>
      </c>
      <c r="L779" t="s">
        <v>33</v>
      </c>
      <c r="M779" t="s">
        <v>34</v>
      </c>
      <c r="N779">
        <v>0.9</v>
      </c>
      <c r="O779" t="str">
        <f t="shared" si="50"/>
        <v>High</v>
      </c>
      <c r="P779">
        <f t="shared" si="51"/>
        <v>16900</v>
      </c>
      <c r="Q779" s="2">
        <f t="shared" si="52"/>
        <v>0.3611111111111111</v>
      </c>
    </row>
    <row r="780" spans="1:17" x14ac:dyDescent="0.3">
      <c r="A780" s="3">
        <v>43</v>
      </c>
      <c r="B780" s="3">
        <v>19</v>
      </c>
      <c r="C780" s="6">
        <v>4.9000000000000004</v>
      </c>
      <c r="D780" t="s">
        <v>13</v>
      </c>
      <c r="E780" s="3">
        <v>7500</v>
      </c>
      <c r="F780" s="6">
        <v>4.9000000000000004</v>
      </c>
      <c r="G780" t="s">
        <v>57</v>
      </c>
      <c r="H780" s="2">
        <v>0.9</v>
      </c>
      <c r="I780" s="3">
        <v>1200</v>
      </c>
      <c r="J780" s="3" t="str">
        <f t="shared" si="49"/>
        <v>Medium Price</v>
      </c>
      <c r="K780" t="s">
        <v>9</v>
      </c>
      <c r="L780" t="s">
        <v>33</v>
      </c>
      <c r="M780" t="s">
        <v>18</v>
      </c>
      <c r="N780">
        <v>1</v>
      </c>
      <c r="O780" t="str">
        <f t="shared" si="50"/>
        <v>High</v>
      </c>
      <c r="P780">
        <f t="shared" si="51"/>
        <v>22800</v>
      </c>
      <c r="Q780" s="2">
        <f t="shared" si="52"/>
        <v>0.44186046511627908</v>
      </c>
    </row>
    <row r="781" spans="1:17" x14ac:dyDescent="0.3">
      <c r="A781" s="3">
        <v>7</v>
      </c>
      <c r="B781" s="3">
        <v>4</v>
      </c>
      <c r="C781" s="6">
        <v>1</v>
      </c>
      <c r="D781" t="s">
        <v>13</v>
      </c>
      <c r="E781" s="3">
        <v>1100</v>
      </c>
      <c r="F781" s="6">
        <v>1.6</v>
      </c>
      <c r="G781" t="s">
        <v>72</v>
      </c>
      <c r="H781" s="2">
        <v>-1</v>
      </c>
      <c r="I781" s="3">
        <v>800</v>
      </c>
      <c r="J781" s="3" t="str">
        <f t="shared" si="49"/>
        <v>Low Price</v>
      </c>
      <c r="K781" t="s">
        <v>179</v>
      </c>
      <c r="L781" t="s">
        <v>33</v>
      </c>
      <c r="M781" t="s">
        <v>34</v>
      </c>
      <c r="N781">
        <v>0.1</v>
      </c>
      <c r="O781" t="str">
        <f t="shared" si="50"/>
        <v>Low</v>
      </c>
      <c r="P781">
        <f t="shared" si="51"/>
        <v>3200</v>
      </c>
      <c r="Q781" s="2">
        <f t="shared" si="52"/>
        <v>0.5714285714285714</v>
      </c>
    </row>
    <row r="782" spans="1:17" x14ac:dyDescent="0.3">
      <c r="A782" s="3">
        <v>23</v>
      </c>
      <c r="B782" s="3">
        <v>12</v>
      </c>
      <c r="C782" s="6">
        <v>4</v>
      </c>
      <c r="D782" t="s">
        <v>20</v>
      </c>
      <c r="E782" s="3">
        <v>19000</v>
      </c>
      <c r="F782" s="6">
        <v>4.0999999999999996</v>
      </c>
      <c r="G782" t="s">
        <v>78</v>
      </c>
      <c r="H782" s="2">
        <v>0.6</v>
      </c>
      <c r="I782" s="3">
        <v>900</v>
      </c>
      <c r="J782" s="3" t="str">
        <f t="shared" si="49"/>
        <v>Low Price</v>
      </c>
      <c r="K782" t="s">
        <v>9</v>
      </c>
      <c r="L782" t="s">
        <v>17</v>
      </c>
      <c r="M782" t="s">
        <v>18</v>
      </c>
      <c r="N782">
        <v>0.3</v>
      </c>
      <c r="O782" t="str">
        <f t="shared" si="50"/>
        <v>Low</v>
      </c>
      <c r="P782">
        <f t="shared" si="51"/>
        <v>10800</v>
      </c>
      <c r="Q782" s="2">
        <f t="shared" si="52"/>
        <v>0.52173913043478259</v>
      </c>
    </row>
    <row r="783" spans="1:17" x14ac:dyDescent="0.3">
      <c r="A783" s="3">
        <v>12</v>
      </c>
      <c r="B783" s="3">
        <v>5</v>
      </c>
      <c r="C783" s="6">
        <v>1.5</v>
      </c>
      <c r="D783" t="s">
        <v>13</v>
      </c>
      <c r="E783" s="3">
        <v>1100</v>
      </c>
      <c r="F783" s="6">
        <v>2</v>
      </c>
      <c r="G783" t="s">
        <v>55</v>
      </c>
      <c r="H783" s="2">
        <v>-0.9</v>
      </c>
      <c r="I783" s="3">
        <v>1400</v>
      </c>
      <c r="J783" s="3" t="str">
        <f t="shared" si="49"/>
        <v>Medium Price</v>
      </c>
      <c r="K783" t="s">
        <v>9</v>
      </c>
      <c r="L783" t="s">
        <v>33</v>
      </c>
      <c r="M783" t="s">
        <v>25</v>
      </c>
      <c r="N783">
        <v>0.3</v>
      </c>
      <c r="O783" t="str">
        <f t="shared" si="50"/>
        <v>Low</v>
      </c>
      <c r="P783">
        <f t="shared" si="51"/>
        <v>7000</v>
      </c>
      <c r="Q783" s="2">
        <f t="shared" si="52"/>
        <v>0.41666666666666669</v>
      </c>
    </row>
    <row r="784" spans="1:17" x14ac:dyDescent="0.3">
      <c r="A784" s="3">
        <v>50</v>
      </c>
      <c r="B784" s="3">
        <v>24</v>
      </c>
      <c r="C784" s="6">
        <v>4.9000000000000004</v>
      </c>
      <c r="D784" t="s">
        <v>20</v>
      </c>
      <c r="E784" s="3">
        <v>10500</v>
      </c>
      <c r="F784" s="6">
        <v>4.9000000000000004</v>
      </c>
      <c r="G784" t="s">
        <v>99</v>
      </c>
      <c r="H784" s="2">
        <v>0.9</v>
      </c>
      <c r="I784" s="3">
        <v>1300</v>
      </c>
      <c r="J784" s="3" t="str">
        <f t="shared" si="49"/>
        <v>Medium Price</v>
      </c>
      <c r="K784" t="s">
        <v>9</v>
      </c>
      <c r="L784" t="s">
        <v>29</v>
      </c>
      <c r="M784" t="s">
        <v>34</v>
      </c>
      <c r="N784">
        <v>1</v>
      </c>
      <c r="O784" t="str">
        <f t="shared" si="50"/>
        <v>High</v>
      </c>
      <c r="P784">
        <f t="shared" si="51"/>
        <v>31200</v>
      </c>
      <c r="Q784" s="2">
        <f t="shared" si="52"/>
        <v>0.48</v>
      </c>
    </row>
    <row r="785" spans="1:17" x14ac:dyDescent="0.3">
      <c r="A785" s="3">
        <v>11</v>
      </c>
      <c r="B785" s="3">
        <v>3</v>
      </c>
      <c r="C785" s="6">
        <v>1.5</v>
      </c>
      <c r="D785" t="s">
        <v>13</v>
      </c>
      <c r="E785" s="3">
        <v>1600</v>
      </c>
      <c r="F785" s="6">
        <v>2</v>
      </c>
      <c r="G785" t="s">
        <v>69</v>
      </c>
      <c r="H785" s="2">
        <v>-0.9</v>
      </c>
      <c r="I785" s="3">
        <v>700</v>
      </c>
      <c r="J785" s="3" t="str">
        <f t="shared" si="49"/>
        <v>Low Price</v>
      </c>
      <c r="K785" t="s">
        <v>179</v>
      </c>
      <c r="L785" t="s">
        <v>33</v>
      </c>
      <c r="M785" t="s">
        <v>18</v>
      </c>
      <c r="N785">
        <v>0.1</v>
      </c>
      <c r="O785" t="str">
        <f t="shared" si="50"/>
        <v>Low</v>
      </c>
      <c r="P785">
        <f t="shared" si="51"/>
        <v>2100</v>
      </c>
      <c r="Q785" s="2">
        <f t="shared" si="52"/>
        <v>0.27272727272727271</v>
      </c>
    </row>
    <row r="786" spans="1:17" x14ac:dyDescent="0.3">
      <c r="A786" s="3">
        <v>29</v>
      </c>
      <c r="B786" s="3">
        <v>10</v>
      </c>
      <c r="C786" s="6">
        <v>4</v>
      </c>
      <c r="D786" t="s">
        <v>20</v>
      </c>
      <c r="E786" s="3">
        <v>9500</v>
      </c>
      <c r="F786" s="6">
        <v>4.4000000000000004</v>
      </c>
      <c r="G786" t="s">
        <v>37</v>
      </c>
      <c r="H786" s="2">
        <v>0.7</v>
      </c>
      <c r="I786" s="3">
        <v>1800</v>
      </c>
      <c r="J786" s="3" t="str">
        <f t="shared" si="49"/>
        <v>Medium Price</v>
      </c>
      <c r="K786" t="s">
        <v>9</v>
      </c>
      <c r="L786" t="s">
        <v>33</v>
      </c>
      <c r="M786" t="s">
        <v>34</v>
      </c>
      <c r="N786">
        <v>0.8</v>
      </c>
      <c r="O786" t="str">
        <f t="shared" si="50"/>
        <v>High</v>
      </c>
      <c r="P786">
        <f t="shared" si="51"/>
        <v>18000</v>
      </c>
      <c r="Q786" s="2">
        <f t="shared" si="52"/>
        <v>0.34482758620689657</v>
      </c>
    </row>
    <row r="787" spans="1:17" x14ac:dyDescent="0.3">
      <c r="A787" s="3">
        <v>30</v>
      </c>
      <c r="B787" s="3">
        <v>5</v>
      </c>
      <c r="C787" s="6">
        <v>4.2</v>
      </c>
      <c r="D787" t="s">
        <v>13</v>
      </c>
      <c r="E787" s="3">
        <v>1000</v>
      </c>
      <c r="F787" s="6">
        <v>4.5</v>
      </c>
      <c r="G787" t="s">
        <v>48</v>
      </c>
      <c r="H787" s="2">
        <v>0.7</v>
      </c>
      <c r="I787" s="3">
        <v>2500</v>
      </c>
      <c r="J787" s="3" t="str">
        <f t="shared" si="49"/>
        <v>Medium Price</v>
      </c>
      <c r="K787" t="s">
        <v>179</v>
      </c>
      <c r="L787" t="s">
        <v>17</v>
      </c>
      <c r="M787" t="s">
        <v>18</v>
      </c>
      <c r="N787">
        <v>0.8</v>
      </c>
      <c r="O787" t="str">
        <f t="shared" si="50"/>
        <v>High</v>
      </c>
      <c r="P787">
        <f t="shared" si="51"/>
        <v>12500</v>
      </c>
      <c r="Q787" s="2">
        <f t="shared" si="52"/>
        <v>0.16666666666666666</v>
      </c>
    </row>
    <row r="788" spans="1:17" x14ac:dyDescent="0.3">
      <c r="A788" s="3">
        <v>10</v>
      </c>
      <c r="B788" s="3">
        <v>2</v>
      </c>
      <c r="C788" s="6">
        <v>3.9</v>
      </c>
      <c r="D788" t="s">
        <v>20</v>
      </c>
      <c r="E788" s="3">
        <v>200</v>
      </c>
      <c r="F788" s="6">
        <v>3.8</v>
      </c>
      <c r="G788" t="s">
        <v>78</v>
      </c>
      <c r="H788" s="2">
        <v>-0.2</v>
      </c>
      <c r="I788" s="3">
        <v>100</v>
      </c>
      <c r="J788" s="3" t="str">
        <f t="shared" si="49"/>
        <v>Low Price</v>
      </c>
      <c r="K788" t="s">
        <v>179</v>
      </c>
      <c r="L788" t="s">
        <v>33</v>
      </c>
      <c r="M788" t="s">
        <v>25</v>
      </c>
      <c r="N788">
        <v>0.3</v>
      </c>
      <c r="O788" t="str">
        <f t="shared" si="50"/>
        <v>Low</v>
      </c>
      <c r="P788">
        <f t="shared" si="51"/>
        <v>200</v>
      </c>
      <c r="Q788" s="2">
        <f t="shared" si="52"/>
        <v>0.2</v>
      </c>
    </row>
    <row r="789" spans="1:17" x14ac:dyDescent="0.3">
      <c r="A789" s="3">
        <v>15</v>
      </c>
      <c r="B789" s="3">
        <v>8</v>
      </c>
      <c r="C789" s="6">
        <v>4.8</v>
      </c>
      <c r="D789" t="s">
        <v>13</v>
      </c>
      <c r="E789" s="3">
        <v>5000</v>
      </c>
      <c r="F789" s="6">
        <v>4.7</v>
      </c>
      <c r="G789" t="s">
        <v>95</v>
      </c>
      <c r="H789" s="2">
        <v>0.9</v>
      </c>
      <c r="I789" s="3">
        <v>600</v>
      </c>
      <c r="J789" s="3" t="str">
        <f t="shared" si="49"/>
        <v>Low Price</v>
      </c>
      <c r="K789" t="s">
        <v>179</v>
      </c>
      <c r="L789" t="s">
        <v>17</v>
      </c>
      <c r="M789" t="s">
        <v>18</v>
      </c>
      <c r="N789">
        <v>0.9</v>
      </c>
      <c r="O789" t="str">
        <f t="shared" si="50"/>
        <v>High</v>
      </c>
      <c r="P789">
        <f t="shared" si="51"/>
        <v>4800</v>
      </c>
      <c r="Q789" s="2">
        <f t="shared" si="52"/>
        <v>0.53333333333333333</v>
      </c>
    </row>
    <row r="790" spans="1:17" x14ac:dyDescent="0.3">
      <c r="A790" s="3">
        <v>5</v>
      </c>
      <c r="B790" s="3">
        <v>0</v>
      </c>
      <c r="C790" s="6">
        <v>4.5</v>
      </c>
      <c r="D790" t="s">
        <v>13</v>
      </c>
      <c r="E790" s="3">
        <v>100</v>
      </c>
      <c r="F790" s="6">
        <v>4.2</v>
      </c>
      <c r="G790" t="s">
        <v>80</v>
      </c>
      <c r="H790" s="2">
        <v>0.5</v>
      </c>
      <c r="I790" s="3">
        <v>200</v>
      </c>
      <c r="J790" s="3" t="str">
        <f t="shared" si="49"/>
        <v>Low Price</v>
      </c>
      <c r="K790" t="s">
        <v>179</v>
      </c>
      <c r="L790" t="s">
        <v>24</v>
      </c>
      <c r="M790" t="s">
        <v>34</v>
      </c>
      <c r="N790">
        <v>0.6</v>
      </c>
      <c r="O790" t="str">
        <f t="shared" si="50"/>
        <v>Medium</v>
      </c>
      <c r="P790">
        <f t="shared" si="51"/>
        <v>0</v>
      </c>
      <c r="Q790" s="2">
        <f t="shared" si="52"/>
        <v>0</v>
      </c>
    </row>
    <row r="791" spans="1:17" x14ac:dyDescent="0.3">
      <c r="A791" s="3">
        <v>40</v>
      </c>
      <c r="B791" s="3">
        <v>15</v>
      </c>
      <c r="C791" s="6">
        <v>4.5999999999999996</v>
      </c>
      <c r="D791" t="s">
        <v>20</v>
      </c>
      <c r="E791" s="3">
        <v>8000</v>
      </c>
      <c r="F791" s="6">
        <v>4.9000000000000004</v>
      </c>
      <c r="G791" t="s">
        <v>55</v>
      </c>
      <c r="H791" s="2">
        <v>0.8</v>
      </c>
      <c r="I791" s="3">
        <v>900</v>
      </c>
      <c r="J791" s="3" t="str">
        <f t="shared" si="49"/>
        <v>Low Price</v>
      </c>
      <c r="K791" t="s">
        <v>9</v>
      </c>
      <c r="L791" t="s">
        <v>17</v>
      </c>
      <c r="M791" t="s">
        <v>25</v>
      </c>
      <c r="N791">
        <v>0.95</v>
      </c>
      <c r="O791" t="str">
        <f t="shared" si="50"/>
        <v>High</v>
      </c>
      <c r="P791">
        <f t="shared" si="51"/>
        <v>13500</v>
      </c>
      <c r="Q791" s="2">
        <f t="shared" si="52"/>
        <v>0.375</v>
      </c>
    </row>
    <row r="792" spans="1:17" x14ac:dyDescent="0.3">
      <c r="A792" s="3">
        <v>20</v>
      </c>
      <c r="B792" s="3">
        <v>3</v>
      </c>
      <c r="C792" s="6">
        <v>3.2</v>
      </c>
      <c r="D792" t="s">
        <v>13</v>
      </c>
      <c r="E792" s="3">
        <v>1500</v>
      </c>
      <c r="F792" s="6">
        <v>3.4</v>
      </c>
      <c r="G792" t="s">
        <v>39</v>
      </c>
      <c r="H792" s="2">
        <v>-0.1</v>
      </c>
      <c r="I792" s="3">
        <v>170</v>
      </c>
      <c r="J792" s="3" t="str">
        <f t="shared" si="49"/>
        <v>Low Price</v>
      </c>
      <c r="K792" t="s">
        <v>179</v>
      </c>
      <c r="L792" t="s">
        <v>29</v>
      </c>
      <c r="M792" t="s">
        <v>18</v>
      </c>
      <c r="N792">
        <v>0.4</v>
      </c>
      <c r="O792" t="str">
        <f t="shared" si="50"/>
        <v>Medium</v>
      </c>
      <c r="P792">
        <f t="shared" si="51"/>
        <v>510</v>
      </c>
      <c r="Q792" s="2">
        <f t="shared" si="52"/>
        <v>0.15</v>
      </c>
    </row>
    <row r="793" spans="1:17" x14ac:dyDescent="0.3">
      <c r="A793" s="3">
        <v>8</v>
      </c>
      <c r="B793" s="3">
        <v>1</v>
      </c>
      <c r="C793" s="6">
        <v>2.5</v>
      </c>
      <c r="D793" t="s">
        <v>13</v>
      </c>
      <c r="E793" s="3">
        <v>2000</v>
      </c>
      <c r="F793" s="6">
        <v>2.2999999999999998</v>
      </c>
      <c r="G793" t="s">
        <v>21</v>
      </c>
      <c r="H793" s="2">
        <v>-0.5</v>
      </c>
      <c r="I793" s="3">
        <v>400</v>
      </c>
      <c r="J793" s="3" t="str">
        <f t="shared" si="49"/>
        <v>Low Price</v>
      </c>
      <c r="K793" t="s">
        <v>179</v>
      </c>
      <c r="L793" t="s">
        <v>33</v>
      </c>
      <c r="M793" t="s">
        <v>18</v>
      </c>
      <c r="N793">
        <v>0.1</v>
      </c>
      <c r="O793" t="str">
        <f t="shared" si="50"/>
        <v>Low</v>
      </c>
      <c r="P793">
        <f t="shared" si="51"/>
        <v>400</v>
      </c>
      <c r="Q793" s="2">
        <f t="shared" si="52"/>
        <v>0.125</v>
      </c>
    </row>
    <row r="794" spans="1:17" x14ac:dyDescent="0.3">
      <c r="A794" s="3">
        <v>12</v>
      </c>
      <c r="B794" s="3">
        <v>6</v>
      </c>
      <c r="C794" s="6">
        <v>4</v>
      </c>
      <c r="D794" t="s">
        <v>20</v>
      </c>
      <c r="E794" s="3">
        <v>700</v>
      </c>
      <c r="F794" s="6">
        <v>4</v>
      </c>
      <c r="G794" t="s">
        <v>66</v>
      </c>
      <c r="H794" s="2">
        <v>0.3</v>
      </c>
      <c r="I794" s="3">
        <v>750</v>
      </c>
      <c r="J794" s="3" t="str">
        <f t="shared" si="49"/>
        <v>Low Price</v>
      </c>
      <c r="K794" t="s">
        <v>179</v>
      </c>
      <c r="L794" t="s">
        <v>24</v>
      </c>
      <c r="M794" t="s">
        <v>25</v>
      </c>
      <c r="N794">
        <v>0.7</v>
      </c>
      <c r="O794" t="str">
        <f t="shared" si="50"/>
        <v>Medium</v>
      </c>
      <c r="P794">
        <f t="shared" si="51"/>
        <v>4500</v>
      </c>
      <c r="Q794" s="2">
        <f t="shared" si="52"/>
        <v>0.5</v>
      </c>
    </row>
    <row r="795" spans="1:17" x14ac:dyDescent="0.3">
      <c r="A795" s="3">
        <v>35</v>
      </c>
      <c r="B795" s="3">
        <v>18</v>
      </c>
      <c r="C795" s="6">
        <v>4.9000000000000004</v>
      </c>
      <c r="D795" t="s">
        <v>13</v>
      </c>
      <c r="E795" s="3">
        <v>6000</v>
      </c>
      <c r="F795" s="6">
        <v>4.8</v>
      </c>
      <c r="G795" t="s">
        <v>60</v>
      </c>
      <c r="H795" s="2">
        <v>0.7</v>
      </c>
      <c r="I795" s="3">
        <v>700</v>
      </c>
      <c r="J795" s="3" t="str">
        <f t="shared" si="49"/>
        <v>Low Price</v>
      </c>
      <c r="K795" t="s">
        <v>179</v>
      </c>
      <c r="L795" t="s">
        <v>17</v>
      </c>
      <c r="M795" t="s">
        <v>18</v>
      </c>
      <c r="N795">
        <v>0.85</v>
      </c>
      <c r="O795" t="str">
        <f t="shared" si="50"/>
        <v>High</v>
      </c>
      <c r="P795">
        <f t="shared" si="51"/>
        <v>12600</v>
      </c>
      <c r="Q795" s="2">
        <f t="shared" si="52"/>
        <v>0.51428571428571423</v>
      </c>
    </row>
    <row r="796" spans="1:17" x14ac:dyDescent="0.3">
      <c r="A796" s="3">
        <v>45</v>
      </c>
      <c r="B796" s="3">
        <v>12</v>
      </c>
      <c r="C796" s="6">
        <v>4.7</v>
      </c>
      <c r="D796" t="s">
        <v>20</v>
      </c>
      <c r="E796" s="3">
        <v>3000</v>
      </c>
      <c r="F796" s="6">
        <v>4.5999999999999996</v>
      </c>
      <c r="G796" t="s">
        <v>14</v>
      </c>
      <c r="H796" s="2">
        <v>0.6</v>
      </c>
      <c r="I796" s="3">
        <v>300</v>
      </c>
      <c r="J796" s="3" t="str">
        <f t="shared" si="49"/>
        <v>Low Price</v>
      </c>
      <c r="K796" t="s">
        <v>9</v>
      </c>
      <c r="L796" t="s">
        <v>33</v>
      </c>
      <c r="M796" t="s">
        <v>25</v>
      </c>
      <c r="N796">
        <v>0.9</v>
      </c>
      <c r="O796" t="str">
        <f t="shared" si="50"/>
        <v>High</v>
      </c>
      <c r="P796">
        <f t="shared" si="51"/>
        <v>3600</v>
      </c>
      <c r="Q796" s="2">
        <f t="shared" si="52"/>
        <v>0.26666666666666666</v>
      </c>
    </row>
    <row r="797" spans="1:17" x14ac:dyDescent="0.3">
      <c r="A797" s="3">
        <v>25</v>
      </c>
      <c r="B797" s="3">
        <v>5</v>
      </c>
      <c r="C797" s="6">
        <v>3.8</v>
      </c>
      <c r="D797" t="s">
        <v>20</v>
      </c>
      <c r="E797" s="3">
        <v>400</v>
      </c>
      <c r="F797" s="6">
        <v>3.7</v>
      </c>
      <c r="G797" t="s">
        <v>74</v>
      </c>
      <c r="H797" s="2">
        <v>-0.3</v>
      </c>
      <c r="I797" s="3">
        <v>500</v>
      </c>
      <c r="J797" s="3" t="str">
        <f t="shared" si="49"/>
        <v>Low Price</v>
      </c>
      <c r="K797" t="s">
        <v>9</v>
      </c>
      <c r="L797" t="s">
        <v>24</v>
      </c>
      <c r="M797" t="s">
        <v>18</v>
      </c>
      <c r="N797">
        <v>0.3</v>
      </c>
      <c r="O797" t="str">
        <f t="shared" si="50"/>
        <v>Low</v>
      </c>
      <c r="P797">
        <f t="shared" si="51"/>
        <v>2500</v>
      </c>
      <c r="Q797" s="2">
        <f t="shared" si="52"/>
        <v>0.2</v>
      </c>
    </row>
    <row r="798" spans="1:17" x14ac:dyDescent="0.3">
      <c r="A798" s="3">
        <v>3</v>
      </c>
      <c r="B798" s="3">
        <v>0</v>
      </c>
      <c r="C798" s="6">
        <v>4.3</v>
      </c>
      <c r="D798" t="s">
        <v>20</v>
      </c>
      <c r="E798" s="3">
        <v>900</v>
      </c>
      <c r="F798" s="6">
        <v>4.4000000000000004</v>
      </c>
      <c r="G798" t="s">
        <v>27</v>
      </c>
      <c r="H798" s="2">
        <v>0.2</v>
      </c>
      <c r="I798" s="3">
        <v>1000</v>
      </c>
      <c r="J798" s="3" t="str">
        <f t="shared" si="49"/>
        <v>Medium Price</v>
      </c>
      <c r="K798" t="s">
        <v>179</v>
      </c>
      <c r="L798" t="s">
        <v>17</v>
      </c>
      <c r="M798" t="s">
        <v>25</v>
      </c>
      <c r="N798">
        <v>0.5</v>
      </c>
      <c r="O798" t="str">
        <f t="shared" si="50"/>
        <v>Medium</v>
      </c>
      <c r="P798">
        <f t="shared" si="51"/>
        <v>0</v>
      </c>
      <c r="Q798" s="2">
        <f t="shared" si="52"/>
        <v>0</v>
      </c>
    </row>
    <row r="799" spans="1:17" x14ac:dyDescent="0.3">
      <c r="A799" s="3">
        <v>18</v>
      </c>
      <c r="B799" s="3">
        <v>10</v>
      </c>
      <c r="C799" s="6">
        <v>4.5999999999999996</v>
      </c>
      <c r="D799" t="s">
        <v>13</v>
      </c>
      <c r="E799" s="3">
        <v>3500</v>
      </c>
      <c r="F799" s="6">
        <v>4.7</v>
      </c>
      <c r="G799" t="s">
        <v>97</v>
      </c>
      <c r="H799" s="2">
        <v>0.4</v>
      </c>
      <c r="I799" s="3">
        <v>800</v>
      </c>
      <c r="J799" s="3" t="str">
        <f t="shared" si="49"/>
        <v>Low Price</v>
      </c>
      <c r="K799" t="s">
        <v>179</v>
      </c>
      <c r="L799" t="s">
        <v>33</v>
      </c>
      <c r="M799" t="s">
        <v>34</v>
      </c>
      <c r="N799">
        <v>0.8</v>
      </c>
      <c r="O799" t="str">
        <f t="shared" si="50"/>
        <v>High</v>
      </c>
      <c r="P799">
        <f t="shared" si="51"/>
        <v>8000</v>
      </c>
      <c r="Q799" s="2">
        <f t="shared" si="52"/>
        <v>0.55555555555555558</v>
      </c>
    </row>
    <row r="800" spans="1:17" x14ac:dyDescent="0.3">
      <c r="A800" s="3">
        <v>7</v>
      </c>
      <c r="B800" s="3">
        <v>2</v>
      </c>
      <c r="C800" s="6">
        <v>3.7</v>
      </c>
      <c r="D800" t="s">
        <v>13</v>
      </c>
      <c r="E800" s="3">
        <v>4500</v>
      </c>
      <c r="F800" s="6">
        <v>3.5</v>
      </c>
      <c r="G800" t="s">
        <v>65</v>
      </c>
      <c r="H800" s="2">
        <v>-0.4</v>
      </c>
      <c r="I800" s="3">
        <v>300</v>
      </c>
      <c r="J800" s="3" t="str">
        <f t="shared" si="49"/>
        <v>Low Price</v>
      </c>
      <c r="K800" t="s">
        <v>179</v>
      </c>
      <c r="L800" t="s">
        <v>29</v>
      </c>
      <c r="M800" t="s">
        <v>18</v>
      </c>
      <c r="N800">
        <v>0.2</v>
      </c>
      <c r="O800" t="str">
        <f t="shared" si="50"/>
        <v>Low</v>
      </c>
      <c r="P800">
        <f t="shared" si="51"/>
        <v>600</v>
      </c>
      <c r="Q800" s="2">
        <f t="shared" si="52"/>
        <v>0.2857142857142857</v>
      </c>
    </row>
    <row r="801" spans="1:17" x14ac:dyDescent="0.3">
      <c r="A801" s="3">
        <v>22</v>
      </c>
      <c r="B801" s="3">
        <v>7</v>
      </c>
      <c r="C801" s="6">
        <v>4.5</v>
      </c>
      <c r="D801" t="s">
        <v>20</v>
      </c>
      <c r="E801" s="3">
        <v>5500</v>
      </c>
      <c r="F801" s="6">
        <v>4.3</v>
      </c>
      <c r="G801" t="s">
        <v>73</v>
      </c>
      <c r="H801" s="2">
        <v>0.1</v>
      </c>
      <c r="I801" s="3">
        <v>1000</v>
      </c>
      <c r="J801" s="3" t="str">
        <f t="shared" si="49"/>
        <v>Medium Price</v>
      </c>
      <c r="K801" t="s">
        <v>179</v>
      </c>
      <c r="L801" t="s">
        <v>17</v>
      </c>
      <c r="M801" t="s">
        <v>25</v>
      </c>
      <c r="N801">
        <v>0.75</v>
      </c>
      <c r="O801" t="str">
        <f t="shared" si="50"/>
        <v>Medium</v>
      </c>
      <c r="P801">
        <f t="shared" si="51"/>
        <v>7000</v>
      </c>
      <c r="Q801" s="2">
        <f t="shared" si="52"/>
        <v>0.31818181818181818</v>
      </c>
    </row>
    <row r="802" spans="1:17" x14ac:dyDescent="0.3">
      <c r="A802" s="3">
        <v>50</v>
      </c>
      <c r="B802" s="3">
        <v>20</v>
      </c>
      <c r="C802" s="6">
        <v>4.5</v>
      </c>
      <c r="D802" t="s">
        <v>13</v>
      </c>
      <c r="E802" s="3">
        <v>9500</v>
      </c>
      <c r="F802" s="6">
        <v>4.7</v>
      </c>
      <c r="G802" t="s">
        <v>35</v>
      </c>
      <c r="H802" s="2">
        <v>0.9</v>
      </c>
      <c r="I802" s="3">
        <v>900</v>
      </c>
      <c r="J802" s="3" t="str">
        <f t="shared" si="49"/>
        <v>Low Price</v>
      </c>
      <c r="K802" t="s">
        <v>179</v>
      </c>
      <c r="L802" t="s">
        <v>17</v>
      </c>
      <c r="M802" t="s">
        <v>25</v>
      </c>
      <c r="N802">
        <v>1</v>
      </c>
      <c r="O802" t="str">
        <f t="shared" si="50"/>
        <v>High</v>
      </c>
      <c r="P802">
        <f t="shared" si="51"/>
        <v>18000</v>
      </c>
      <c r="Q802" s="2">
        <f t="shared" si="52"/>
        <v>0.4</v>
      </c>
    </row>
    <row r="803" spans="1:17" x14ac:dyDescent="0.3">
      <c r="A803" s="3">
        <v>13</v>
      </c>
      <c r="B803" s="3">
        <v>4</v>
      </c>
      <c r="C803" s="6">
        <v>3.4</v>
      </c>
      <c r="D803" t="s">
        <v>13</v>
      </c>
      <c r="E803" s="3">
        <v>750</v>
      </c>
      <c r="F803" s="6">
        <v>3.3</v>
      </c>
      <c r="G803" t="s">
        <v>98</v>
      </c>
      <c r="H803" s="2">
        <v>0</v>
      </c>
      <c r="I803" s="3">
        <v>600</v>
      </c>
      <c r="J803" s="3" t="str">
        <f t="shared" si="49"/>
        <v>Low Price</v>
      </c>
      <c r="K803" t="s">
        <v>179</v>
      </c>
      <c r="L803" t="s">
        <v>33</v>
      </c>
      <c r="M803" t="s">
        <v>34</v>
      </c>
      <c r="N803">
        <v>0.4</v>
      </c>
      <c r="O803" t="str">
        <f t="shared" si="50"/>
        <v>Medium</v>
      </c>
      <c r="P803">
        <f t="shared" si="51"/>
        <v>2400</v>
      </c>
      <c r="Q803" s="2">
        <f t="shared" si="52"/>
        <v>0.30769230769230771</v>
      </c>
    </row>
    <row r="804" spans="1:17" x14ac:dyDescent="0.3">
      <c r="A804" s="3">
        <v>6</v>
      </c>
      <c r="B804" s="3">
        <v>0</v>
      </c>
      <c r="C804" s="6">
        <v>3</v>
      </c>
      <c r="D804" t="s">
        <v>20</v>
      </c>
      <c r="E804" s="3">
        <v>300</v>
      </c>
      <c r="F804" s="6">
        <v>2.8</v>
      </c>
      <c r="G804" t="s">
        <v>96</v>
      </c>
      <c r="H804" s="2">
        <v>-0.6</v>
      </c>
      <c r="I804" s="3">
        <v>200</v>
      </c>
      <c r="J804" s="3" t="str">
        <f t="shared" si="49"/>
        <v>Low Price</v>
      </c>
      <c r="K804" t="s">
        <v>179</v>
      </c>
      <c r="L804" t="s">
        <v>24</v>
      </c>
      <c r="M804" t="s">
        <v>18</v>
      </c>
      <c r="N804">
        <v>0.05</v>
      </c>
      <c r="O804" t="str">
        <f t="shared" si="50"/>
        <v>Low</v>
      </c>
      <c r="P804">
        <f t="shared" si="51"/>
        <v>0</v>
      </c>
      <c r="Q804" s="2">
        <f t="shared" si="52"/>
        <v>0</v>
      </c>
    </row>
    <row r="805" spans="1:17" x14ac:dyDescent="0.3">
      <c r="A805" s="3">
        <v>28</v>
      </c>
      <c r="B805" s="3">
        <v>9</v>
      </c>
      <c r="C805" s="6">
        <v>4.0999999999999996</v>
      </c>
      <c r="D805" t="s">
        <v>20</v>
      </c>
      <c r="E805" s="3">
        <v>2500</v>
      </c>
      <c r="F805" s="6">
        <v>4</v>
      </c>
      <c r="G805" t="s">
        <v>77</v>
      </c>
      <c r="H805" s="2">
        <v>0.5</v>
      </c>
      <c r="I805" s="3">
        <v>800</v>
      </c>
      <c r="J805" s="3" t="str">
        <f t="shared" si="49"/>
        <v>Low Price</v>
      </c>
      <c r="K805" t="s">
        <v>179</v>
      </c>
      <c r="L805" t="s">
        <v>17</v>
      </c>
      <c r="M805" t="s">
        <v>25</v>
      </c>
      <c r="N805">
        <v>0.6</v>
      </c>
      <c r="O805" t="str">
        <f t="shared" si="50"/>
        <v>Medium</v>
      </c>
      <c r="P805">
        <f t="shared" si="51"/>
        <v>7200</v>
      </c>
      <c r="Q805" s="2">
        <f t="shared" si="52"/>
        <v>0.32142857142857145</v>
      </c>
    </row>
    <row r="806" spans="1:17" x14ac:dyDescent="0.3">
      <c r="A806" s="3">
        <v>16</v>
      </c>
      <c r="B806" s="3">
        <v>3</v>
      </c>
      <c r="C806" s="6">
        <v>4.8</v>
      </c>
      <c r="D806" t="s">
        <v>13</v>
      </c>
      <c r="E806" s="3">
        <v>4000</v>
      </c>
      <c r="F806" s="6">
        <v>4.9000000000000004</v>
      </c>
      <c r="G806" t="s">
        <v>75</v>
      </c>
      <c r="H806" s="2">
        <v>0.8</v>
      </c>
      <c r="I806" s="3">
        <v>500</v>
      </c>
      <c r="J806" s="3" t="str">
        <f t="shared" si="49"/>
        <v>Low Price</v>
      </c>
      <c r="K806" t="s">
        <v>179</v>
      </c>
      <c r="L806" t="s">
        <v>29</v>
      </c>
      <c r="M806" t="s">
        <v>18</v>
      </c>
      <c r="N806">
        <v>0.8</v>
      </c>
      <c r="O806" t="str">
        <f t="shared" si="50"/>
        <v>High</v>
      </c>
      <c r="P806">
        <f t="shared" si="51"/>
        <v>1500</v>
      </c>
      <c r="Q806" s="2">
        <f t="shared" si="52"/>
        <v>0.1875</v>
      </c>
    </row>
    <row r="807" spans="1:17" x14ac:dyDescent="0.3">
      <c r="A807" s="3">
        <v>9</v>
      </c>
      <c r="B807" s="3">
        <v>2</v>
      </c>
      <c r="C807" s="6">
        <v>3.3</v>
      </c>
      <c r="D807" t="s">
        <v>13</v>
      </c>
      <c r="E807" s="3">
        <v>550</v>
      </c>
      <c r="F807" s="6">
        <v>3.1</v>
      </c>
      <c r="G807" t="s">
        <v>47</v>
      </c>
      <c r="H807" s="2">
        <v>-0.1</v>
      </c>
      <c r="I807" s="3">
        <v>300</v>
      </c>
      <c r="J807" s="3" t="str">
        <f t="shared" si="49"/>
        <v>Low Price</v>
      </c>
      <c r="K807" t="s">
        <v>9</v>
      </c>
      <c r="L807" t="s">
        <v>17</v>
      </c>
      <c r="M807" t="s">
        <v>25</v>
      </c>
      <c r="N807">
        <v>0.1</v>
      </c>
      <c r="O807" t="str">
        <f t="shared" si="50"/>
        <v>Low</v>
      </c>
      <c r="P807">
        <f t="shared" si="51"/>
        <v>600</v>
      </c>
      <c r="Q807" s="2">
        <f t="shared" si="52"/>
        <v>0.22222222222222221</v>
      </c>
    </row>
    <row r="808" spans="1:17" x14ac:dyDescent="0.3">
      <c r="A808" s="3">
        <v>33</v>
      </c>
      <c r="B808" s="3">
        <v>14</v>
      </c>
      <c r="C808" s="6">
        <v>4.4000000000000004</v>
      </c>
      <c r="D808" t="s">
        <v>20</v>
      </c>
      <c r="E808" s="3">
        <v>8500</v>
      </c>
      <c r="F808" s="6">
        <v>4.5999999999999996</v>
      </c>
      <c r="G808" t="s">
        <v>69</v>
      </c>
      <c r="H808" s="2">
        <v>0.6</v>
      </c>
      <c r="I808" s="3">
        <v>700</v>
      </c>
      <c r="J808" s="3" t="str">
        <f t="shared" si="49"/>
        <v>Low Price</v>
      </c>
      <c r="K808" t="s">
        <v>179</v>
      </c>
      <c r="L808" t="s">
        <v>33</v>
      </c>
      <c r="M808" t="s">
        <v>18</v>
      </c>
      <c r="N808">
        <v>0.85</v>
      </c>
      <c r="O808" t="str">
        <f t="shared" si="50"/>
        <v>High</v>
      </c>
      <c r="P808">
        <f t="shared" si="51"/>
        <v>9800</v>
      </c>
      <c r="Q808" s="2">
        <f t="shared" si="52"/>
        <v>0.42424242424242425</v>
      </c>
    </row>
    <row r="809" spans="1:17" x14ac:dyDescent="0.3">
      <c r="A809" s="3">
        <v>11</v>
      </c>
      <c r="B809" s="3">
        <v>1</v>
      </c>
      <c r="C809" s="6">
        <v>4</v>
      </c>
      <c r="D809" t="s">
        <v>20</v>
      </c>
      <c r="E809" s="3">
        <v>600</v>
      </c>
      <c r="F809" s="6">
        <v>3.9</v>
      </c>
      <c r="G809" t="s">
        <v>80</v>
      </c>
      <c r="H809" s="2">
        <v>0.1</v>
      </c>
      <c r="I809" s="3">
        <v>800</v>
      </c>
      <c r="J809" s="3" t="str">
        <f t="shared" si="49"/>
        <v>Low Price</v>
      </c>
      <c r="K809" t="s">
        <v>179</v>
      </c>
      <c r="L809" t="s">
        <v>24</v>
      </c>
      <c r="M809" t="s">
        <v>25</v>
      </c>
      <c r="N809">
        <v>0.55000000000000004</v>
      </c>
      <c r="O809" t="str">
        <f t="shared" si="50"/>
        <v>Medium</v>
      </c>
      <c r="P809">
        <f t="shared" si="51"/>
        <v>800</v>
      </c>
      <c r="Q809" s="2">
        <f t="shared" si="52"/>
        <v>9.0909090909090912E-2</v>
      </c>
    </row>
    <row r="810" spans="1:17" x14ac:dyDescent="0.3">
      <c r="A810" s="3">
        <v>2</v>
      </c>
      <c r="B810" s="3">
        <v>0</v>
      </c>
      <c r="C810" s="6">
        <v>2.5</v>
      </c>
      <c r="D810" t="s">
        <v>13</v>
      </c>
      <c r="E810" s="3">
        <v>150</v>
      </c>
      <c r="F810" s="6">
        <v>2.4</v>
      </c>
      <c r="G810" t="s">
        <v>53</v>
      </c>
      <c r="H810" s="2">
        <v>-0.7</v>
      </c>
      <c r="I810" s="3">
        <v>100</v>
      </c>
      <c r="J810" s="3" t="str">
        <f t="shared" si="49"/>
        <v>Low Price</v>
      </c>
      <c r="K810" t="s">
        <v>179</v>
      </c>
      <c r="L810" t="s">
        <v>29</v>
      </c>
      <c r="M810" t="s">
        <v>34</v>
      </c>
      <c r="N810">
        <v>0.02</v>
      </c>
      <c r="O810" t="str">
        <f t="shared" si="50"/>
        <v>Low</v>
      </c>
      <c r="P810">
        <f t="shared" si="51"/>
        <v>0</v>
      </c>
      <c r="Q810" s="2">
        <f t="shared" si="52"/>
        <v>0</v>
      </c>
    </row>
    <row r="811" spans="1:17" x14ac:dyDescent="0.3">
      <c r="A811" s="3">
        <v>18</v>
      </c>
      <c r="B811" s="3">
        <v>6</v>
      </c>
      <c r="C811" s="6">
        <v>3.8</v>
      </c>
      <c r="D811" t="s">
        <v>13</v>
      </c>
      <c r="E811" s="3">
        <v>4500</v>
      </c>
      <c r="F811" s="6">
        <v>3.6</v>
      </c>
      <c r="G811" t="s">
        <v>69</v>
      </c>
      <c r="H811" s="2">
        <v>0.2</v>
      </c>
      <c r="I811" s="3">
        <v>1000</v>
      </c>
      <c r="J811" s="3" t="str">
        <f t="shared" si="49"/>
        <v>Medium Price</v>
      </c>
      <c r="K811" t="s">
        <v>179</v>
      </c>
      <c r="L811" t="s">
        <v>33</v>
      </c>
      <c r="M811" t="s">
        <v>18</v>
      </c>
      <c r="N811">
        <v>0.7</v>
      </c>
      <c r="O811" t="str">
        <f t="shared" si="50"/>
        <v>Medium</v>
      </c>
      <c r="P811">
        <f t="shared" si="51"/>
        <v>6000</v>
      </c>
      <c r="Q811" s="2">
        <f t="shared" si="52"/>
        <v>0.33333333333333331</v>
      </c>
    </row>
    <row r="812" spans="1:17" x14ac:dyDescent="0.3">
      <c r="A812" s="3">
        <v>5</v>
      </c>
      <c r="B812" s="3">
        <v>1</v>
      </c>
      <c r="C812" s="6">
        <v>4.2</v>
      </c>
      <c r="D812" t="s">
        <v>20</v>
      </c>
      <c r="E812" s="3">
        <v>3000</v>
      </c>
      <c r="F812" s="6">
        <v>4.3</v>
      </c>
      <c r="G812" t="s">
        <v>71</v>
      </c>
      <c r="H812" s="2">
        <v>0.4</v>
      </c>
      <c r="I812" s="3">
        <v>700</v>
      </c>
      <c r="J812" s="3" t="str">
        <f t="shared" si="49"/>
        <v>Low Price</v>
      </c>
      <c r="K812" t="s">
        <v>179</v>
      </c>
      <c r="L812" t="s">
        <v>17</v>
      </c>
      <c r="M812" t="s">
        <v>25</v>
      </c>
      <c r="N812">
        <v>0.6</v>
      </c>
      <c r="O812" t="str">
        <f t="shared" si="50"/>
        <v>Medium</v>
      </c>
      <c r="P812">
        <f t="shared" si="51"/>
        <v>700</v>
      </c>
      <c r="Q812" s="2">
        <f t="shared" si="52"/>
        <v>0.2</v>
      </c>
    </row>
    <row r="813" spans="1:17" x14ac:dyDescent="0.3">
      <c r="A813" s="3">
        <v>23</v>
      </c>
      <c r="B813" s="3">
        <v>7</v>
      </c>
      <c r="C813" s="6">
        <v>4.5999999999999996</v>
      </c>
      <c r="D813" t="s">
        <v>13</v>
      </c>
      <c r="E813" s="3">
        <v>7000</v>
      </c>
      <c r="F813" s="6">
        <v>4.7</v>
      </c>
      <c r="G813" t="s">
        <v>97</v>
      </c>
      <c r="H813" s="2">
        <v>0.8</v>
      </c>
      <c r="I813" s="3">
        <v>800</v>
      </c>
      <c r="J813" s="3" t="str">
        <f t="shared" si="49"/>
        <v>Low Price</v>
      </c>
      <c r="K813" t="s">
        <v>179</v>
      </c>
      <c r="L813" t="s">
        <v>33</v>
      </c>
      <c r="M813" t="s">
        <v>18</v>
      </c>
      <c r="N813">
        <v>0.9</v>
      </c>
      <c r="O813" t="str">
        <f t="shared" si="50"/>
        <v>High</v>
      </c>
      <c r="P813">
        <f t="shared" si="51"/>
        <v>5600</v>
      </c>
      <c r="Q813" s="2">
        <f t="shared" si="52"/>
        <v>0.30434782608695654</v>
      </c>
    </row>
    <row r="814" spans="1:17" x14ac:dyDescent="0.3">
      <c r="A814" s="3">
        <v>7</v>
      </c>
      <c r="B814" s="3">
        <v>0</v>
      </c>
      <c r="C814" s="6">
        <v>3.5</v>
      </c>
      <c r="D814" t="s">
        <v>13</v>
      </c>
      <c r="E814" s="3">
        <v>150</v>
      </c>
      <c r="F814" s="6">
        <v>3.4</v>
      </c>
      <c r="G814" t="s">
        <v>53</v>
      </c>
      <c r="H814" s="2">
        <v>-0.3</v>
      </c>
      <c r="I814" s="3">
        <v>100</v>
      </c>
      <c r="J814" s="3" t="str">
        <f t="shared" si="49"/>
        <v>Low Price</v>
      </c>
      <c r="K814" t="s">
        <v>179</v>
      </c>
      <c r="L814" t="s">
        <v>24</v>
      </c>
      <c r="M814" t="s">
        <v>34</v>
      </c>
      <c r="N814">
        <v>0.1</v>
      </c>
      <c r="O814" t="str">
        <f t="shared" si="50"/>
        <v>Low</v>
      </c>
      <c r="P814">
        <f t="shared" si="51"/>
        <v>0</v>
      </c>
      <c r="Q814" s="2">
        <f t="shared" si="52"/>
        <v>0</v>
      </c>
    </row>
    <row r="815" spans="1:17" x14ac:dyDescent="0.3">
      <c r="A815" s="3">
        <v>12</v>
      </c>
      <c r="B815" s="3">
        <v>3</v>
      </c>
      <c r="C815" s="6">
        <v>3.9</v>
      </c>
      <c r="D815" t="s">
        <v>20</v>
      </c>
      <c r="E815" s="3">
        <v>800</v>
      </c>
      <c r="F815" s="6">
        <v>3.7</v>
      </c>
      <c r="G815" t="s">
        <v>55</v>
      </c>
      <c r="H815" s="2">
        <v>0.1</v>
      </c>
      <c r="I815" s="3">
        <v>600</v>
      </c>
      <c r="J815" s="3" t="str">
        <f t="shared" si="49"/>
        <v>Low Price</v>
      </c>
      <c r="K815" t="s">
        <v>179</v>
      </c>
      <c r="L815" t="s">
        <v>29</v>
      </c>
      <c r="M815" t="s">
        <v>18</v>
      </c>
      <c r="N815">
        <v>0.4</v>
      </c>
      <c r="O815" t="str">
        <f t="shared" si="50"/>
        <v>Medium</v>
      </c>
      <c r="P815">
        <f t="shared" si="51"/>
        <v>1800</v>
      </c>
      <c r="Q815" s="2">
        <f t="shared" si="52"/>
        <v>0.25</v>
      </c>
    </row>
    <row r="816" spans="1:17" x14ac:dyDescent="0.3">
      <c r="A816" s="3">
        <v>30</v>
      </c>
      <c r="B816" s="3">
        <v>12</v>
      </c>
      <c r="C816" s="6">
        <v>4.5</v>
      </c>
      <c r="D816" t="s">
        <v>13</v>
      </c>
      <c r="E816" s="3">
        <v>9500</v>
      </c>
      <c r="F816" s="6">
        <v>4.8</v>
      </c>
      <c r="G816" t="s">
        <v>72</v>
      </c>
      <c r="H816" s="2">
        <v>0.9</v>
      </c>
      <c r="I816" s="3">
        <v>1000</v>
      </c>
      <c r="J816" s="3" t="str">
        <f t="shared" si="49"/>
        <v>Medium Price</v>
      </c>
      <c r="K816" t="s">
        <v>179</v>
      </c>
      <c r="L816" t="s">
        <v>17</v>
      </c>
      <c r="M816" t="s">
        <v>25</v>
      </c>
      <c r="N816">
        <v>0.95</v>
      </c>
      <c r="O816" t="str">
        <f t="shared" si="50"/>
        <v>High</v>
      </c>
      <c r="P816">
        <f t="shared" si="51"/>
        <v>12000</v>
      </c>
      <c r="Q816" s="2">
        <f t="shared" si="52"/>
        <v>0.4</v>
      </c>
    </row>
    <row r="817" spans="1:17" x14ac:dyDescent="0.3">
      <c r="A817" s="3">
        <v>40</v>
      </c>
      <c r="B817" s="3">
        <v>18</v>
      </c>
      <c r="C817" s="6">
        <v>4.7</v>
      </c>
      <c r="D817" t="s">
        <v>20</v>
      </c>
      <c r="E817" s="3">
        <v>5500</v>
      </c>
      <c r="F817" s="6">
        <v>4.5999999999999996</v>
      </c>
      <c r="G817" t="s">
        <v>75</v>
      </c>
      <c r="H817" s="2">
        <v>0.7</v>
      </c>
      <c r="I817" s="3">
        <v>700</v>
      </c>
      <c r="J817" s="3" t="str">
        <f t="shared" si="49"/>
        <v>Low Price</v>
      </c>
      <c r="K817" t="s">
        <v>179</v>
      </c>
      <c r="L817" t="s">
        <v>33</v>
      </c>
      <c r="M817" t="s">
        <v>18</v>
      </c>
      <c r="N817">
        <v>0.85</v>
      </c>
      <c r="O817" t="str">
        <f t="shared" si="50"/>
        <v>High</v>
      </c>
      <c r="P817">
        <f t="shared" si="51"/>
        <v>12600</v>
      </c>
      <c r="Q817" s="2">
        <f t="shared" si="52"/>
        <v>0.45</v>
      </c>
    </row>
    <row r="818" spans="1:17" x14ac:dyDescent="0.3">
      <c r="A818" s="3">
        <v>8</v>
      </c>
      <c r="B818" s="3">
        <v>2</v>
      </c>
      <c r="C818" s="6">
        <v>3</v>
      </c>
      <c r="D818" t="s">
        <v>13</v>
      </c>
      <c r="E818" s="3">
        <v>250</v>
      </c>
      <c r="F818" s="6">
        <v>2.8</v>
      </c>
      <c r="G818" t="s">
        <v>60</v>
      </c>
      <c r="H818" s="2">
        <v>-0.5</v>
      </c>
      <c r="I818" s="3">
        <v>400</v>
      </c>
      <c r="J818" s="3" t="str">
        <f t="shared" si="49"/>
        <v>Low Price</v>
      </c>
      <c r="K818" t="s">
        <v>179</v>
      </c>
      <c r="L818" t="s">
        <v>33</v>
      </c>
      <c r="M818" t="s">
        <v>34</v>
      </c>
      <c r="N818">
        <v>0.15</v>
      </c>
      <c r="O818" t="str">
        <f t="shared" si="50"/>
        <v>Low</v>
      </c>
      <c r="P818">
        <f t="shared" si="51"/>
        <v>800</v>
      </c>
      <c r="Q818" s="2">
        <f t="shared" si="52"/>
        <v>0.25</v>
      </c>
    </row>
    <row r="819" spans="1:17" x14ac:dyDescent="0.3">
      <c r="A819" s="3">
        <v>15</v>
      </c>
      <c r="B819" s="3">
        <v>5</v>
      </c>
      <c r="C819" s="6">
        <v>3.6</v>
      </c>
      <c r="D819" t="s">
        <v>20</v>
      </c>
      <c r="E819" s="3">
        <v>4000</v>
      </c>
      <c r="F819" s="6">
        <v>3.5</v>
      </c>
      <c r="G819" t="s">
        <v>39</v>
      </c>
      <c r="H819" s="2">
        <v>0.2</v>
      </c>
      <c r="I819" s="3">
        <v>500</v>
      </c>
      <c r="J819" s="3" t="str">
        <f t="shared" si="49"/>
        <v>Low Price</v>
      </c>
      <c r="K819" t="s">
        <v>9</v>
      </c>
      <c r="L819" t="s">
        <v>17</v>
      </c>
      <c r="M819" t="s">
        <v>25</v>
      </c>
      <c r="N819">
        <v>0.3</v>
      </c>
      <c r="O819" t="str">
        <f t="shared" si="50"/>
        <v>Low</v>
      </c>
      <c r="P819">
        <f t="shared" si="51"/>
        <v>2500</v>
      </c>
      <c r="Q819" s="2">
        <f t="shared" si="52"/>
        <v>0.33333333333333331</v>
      </c>
    </row>
    <row r="820" spans="1:17" x14ac:dyDescent="0.3">
      <c r="A820" s="3">
        <v>25</v>
      </c>
      <c r="B820" s="3">
        <v>10</v>
      </c>
      <c r="C820" s="6">
        <v>4.3</v>
      </c>
      <c r="D820" t="s">
        <v>13</v>
      </c>
      <c r="E820" s="3">
        <v>8500</v>
      </c>
      <c r="F820" s="6">
        <v>4.5</v>
      </c>
      <c r="G820" t="s">
        <v>80</v>
      </c>
      <c r="H820" s="2">
        <v>0.5</v>
      </c>
      <c r="I820" s="3">
        <v>600</v>
      </c>
      <c r="J820" s="3" t="str">
        <f t="shared" si="49"/>
        <v>Low Price</v>
      </c>
      <c r="K820" t="s">
        <v>179</v>
      </c>
      <c r="L820" t="s">
        <v>24</v>
      </c>
      <c r="M820" t="s">
        <v>18</v>
      </c>
      <c r="N820">
        <v>0.8</v>
      </c>
      <c r="O820" t="str">
        <f t="shared" si="50"/>
        <v>High</v>
      </c>
      <c r="P820">
        <f t="shared" si="51"/>
        <v>6000</v>
      </c>
      <c r="Q820" s="2">
        <f t="shared" si="52"/>
        <v>0.4</v>
      </c>
    </row>
    <row r="821" spans="1:17" x14ac:dyDescent="0.3">
      <c r="A821" s="3">
        <v>35</v>
      </c>
      <c r="B821" s="3">
        <v>15</v>
      </c>
      <c r="C821" s="6">
        <v>4.9000000000000004</v>
      </c>
      <c r="D821" t="s">
        <v>13</v>
      </c>
      <c r="E821" s="3">
        <v>6000</v>
      </c>
      <c r="F821" s="6">
        <v>4.8</v>
      </c>
      <c r="G821" t="s">
        <v>95</v>
      </c>
      <c r="H821" s="2">
        <v>0.8</v>
      </c>
      <c r="I821" s="3">
        <v>700</v>
      </c>
      <c r="J821" s="3" t="str">
        <f t="shared" si="49"/>
        <v>Low Price</v>
      </c>
      <c r="K821" t="s">
        <v>9</v>
      </c>
      <c r="L821" t="s">
        <v>33</v>
      </c>
      <c r="M821" t="s">
        <v>25</v>
      </c>
      <c r="N821">
        <v>0.9</v>
      </c>
      <c r="O821" t="str">
        <f t="shared" si="50"/>
        <v>High</v>
      </c>
      <c r="P821">
        <f t="shared" si="51"/>
        <v>10500</v>
      </c>
      <c r="Q821" s="2">
        <f t="shared" si="52"/>
        <v>0.42857142857142855</v>
      </c>
    </row>
    <row r="822" spans="1:17" x14ac:dyDescent="0.3">
      <c r="A822" s="3">
        <v>9</v>
      </c>
      <c r="B822" s="3">
        <v>2</v>
      </c>
      <c r="C822" s="6">
        <v>2.5</v>
      </c>
      <c r="D822" t="s">
        <v>20</v>
      </c>
      <c r="E822" s="3">
        <v>1500</v>
      </c>
      <c r="F822" s="6">
        <v>2.2999999999999998</v>
      </c>
      <c r="G822" t="s">
        <v>47</v>
      </c>
      <c r="H822" s="2">
        <v>-0.8</v>
      </c>
      <c r="I822" s="3">
        <v>300</v>
      </c>
      <c r="J822" s="3" t="str">
        <f t="shared" si="49"/>
        <v>Low Price</v>
      </c>
      <c r="K822" t="s">
        <v>179</v>
      </c>
      <c r="L822" t="s">
        <v>29</v>
      </c>
      <c r="M822" t="s">
        <v>18</v>
      </c>
      <c r="N822">
        <v>0.05</v>
      </c>
      <c r="O822" t="str">
        <f t="shared" si="50"/>
        <v>Low</v>
      </c>
      <c r="P822">
        <f t="shared" si="51"/>
        <v>600</v>
      </c>
      <c r="Q822" s="2">
        <f t="shared" si="52"/>
        <v>0.22222222222222221</v>
      </c>
    </row>
    <row r="823" spans="1:17" x14ac:dyDescent="0.3">
      <c r="A823" s="3">
        <v>20</v>
      </c>
      <c r="B823" s="3">
        <v>4</v>
      </c>
      <c r="C823" s="6">
        <v>4</v>
      </c>
      <c r="D823" t="s">
        <v>20</v>
      </c>
      <c r="E823" s="3">
        <v>650</v>
      </c>
      <c r="F823" s="6">
        <v>3.9</v>
      </c>
      <c r="G823" t="s">
        <v>35</v>
      </c>
      <c r="H823" s="2">
        <v>0.1</v>
      </c>
      <c r="I823" s="3">
        <v>800</v>
      </c>
      <c r="J823" s="3" t="str">
        <f t="shared" si="49"/>
        <v>Low Price</v>
      </c>
      <c r="K823" t="s">
        <v>179</v>
      </c>
      <c r="L823" t="s">
        <v>33</v>
      </c>
      <c r="M823" t="s">
        <v>25</v>
      </c>
      <c r="N823">
        <v>0.5</v>
      </c>
      <c r="O823" t="str">
        <f t="shared" si="50"/>
        <v>Medium</v>
      </c>
      <c r="P823">
        <f t="shared" si="51"/>
        <v>3200</v>
      </c>
      <c r="Q823" s="2">
        <f t="shared" si="52"/>
        <v>0.2</v>
      </c>
    </row>
    <row r="824" spans="1:17" x14ac:dyDescent="0.3">
      <c r="A824" s="3">
        <v>13</v>
      </c>
      <c r="B824" s="3">
        <v>3</v>
      </c>
      <c r="C824" s="6">
        <v>4.5999999999999996</v>
      </c>
      <c r="D824" t="s">
        <v>13</v>
      </c>
      <c r="E824" s="3">
        <v>5000</v>
      </c>
      <c r="F824" s="6">
        <v>4.7</v>
      </c>
      <c r="G824" t="s">
        <v>57</v>
      </c>
      <c r="H824" s="2">
        <v>0.6</v>
      </c>
      <c r="I824" s="3">
        <v>750</v>
      </c>
      <c r="J824" s="3" t="str">
        <f t="shared" si="49"/>
        <v>Low Price</v>
      </c>
      <c r="K824" t="s">
        <v>179</v>
      </c>
      <c r="L824" t="s">
        <v>17</v>
      </c>
      <c r="M824" t="s">
        <v>18</v>
      </c>
      <c r="N824">
        <v>0.8</v>
      </c>
      <c r="O824" t="str">
        <f t="shared" si="50"/>
        <v>High</v>
      </c>
      <c r="P824">
        <f t="shared" si="51"/>
        <v>2250</v>
      </c>
      <c r="Q824" s="2">
        <f t="shared" si="52"/>
        <v>0.23076923076923078</v>
      </c>
    </row>
    <row r="825" spans="1:17" x14ac:dyDescent="0.3">
      <c r="A825" s="3">
        <v>6</v>
      </c>
      <c r="B825" s="3">
        <v>1</v>
      </c>
      <c r="C825" s="6">
        <v>3.3</v>
      </c>
      <c r="D825" t="s">
        <v>20</v>
      </c>
      <c r="E825" s="3">
        <v>200</v>
      </c>
      <c r="F825" s="6">
        <v>3.2</v>
      </c>
      <c r="G825" t="s">
        <v>31</v>
      </c>
      <c r="H825" s="2">
        <v>-0.1</v>
      </c>
      <c r="I825" s="3">
        <v>200</v>
      </c>
      <c r="J825" s="3" t="str">
        <f t="shared" si="49"/>
        <v>Low Price</v>
      </c>
      <c r="K825" t="s">
        <v>179</v>
      </c>
      <c r="L825" t="s">
        <v>29</v>
      </c>
      <c r="M825" t="s">
        <v>34</v>
      </c>
      <c r="N825">
        <v>0.2</v>
      </c>
      <c r="O825" t="str">
        <f t="shared" si="50"/>
        <v>Low</v>
      </c>
      <c r="P825">
        <f t="shared" si="51"/>
        <v>200</v>
      </c>
      <c r="Q825" s="2">
        <f t="shared" si="52"/>
        <v>0.16666666666666666</v>
      </c>
    </row>
    <row r="826" spans="1:17" x14ac:dyDescent="0.3">
      <c r="A826" s="3">
        <v>32</v>
      </c>
      <c r="B826" s="3">
        <v>11</v>
      </c>
      <c r="C826" s="6">
        <v>4.8</v>
      </c>
      <c r="D826" t="s">
        <v>13</v>
      </c>
      <c r="E826" s="3">
        <v>7500</v>
      </c>
      <c r="F826" s="6">
        <v>4.9000000000000004</v>
      </c>
      <c r="G826" t="s">
        <v>21</v>
      </c>
      <c r="H826" s="2">
        <v>0.9</v>
      </c>
      <c r="I826" s="3">
        <v>900</v>
      </c>
      <c r="J826" s="3" t="str">
        <f t="shared" si="49"/>
        <v>Low Price</v>
      </c>
      <c r="K826" t="s">
        <v>179</v>
      </c>
      <c r="L826" t="s">
        <v>17</v>
      </c>
      <c r="M826" t="s">
        <v>25</v>
      </c>
      <c r="N826">
        <v>0.95</v>
      </c>
      <c r="O826" t="str">
        <f t="shared" si="50"/>
        <v>High</v>
      </c>
      <c r="P826">
        <f t="shared" si="51"/>
        <v>9900</v>
      </c>
      <c r="Q826" s="2">
        <f t="shared" si="52"/>
        <v>0.34375</v>
      </c>
    </row>
    <row r="827" spans="1:17" x14ac:dyDescent="0.3">
      <c r="A827" s="3">
        <v>10</v>
      </c>
      <c r="B827" s="3">
        <v>0</v>
      </c>
      <c r="C827" s="6">
        <v>3.7</v>
      </c>
      <c r="D827" t="s">
        <v>20</v>
      </c>
      <c r="E827" s="3">
        <v>250</v>
      </c>
      <c r="F827" s="6">
        <v>3.5</v>
      </c>
      <c r="G827" t="s">
        <v>70</v>
      </c>
      <c r="H827" s="2">
        <v>-0.4</v>
      </c>
      <c r="I827" s="3">
        <v>100</v>
      </c>
      <c r="J827" s="3" t="str">
        <f t="shared" si="49"/>
        <v>Low Price</v>
      </c>
      <c r="K827" t="s">
        <v>179</v>
      </c>
      <c r="L827" t="s">
        <v>24</v>
      </c>
      <c r="M827" t="s">
        <v>18</v>
      </c>
      <c r="N827">
        <v>0.05</v>
      </c>
      <c r="O827" t="str">
        <f t="shared" si="50"/>
        <v>Low</v>
      </c>
      <c r="P827">
        <f t="shared" si="51"/>
        <v>0</v>
      </c>
      <c r="Q827" s="2">
        <f t="shared" si="52"/>
        <v>0</v>
      </c>
    </row>
    <row r="828" spans="1:17" x14ac:dyDescent="0.3">
      <c r="A828" s="3">
        <v>28</v>
      </c>
      <c r="B828" s="3">
        <v>8</v>
      </c>
      <c r="C828" s="6">
        <v>4.0999999999999996</v>
      </c>
      <c r="D828" t="s">
        <v>13</v>
      </c>
      <c r="E828" s="3">
        <v>3000</v>
      </c>
      <c r="F828" s="6">
        <v>4</v>
      </c>
      <c r="G828" t="s">
        <v>42</v>
      </c>
      <c r="H828" s="2">
        <v>0.3</v>
      </c>
      <c r="I828" s="3">
        <v>800</v>
      </c>
      <c r="J828" s="3" t="str">
        <f t="shared" si="49"/>
        <v>Low Price</v>
      </c>
      <c r="K828" t="s">
        <v>179</v>
      </c>
      <c r="L828" t="s">
        <v>17</v>
      </c>
      <c r="M828" t="s">
        <v>18</v>
      </c>
      <c r="N828">
        <v>0.6</v>
      </c>
      <c r="O828" t="str">
        <f t="shared" si="50"/>
        <v>Medium</v>
      </c>
      <c r="P828">
        <f t="shared" si="51"/>
        <v>6400</v>
      </c>
      <c r="Q828" s="2">
        <f t="shared" si="52"/>
        <v>0.2857142857142857</v>
      </c>
    </row>
    <row r="829" spans="1:17" x14ac:dyDescent="0.3">
      <c r="A829" s="3">
        <v>4</v>
      </c>
      <c r="B829" s="3">
        <v>0</v>
      </c>
      <c r="C829" s="6">
        <v>2.8</v>
      </c>
      <c r="D829" t="s">
        <v>13</v>
      </c>
      <c r="E829" s="3">
        <v>100</v>
      </c>
      <c r="F829" s="6">
        <v>2.6</v>
      </c>
      <c r="G829" t="s">
        <v>96</v>
      </c>
      <c r="H829" s="2">
        <v>-0.7</v>
      </c>
      <c r="I829" s="3">
        <v>100</v>
      </c>
      <c r="J829" s="3" t="str">
        <f t="shared" si="49"/>
        <v>Low Price</v>
      </c>
      <c r="K829" t="s">
        <v>179</v>
      </c>
      <c r="L829" t="s">
        <v>33</v>
      </c>
      <c r="M829" t="s">
        <v>34</v>
      </c>
      <c r="N829">
        <v>0.05</v>
      </c>
      <c r="O829" t="str">
        <f t="shared" si="50"/>
        <v>Low</v>
      </c>
      <c r="P829">
        <f t="shared" si="51"/>
        <v>0</v>
      </c>
      <c r="Q829" s="2">
        <f t="shared" si="52"/>
        <v>0</v>
      </c>
    </row>
    <row r="830" spans="1:17" x14ac:dyDescent="0.3">
      <c r="A830" s="3">
        <v>17</v>
      </c>
      <c r="B830" s="3">
        <v>4</v>
      </c>
      <c r="C830" s="6">
        <v>4.2</v>
      </c>
      <c r="D830" t="s">
        <v>20</v>
      </c>
      <c r="E830" s="3">
        <v>4500</v>
      </c>
      <c r="F830" s="6">
        <v>4.4000000000000004</v>
      </c>
      <c r="G830" t="s">
        <v>80</v>
      </c>
      <c r="H830" s="2">
        <v>0.7</v>
      </c>
      <c r="I830" s="3">
        <v>500</v>
      </c>
      <c r="J830" s="3" t="str">
        <f t="shared" si="49"/>
        <v>Low Price</v>
      </c>
      <c r="K830" t="s">
        <v>179</v>
      </c>
      <c r="L830" t="s">
        <v>29</v>
      </c>
      <c r="M830" t="s">
        <v>25</v>
      </c>
      <c r="N830">
        <v>0.7</v>
      </c>
      <c r="O830" t="str">
        <f t="shared" si="50"/>
        <v>Medium</v>
      </c>
      <c r="P830">
        <f t="shared" si="51"/>
        <v>2000</v>
      </c>
      <c r="Q830" s="2">
        <f t="shared" si="52"/>
        <v>0.23529411764705882</v>
      </c>
    </row>
    <row r="831" spans="1:17" x14ac:dyDescent="0.3">
      <c r="A831" s="3">
        <v>21</v>
      </c>
      <c r="B831" s="3">
        <v>9</v>
      </c>
      <c r="C831" s="6">
        <v>4.5</v>
      </c>
      <c r="D831" t="s">
        <v>20</v>
      </c>
      <c r="E831" s="3">
        <v>8500</v>
      </c>
      <c r="F831" s="6">
        <v>4.5999999999999996</v>
      </c>
      <c r="G831" t="s">
        <v>82</v>
      </c>
      <c r="H831" s="2">
        <v>0.6</v>
      </c>
      <c r="I831" s="3">
        <v>600</v>
      </c>
      <c r="J831" s="3" t="str">
        <f t="shared" si="49"/>
        <v>Low Price</v>
      </c>
      <c r="K831" t="s">
        <v>179</v>
      </c>
      <c r="L831" t="s">
        <v>17</v>
      </c>
      <c r="M831" t="s">
        <v>18</v>
      </c>
      <c r="N831">
        <v>0.85</v>
      </c>
      <c r="O831" t="str">
        <f t="shared" si="50"/>
        <v>High</v>
      </c>
      <c r="P831">
        <f t="shared" si="51"/>
        <v>5400</v>
      </c>
      <c r="Q831" s="2">
        <f t="shared" si="52"/>
        <v>0.42857142857142855</v>
      </c>
    </row>
    <row r="832" spans="1:17" x14ac:dyDescent="0.3">
      <c r="A832" s="3">
        <v>37</v>
      </c>
      <c r="B832" s="3">
        <v>14</v>
      </c>
      <c r="C832" s="6">
        <v>4.9000000000000004</v>
      </c>
      <c r="D832" t="s">
        <v>13</v>
      </c>
      <c r="E832" s="3">
        <v>7000</v>
      </c>
      <c r="F832" s="6">
        <v>4.8</v>
      </c>
      <c r="G832" t="s">
        <v>60</v>
      </c>
      <c r="H832" s="2">
        <v>0.9</v>
      </c>
      <c r="I832" s="3">
        <v>700</v>
      </c>
      <c r="J832" s="3" t="str">
        <f t="shared" si="49"/>
        <v>Low Price</v>
      </c>
      <c r="K832" t="s">
        <v>9</v>
      </c>
      <c r="L832" t="s">
        <v>33</v>
      </c>
      <c r="M832" t="s">
        <v>25</v>
      </c>
      <c r="N832">
        <v>0.9</v>
      </c>
      <c r="O832" t="str">
        <f t="shared" si="50"/>
        <v>High</v>
      </c>
      <c r="P832">
        <f t="shared" si="51"/>
        <v>9800</v>
      </c>
      <c r="Q832" s="2">
        <f t="shared" si="52"/>
        <v>0.3783783783783784</v>
      </c>
    </row>
    <row r="833" spans="1:17" x14ac:dyDescent="0.3">
      <c r="A833" s="3">
        <v>14</v>
      </c>
      <c r="B833" s="3">
        <v>5</v>
      </c>
      <c r="C833" s="6">
        <v>3.9</v>
      </c>
      <c r="D833" t="s">
        <v>20</v>
      </c>
      <c r="E833" s="3">
        <v>500</v>
      </c>
      <c r="F833" s="6">
        <v>3.8</v>
      </c>
      <c r="G833" t="s">
        <v>48</v>
      </c>
      <c r="H833" s="2">
        <v>0</v>
      </c>
      <c r="I833" s="3">
        <v>700</v>
      </c>
      <c r="J833" s="3" t="str">
        <f t="shared" si="49"/>
        <v>Low Price</v>
      </c>
      <c r="K833" t="s">
        <v>179</v>
      </c>
      <c r="L833" t="s">
        <v>24</v>
      </c>
      <c r="M833" t="s">
        <v>34</v>
      </c>
      <c r="N833">
        <v>0.3</v>
      </c>
      <c r="O833" t="str">
        <f t="shared" si="50"/>
        <v>Low</v>
      </c>
      <c r="P833">
        <f t="shared" si="51"/>
        <v>3500</v>
      </c>
      <c r="Q833" s="2">
        <f t="shared" si="52"/>
        <v>0.35714285714285715</v>
      </c>
    </row>
    <row r="834" spans="1:17" x14ac:dyDescent="0.3">
      <c r="A834" s="3">
        <v>19</v>
      </c>
      <c r="B834" s="3">
        <v>7</v>
      </c>
      <c r="C834" s="6">
        <v>4.3</v>
      </c>
      <c r="D834" t="s">
        <v>13</v>
      </c>
      <c r="E834" s="3">
        <v>5500</v>
      </c>
      <c r="F834" s="6">
        <v>4.4000000000000004</v>
      </c>
      <c r="G834" t="s">
        <v>69</v>
      </c>
      <c r="H834" s="2">
        <v>0.7</v>
      </c>
      <c r="I834" s="3">
        <v>700</v>
      </c>
      <c r="J834" s="3" t="str">
        <f t="shared" ref="J834:J897" si="53">IF(I834&gt;5000, "High Price", IF(I834&gt;=1000, "Medium Price", IF(I834&lt;1000, "Low Price")))</f>
        <v>Low Price</v>
      </c>
      <c r="K834" t="s">
        <v>179</v>
      </c>
      <c r="L834" t="s">
        <v>33</v>
      </c>
      <c r="M834" t="s">
        <v>25</v>
      </c>
      <c r="N834">
        <v>0.8</v>
      </c>
      <c r="O834" t="str">
        <f t="shared" ref="O834:O897" si="54">IF(N834&gt;=0.8,"High",IF(N834&gt;=0.4,"Medium",IF(N834&lt;0.4,"Low")))</f>
        <v>High</v>
      </c>
      <c r="P834">
        <f t="shared" si="51"/>
        <v>4900</v>
      </c>
      <c r="Q834" s="2">
        <f t="shared" si="52"/>
        <v>0.36842105263157893</v>
      </c>
    </row>
    <row r="835" spans="1:17" x14ac:dyDescent="0.3">
      <c r="A835" s="3">
        <v>6</v>
      </c>
      <c r="B835" s="3">
        <v>1</v>
      </c>
      <c r="C835" s="6">
        <v>3.5</v>
      </c>
      <c r="D835" t="s">
        <v>20</v>
      </c>
      <c r="E835" s="3">
        <v>2000</v>
      </c>
      <c r="F835" s="6">
        <v>3.4</v>
      </c>
      <c r="G835" t="s">
        <v>31</v>
      </c>
      <c r="H835" s="2">
        <v>-0.2</v>
      </c>
      <c r="I835" s="3">
        <v>200</v>
      </c>
      <c r="J835" s="3" t="str">
        <f t="shared" si="53"/>
        <v>Low Price</v>
      </c>
      <c r="K835" t="s">
        <v>179</v>
      </c>
      <c r="L835" t="s">
        <v>29</v>
      </c>
      <c r="M835" t="s">
        <v>18</v>
      </c>
      <c r="N835">
        <v>0.2</v>
      </c>
      <c r="O835" t="str">
        <f t="shared" si="54"/>
        <v>Low</v>
      </c>
      <c r="P835">
        <f t="shared" ref="P835:P898" si="55">I835*B835</f>
        <v>200</v>
      </c>
      <c r="Q835" s="2">
        <f t="shared" ref="Q835:Q898" si="56">B835/A835</f>
        <v>0.16666666666666666</v>
      </c>
    </row>
    <row r="836" spans="1:17" x14ac:dyDescent="0.3">
      <c r="A836" s="3">
        <v>31</v>
      </c>
      <c r="B836" s="3">
        <v>13</v>
      </c>
      <c r="C836" s="6">
        <v>4.7</v>
      </c>
      <c r="D836" t="s">
        <v>13</v>
      </c>
      <c r="E836" s="3">
        <v>8000</v>
      </c>
      <c r="F836" s="6">
        <v>4.5999999999999996</v>
      </c>
      <c r="G836" t="s">
        <v>48</v>
      </c>
      <c r="H836" s="2">
        <v>0.8</v>
      </c>
      <c r="I836" s="3">
        <v>800</v>
      </c>
      <c r="J836" s="3" t="str">
        <f t="shared" si="53"/>
        <v>Low Price</v>
      </c>
      <c r="K836" t="s">
        <v>179</v>
      </c>
      <c r="L836" t="s">
        <v>17</v>
      </c>
      <c r="M836" t="s">
        <v>18</v>
      </c>
      <c r="N836">
        <v>0.9</v>
      </c>
      <c r="O836" t="str">
        <f t="shared" si="54"/>
        <v>High</v>
      </c>
      <c r="P836">
        <f t="shared" si="55"/>
        <v>10400</v>
      </c>
      <c r="Q836" s="2">
        <f t="shared" si="56"/>
        <v>0.41935483870967744</v>
      </c>
    </row>
    <row r="837" spans="1:17" x14ac:dyDescent="0.3">
      <c r="A837" s="3">
        <v>8</v>
      </c>
      <c r="B837" s="3">
        <v>3</v>
      </c>
      <c r="C837" s="6">
        <v>3.2</v>
      </c>
      <c r="D837" t="s">
        <v>13</v>
      </c>
      <c r="E837" s="3">
        <v>300</v>
      </c>
      <c r="F837" s="6">
        <v>3.1</v>
      </c>
      <c r="G837" t="s">
        <v>53</v>
      </c>
      <c r="H837" s="2">
        <v>-0.4</v>
      </c>
      <c r="I837" s="3">
        <v>100</v>
      </c>
      <c r="J837" s="3" t="str">
        <f t="shared" si="53"/>
        <v>Low Price</v>
      </c>
      <c r="K837" t="s">
        <v>179</v>
      </c>
      <c r="L837" t="s">
        <v>33</v>
      </c>
      <c r="M837" t="s">
        <v>34</v>
      </c>
      <c r="N837">
        <v>0.1</v>
      </c>
      <c r="O837" t="str">
        <f t="shared" si="54"/>
        <v>Low</v>
      </c>
      <c r="P837">
        <f t="shared" si="55"/>
        <v>300</v>
      </c>
      <c r="Q837" s="2">
        <f t="shared" si="56"/>
        <v>0.375</v>
      </c>
    </row>
    <row r="838" spans="1:17" x14ac:dyDescent="0.3">
      <c r="A838" s="3">
        <v>14</v>
      </c>
      <c r="B838" s="3">
        <v>4</v>
      </c>
      <c r="C838" s="6">
        <v>4</v>
      </c>
      <c r="D838" t="s">
        <v>20</v>
      </c>
      <c r="E838" s="3">
        <v>700</v>
      </c>
      <c r="F838" s="6">
        <v>4.0999999999999996</v>
      </c>
      <c r="G838" t="s">
        <v>39</v>
      </c>
      <c r="H838" s="2">
        <v>0.2</v>
      </c>
      <c r="I838" s="3">
        <v>600</v>
      </c>
      <c r="J838" s="3" t="str">
        <f t="shared" si="53"/>
        <v>Low Price</v>
      </c>
      <c r="K838" t="s">
        <v>179</v>
      </c>
      <c r="L838" t="s">
        <v>24</v>
      </c>
      <c r="M838" t="s">
        <v>18</v>
      </c>
      <c r="N838">
        <v>0.5</v>
      </c>
      <c r="O838" t="str">
        <f t="shared" si="54"/>
        <v>Medium</v>
      </c>
      <c r="P838">
        <f t="shared" si="55"/>
        <v>2400</v>
      </c>
      <c r="Q838" s="2">
        <f t="shared" si="56"/>
        <v>0.2857142857142857</v>
      </c>
    </row>
    <row r="839" spans="1:17" x14ac:dyDescent="0.3">
      <c r="A839" s="3">
        <v>24</v>
      </c>
      <c r="B839" s="3">
        <v>11</v>
      </c>
      <c r="C839" s="6">
        <v>4.5999999999999996</v>
      </c>
      <c r="D839" t="s">
        <v>13</v>
      </c>
      <c r="E839" s="3">
        <v>9000</v>
      </c>
      <c r="F839" s="6">
        <v>4.7</v>
      </c>
      <c r="G839" t="s">
        <v>72</v>
      </c>
      <c r="H839" s="2">
        <v>0.9</v>
      </c>
      <c r="I839" s="3">
        <v>1000</v>
      </c>
      <c r="J839" s="3" t="str">
        <f t="shared" si="53"/>
        <v>Medium Price</v>
      </c>
      <c r="K839" t="s">
        <v>179</v>
      </c>
      <c r="L839" t="s">
        <v>17</v>
      </c>
      <c r="M839" t="s">
        <v>25</v>
      </c>
      <c r="N839">
        <v>0.95</v>
      </c>
      <c r="O839" t="str">
        <f t="shared" si="54"/>
        <v>High</v>
      </c>
      <c r="P839">
        <f t="shared" si="55"/>
        <v>11000</v>
      </c>
      <c r="Q839" s="2">
        <f t="shared" si="56"/>
        <v>0.45833333333333331</v>
      </c>
    </row>
    <row r="840" spans="1:17" x14ac:dyDescent="0.3">
      <c r="A840" s="3">
        <v>41</v>
      </c>
      <c r="B840" s="3">
        <v>17</v>
      </c>
      <c r="C840" s="6">
        <v>4.8</v>
      </c>
      <c r="D840" t="s">
        <v>20</v>
      </c>
      <c r="E840" s="3">
        <v>5000</v>
      </c>
      <c r="F840" s="6">
        <v>4.9000000000000004</v>
      </c>
      <c r="G840" t="s">
        <v>21</v>
      </c>
      <c r="H840" s="2">
        <v>0.9</v>
      </c>
      <c r="I840" s="3">
        <v>700</v>
      </c>
      <c r="J840" s="3" t="str">
        <f t="shared" si="53"/>
        <v>Low Price</v>
      </c>
      <c r="K840" t="s">
        <v>179</v>
      </c>
      <c r="L840" t="s">
        <v>33</v>
      </c>
      <c r="M840" t="s">
        <v>18</v>
      </c>
      <c r="N840">
        <v>0.95</v>
      </c>
      <c r="O840" t="str">
        <f t="shared" si="54"/>
        <v>High</v>
      </c>
      <c r="P840">
        <f t="shared" si="55"/>
        <v>11900</v>
      </c>
      <c r="Q840" s="2">
        <f t="shared" si="56"/>
        <v>0.41463414634146339</v>
      </c>
    </row>
    <row r="841" spans="1:17" x14ac:dyDescent="0.3">
      <c r="A841" s="3">
        <v>9</v>
      </c>
      <c r="B841" s="3">
        <v>2</v>
      </c>
      <c r="C841" s="6">
        <v>2.8</v>
      </c>
      <c r="D841" t="s">
        <v>13</v>
      </c>
      <c r="E841" s="3">
        <v>200</v>
      </c>
      <c r="F841" s="6">
        <v>2.6</v>
      </c>
      <c r="G841" t="s">
        <v>27</v>
      </c>
      <c r="H841" s="2">
        <v>-0.6</v>
      </c>
      <c r="I841" s="3">
        <v>100</v>
      </c>
      <c r="J841" s="3" t="str">
        <f t="shared" si="53"/>
        <v>Low Price</v>
      </c>
      <c r="K841" t="s">
        <v>179</v>
      </c>
      <c r="L841" t="s">
        <v>29</v>
      </c>
      <c r="M841" t="s">
        <v>34</v>
      </c>
      <c r="N841">
        <v>0.05</v>
      </c>
      <c r="O841" t="str">
        <f t="shared" si="54"/>
        <v>Low</v>
      </c>
      <c r="P841">
        <f t="shared" si="55"/>
        <v>200</v>
      </c>
      <c r="Q841" s="2">
        <f t="shared" si="56"/>
        <v>0.22222222222222221</v>
      </c>
    </row>
    <row r="842" spans="1:17" x14ac:dyDescent="0.3">
      <c r="A842" s="3">
        <v>16</v>
      </c>
      <c r="B842" s="3">
        <v>6</v>
      </c>
      <c r="C842" s="6">
        <v>3.8</v>
      </c>
      <c r="D842" t="s">
        <v>20</v>
      </c>
      <c r="E842" s="3">
        <v>4500</v>
      </c>
      <c r="F842" s="6">
        <v>3.9</v>
      </c>
      <c r="G842" t="s">
        <v>71</v>
      </c>
      <c r="H842" s="2">
        <v>0.3</v>
      </c>
      <c r="I842" s="3">
        <v>500</v>
      </c>
      <c r="J842" s="3" t="str">
        <f t="shared" si="53"/>
        <v>Low Price</v>
      </c>
      <c r="K842" t="s">
        <v>179</v>
      </c>
      <c r="L842" t="s">
        <v>17</v>
      </c>
      <c r="M842" t="s">
        <v>25</v>
      </c>
      <c r="N842">
        <v>0.7</v>
      </c>
      <c r="O842" t="str">
        <f t="shared" si="54"/>
        <v>Medium</v>
      </c>
      <c r="P842">
        <f t="shared" si="55"/>
        <v>3000</v>
      </c>
      <c r="Q842" s="2">
        <f t="shared" si="56"/>
        <v>0.375</v>
      </c>
    </row>
    <row r="843" spans="1:17" x14ac:dyDescent="0.3">
      <c r="A843" s="3">
        <v>26</v>
      </c>
      <c r="B843" s="3">
        <v>9</v>
      </c>
      <c r="C843" s="6">
        <v>4.4000000000000004</v>
      </c>
      <c r="D843" t="s">
        <v>13</v>
      </c>
      <c r="E843" s="3">
        <v>7500</v>
      </c>
      <c r="F843" s="6">
        <v>4.5</v>
      </c>
      <c r="G843" t="s">
        <v>75</v>
      </c>
      <c r="H843" s="2">
        <v>0.6</v>
      </c>
      <c r="I843" s="3">
        <v>600</v>
      </c>
      <c r="J843" s="3" t="str">
        <f t="shared" si="53"/>
        <v>Low Price</v>
      </c>
      <c r="K843" t="s">
        <v>179</v>
      </c>
      <c r="L843" t="s">
        <v>33</v>
      </c>
      <c r="M843" t="s">
        <v>18</v>
      </c>
      <c r="N843">
        <v>0.8</v>
      </c>
      <c r="O843" t="str">
        <f t="shared" si="54"/>
        <v>High</v>
      </c>
      <c r="P843">
        <f t="shared" si="55"/>
        <v>5400</v>
      </c>
      <c r="Q843" s="2">
        <f t="shared" si="56"/>
        <v>0.34615384615384615</v>
      </c>
    </row>
    <row r="844" spans="1:17" x14ac:dyDescent="0.3">
      <c r="A844" s="3">
        <v>36</v>
      </c>
      <c r="B844" s="3">
        <v>14</v>
      </c>
      <c r="C844" s="6">
        <v>4.9000000000000004</v>
      </c>
      <c r="D844" t="s">
        <v>13</v>
      </c>
      <c r="E844" s="3">
        <v>6500</v>
      </c>
      <c r="F844" s="6">
        <v>4.8</v>
      </c>
      <c r="G844" t="s">
        <v>69</v>
      </c>
      <c r="H844" s="2">
        <v>0.9</v>
      </c>
      <c r="I844" s="3">
        <v>700</v>
      </c>
      <c r="J844" s="3" t="str">
        <f t="shared" si="53"/>
        <v>Low Price</v>
      </c>
      <c r="K844" t="s">
        <v>9</v>
      </c>
      <c r="L844" t="s">
        <v>17</v>
      </c>
      <c r="M844" t="s">
        <v>25</v>
      </c>
      <c r="N844">
        <v>0.95</v>
      </c>
      <c r="O844" t="str">
        <f t="shared" si="54"/>
        <v>High</v>
      </c>
      <c r="P844">
        <f t="shared" si="55"/>
        <v>9800</v>
      </c>
      <c r="Q844" s="2">
        <f t="shared" si="56"/>
        <v>0.3888888888888889</v>
      </c>
    </row>
    <row r="845" spans="1:17" x14ac:dyDescent="0.3">
      <c r="A845" s="3">
        <v>11</v>
      </c>
      <c r="B845" s="3">
        <v>1</v>
      </c>
      <c r="C845" s="6">
        <v>3</v>
      </c>
      <c r="D845" t="s">
        <v>20</v>
      </c>
      <c r="E845" s="3">
        <v>300</v>
      </c>
      <c r="F845" s="6">
        <v>2.9</v>
      </c>
      <c r="G845" t="s">
        <v>53</v>
      </c>
      <c r="H845" s="2">
        <v>-0.5</v>
      </c>
      <c r="I845" s="3">
        <v>200</v>
      </c>
      <c r="J845" s="3" t="str">
        <f t="shared" si="53"/>
        <v>Low Price</v>
      </c>
      <c r="K845" t="s">
        <v>179</v>
      </c>
      <c r="L845" t="s">
        <v>29</v>
      </c>
      <c r="M845" t="s">
        <v>34</v>
      </c>
      <c r="N845">
        <v>0.05</v>
      </c>
      <c r="O845" t="str">
        <f t="shared" si="54"/>
        <v>Low</v>
      </c>
      <c r="P845">
        <f t="shared" si="55"/>
        <v>200</v>
      </c>
      <c r="Q845" s="2">
        <f t="shared" si="56"/>
        <v>9.0909090909090912E-2</v>
      </c>
    </row>
    <row r="846" spans="1:17" x14ac:dyDescent="0.3">
      <c r="A846" s="3">
        <v>19</v>
      </c>
      <c r="B846" s="3">
        <v>5</v>
      </c>
      <c r="C846" s="6">
        <v>4.0999999999999996</v>
      </c>
      <c r="D846" t="s">
        <v>20</v>
      </c>
      <c r="E846" s="3">
        <v>6000</v>
      </c>
      <c r="F846" s="6">
        <v>4.2</v>
      </c>
      <c r="G846" t="s">
        <v>48</v>
      </c>
      <c r="H846" s="2">
        <v>0.4</v>
      </c>
      <c r="I846" s="3">
        <v>700</v>
      </c>
      <c r="J846" s="3" t="str">
        <f t="shared" si="53"/>
        <v>Low Price</v>
      </c>
      <c r="K846" t="s">
        <v>179</v>
      </c>
      <c r="L846" t="s">
        <v>24</v>
      </c>
      <c r="M846" t="s">
        <v>18</v>
      </c>
      <c r="N846">
        <v>0.6</v>
      </c>
      <c r="O846" t="str">
        <f t="shared" si="54"/>
        <v>Medium</v>
      </c>
      <c r="P846">
        <f t="shared" si="55"/>
        <v>3500</v>
      </c>
      <c r="Q846" s="2">
        <f t="shared" si="56"/>
        <v>0.26315789473684209</v>
      </c>
    </row>
    <row r="847" spans="1:17" x14ac:dyDescent="0.3">
      <c r="A847" s="3">
        <v>33</v>
      </c>
      <c r="B847" s="3">
        <v>12</v>
      </c>
      <c r="C847" s="6">
        <v>4.7</v>
      </c>
      <c r="D847" t="s">
        <v>13</v>
      </c>
      <c r="E847" s="3">
        <v>8500</v>
      </c>
      <c r="F847" s="6">
        <v>4.5999999999999996</v>
      </c>
      <c r="G847" t="s">
        <v>95</v>
      </c>
      <c r="H847" s="2">
        <v>0.8</v>
      </c>
      <c r="I847" s="3">
        <v>800</v>
      </c>
      <c r="J847" s="3" t="str">
        <f t="shared" si="53"/>
        <v>Low Price</v>
      </c>
      <c r="K847" t="s">
        <v>179</v>
      </c>
      <c r="L847" t="s">
        <v>33</v>
      </c>
      <c r="M847" t="s">
        <v>25</v>
      </c>
      <c r="N847">
        <v>0.9</v>
      </c>
      <c r="O847" t="str">
        <f t="shared" si="54"/>
        <v>High</v>
      </c>
      <c r="P847">
        <f t="shared" si="55"/>
        <v>9600</v>
      </c>
      <c r="Q847" s="2">
        <f t="shared" si="56"/>
        <v>0.36363636363636365</v>
      </c>
    </row>
    <row r="848" spans="1:17" x14ac:dyDescent="0.3">
      <c r="A848" s="3">
        <v>7</v>
      </c>
      <c r="B848" s="3">
        <v>1</v>
      </c>
      <c r="C848" s="6">
        <v>3.3</v>
      </c>
      <c r="D848" t="s">
        <v>20</v>
      </c>
      <c r="E848" s="3">
        <v>250</v>
      </c>
      <c r="F848" s="6">
        <v>3.1</v>
      </c>
      <c r="G848" t="s">
        <v>31</v>
      </c>
      <c r="H848" s="2">
        <v>-0.3</v>
      </c>
      <c r="I848" s="3">
        <v>100</v>
      </c>
      <c r="J848" s="3" t="str">
        <f t="shared" si="53"/>
        <v>Low Price</v>
      </c>
      <c r="K848" t="s">
        <v>179</v>
      </c>
      <c r="L848" t="s">
        <v>33</v>
      </c>
      <c r="M848" t="s">
        <v>34</v>
      </c>
      <c r="N848">
        <v>0.1</v>
      </c>
      <c r="O848" t="str">
        <f t="shared" si="54"/>
        <v>Low</v>
      </c>
      <c r="P848">
        <f t="shared" si="55"/>
        <v>100</v>
      </c>
      <c r="Q848" s="2">
        <f t="shared" si="56"/>
        <v>0.14285714285714285</v>
      </c>
    </row>
    <row r="849" spans="1:17" x14ac:dyDescent="0.3">
      <c r="A849" s="3">
        <v>22</v>
      </c>
      <c r="B849" s="3">
        <v>8</v>
      </c>
      <c r="C849" s="6">
        <v>4.5</v>
      </c>
      <c r="D849" t="s">
        <v>13</v>
      </c>
      <c r="E849" s="3">
        <v>7000</v>
      </c>
      <c r="F849" s="6">
        <v>4.4000000000000004</v>
      </c>
      <c r="G849" t="s">
        <v>97</v>
      </c>
      <c r="H849" s="2">
        <v>0.7</v>
      </c>
      <c r="I849" s="3">
        <v>800</v>
      </c>
      <c r="J849" s="3" t="str">
        <f t="shared" si="53"/>
        <v>Low Price</v>
      </c>
      <c r="K849" t="s">
        <v>179</v>
      </c>
      <c r="L849" t="s">
        <v>17</v>
      </c>
      <c r="M849" t="s">
        <v>18</v>
      </c>
      <c r="N849">
        <v>0.85</v>
      </c>
      <c r="O849" t="str">
        <f t="shared" si="54"/>
        <v>High</v>
      </c>
      <c r="P849">
        <f t="shared" si="55"/>
        <v>6400</v>
      </c>
      <c r="Q849" s="2">
        <f t="shared" si="56"/>
        <v>0.36363636363636365</v>
      </c>
    </row>
    <row r="850" spans="1:17" x14ac:dyDescent="0.3">
      <c r="A850" s="3">
        <v>12</v>
      </c>
      <c r="B850" s="3">
        <v>0</v>
      </c>
      <c r="C850" s="6">
        <v>3.2</v>
      </c>
      <c r="D850" t="s">
        <v>20</v>
      </c>
      <c r="E850" s="3">
        <v>400</v>
      </c>
      <c r="F850" s="6">
        <v>3</v>
      </c>
      <c r="G850" t="s">
        <v>120</v>
      </c>
      <c r="H850" s="2">
        <v>-0.2</v>
      </c>
      <c r="I850" s="3">
        <v>200</v>
      </c>
      <c r="J850" s="3" t="str">
        <f t="shared" si="53"/>
        <v>Low Price</v>
      </c>
      <c r="K850" t="s">
        <v>179</v>
      </c>
      <c r="L850" t="s">
        <v>24</v>
      </c>
      <c r="M850" t="s">
        <v>34</v>
      </c>
      <c r="N850">
        <v>0.05</v>
      </c>
      <c r="O850" t="str">
        <f t="shared" si="54"/>
        <v>Low</v>
      </c>
      <c r="P850">
        <f t="shared" si="55"/>
        <v>0</v>
      </c>
      <c r="Q850" s="2">
        <f t="shared" si="56"/>
        <v>0</v>
      </c>
    </row>
    <row r="851" spans="1:17" x14ac:dyDescent="0.3">
      <c r="A851" s="3">
        <v>29</v>
      </c>
      <c r="B851" s="3">
        <v>10</v>
      </c>
      <c r="C851" s="6">
        <v>4.5</v>
      </c>
      <c r="D851" t="s">
        <v>20</v>
      </c>
      <c r="E851" s="3">
        <v>8000</v>
      </c>
      <c r="F851" s="6">
        <v>4.7</v>
      </c>
      <c r="G851" t="s">
        <v>72</v>
      </c>
      <c r="H851" s="2">
        <v>0.8</v>
      </c>
      <c r="I851" s="3">
        <v>900</v>
      </c>
      <c r="J851" s="3" t="str">
        <f t="shared" si="53"/>
        <v>Low Price</v>
      </c>
      <c r="K851" t="s">
        <v>179</v>
      </c>
      <c r="L851" t="s">
        <v>17</v>
      </c>
      <c r="M851" t="s">
        <v>25</v>
      </c>
      <c r="N851">
        <v>0.9</v>
      </c>
      <c r="O851" t="str">
        <f t="shared" si="54"/>
        <v>High</v>
      </c>
      <c r="P851">
        <f t="shared" si="55"/>
        <v>9000</v>
      </c>
      <c r="Q851" s="2">
        <f t="shared" si="56"/>
        <v>0.34482758620689657</v>
      </c>
    </row>
    <row r="852" spans="1:17" x14ac:dyDescent="0.3">
      <c r="A852" s="3">
        <v>39</v>
      </c>
      <c r="B852" s="3">
        <v>16</v>
      </c>
      <c r="C852" s="6">
        <v>4.9000000000000004</v>
      </c>
      <c r="D852" t="s">
        <v>13</v>
      </c>
      <c r="E852" s="3">
        <v>5500</v>
      </c>
      <c r="F852" s="6">
        <v>4.8</v>
      </c>
      <c r="G852" t="s">
        <v>21</v>
      </c>
      <c r="H852" s="2">
        <v>0.9</v>
      </c>
      <c r="I852" s="3">
        <v>700</v>
      </c>
      <c r="J852" s="3" t="str">
        <f t="shared" si="53"/>
        <v>Low Price</v>
      </c>
      <c r="K852" t="s">
        <v>9</v>
      </c>
      <c r="L852" t="s">
        <v>33</v>
      </c>
      <c r="M852" t="s">
        <v>18</v>
      </c>
      <c r="N852">
        <v>0.95</v>
      </c>
      <c r="O852" t="str">
        <f t="shared" si="54"/>
        <v>High</v>
      </c>
      <c r="P852">
        <f t="shared" si="55"/>
        <v>11200</v>
      </c>
      <c r="Q852" s="2">
        <f t="shared" si="56"/>
        <v>0.41025641025641024</v>
      </c>
    </row>
    <row r="853" spans="1:17" x14ac:dyDescent="0.3">
      <c r="A853" s="3">
        <v>10</v>
      </c>
      <c r="B853" s="3">
        <v>3</v>
      </c>
      <c r="C853" s="6">
        <v>3.5</v>
      </c>
      <c r="D853" t="s">
        <v>13</v>
      </c>
      <c r="E853" s="3">
        <v>350</v>
      </c>
      <c r="F853" s="6">
        <v>3.4</v>
      </c>
      <c r="G853" t="s">
        <v>66</v>
      </c>
      <c r="H853" s="2">
        <v>-0.1</v>
      </c>
      <c r="I853" s="3">
        <v>300</v>
      </c>
      <c r="J853" s="3" t="str">
        <f t="shared" si="53"/>
        <v>Low Price</v>
      </c>
      <c r="K853" t="s">
        <v>179</v>
      </c>
      <c r="L853" t="s">
        <v>29</v>
      </c>
      <c r="M853" t="s">
        <v>18</v>
      </c>
      <c r="N853">
        <v>0.3</v>
      </c>
      <c r="O853" t="str">
        <f t="shared" si="54"/>
        <v>Low</v>
      </c>
      <c r="P853">
        <f t="shared" si="55"/>
        <v>900</v>
      </c>
      <c r="Q853" s="2">
        <f t="shared" si="56"/>
        <v>0.3</v>
      </c>
    </row>
    <row r="854" spans="1:17" x14ac:dyDescent="0.3">
      <c r="A854" s="3">
        <v>20</v>
      </c>
      <c r="B854" s="3">
        <v>6</v>
      </c>
      <c r="C854" s="6">
        <v>4</v>
      </c>
      <c r="D854" t="s">
        <v>20</v>
      </c>
      <c r="E854" s="3">
        <v>5000</v>
      </c>
      <c r="F854" s="6">
        <v>4.0999999999999996</v>
      </c>
      <c r="G854" t="s">
        <v>48</v>
      </c>
      <c r="H854" s="2">
        <v>0.5</v>
      </c>
      <c r="I854" s="3">
        <v>600</v>
      </c>
      <c r="J854" s="3" t="str">
        <f t="shared" si="53"/>
        <v>Low Price</v>
      </c>
      <c r="K854" t="s">
        <v>179</v>
      </c>
      <c r="L854" t="s">
        <v>24</v>
      </c>
      <c r="M854" t="s">
        <v>18</v>
      </c>
      <c r="N854">
        <v>0.7</v>
      </c>
      <c r="O854" t="str">
        <f t="shared" si="54"/>
        <v>Medium</v>
      </c>
      <c r="P854">
        <f t="shared" si="55"/>
        <v>3600</v>
      </c>
      <c r="Q854" s="2">
        <f t="shared" si="56"/>
        <v>0.3</v>
      </c>
    </row>
    <row r="855" spans="1:17" x14ac:dyDescent="0.3">
      <c r="A855" s="3">
        <v>34</v>
      </c>
      <c r="B855" s="3">
        <v>13</v>
      </c>
      <c r="C855" s="6">
        <v>4.8</v>
      </c>
      <c r="D855" t="s">
        <v>13</v>
      </c>
      <c r="E855" s="3">
        <v>8000</v>
      </c>
      <c r="F855" s="6">
        <v>4.9000000000000004</v>
      </c>
      <c r="G855" t="s">
        <v>95</v>
      </c>
      <c r="H855" s="2">
        <v>0.9</v>
      </c>
      <c r="I855" s="3">
        <v>800</v>
      </c>
      <c r="J855" s="3" t="str">
        <f t="shared" si="53"/>
        <v>Low Price</v>
      </c>
      <c r="K855" t="s">
        <v>179</v>
      </c>
      <c r="L855" t="s">
        <v>33</v>
      </c>
      <c r="M855" t="s">
        <v>25</v>
      </c>
      <c r="N855">
        <v>0.95</v>
      </c>
      <c r="O855" t="str">
        <f t="shared" si="54"/>
        <v>High</v>
      </c>
      <c r="P855">
        <f t="shared" si="55"/>
        <v>10400</v>
      </c>
      <c r="Q855" s="2">
        <f t="shared" si="56"/>
        <v>0.38235294117647056</v>
      </c>
    </row>
    <row r="856" spans="1:17" x14ac:dyDescent="0.3">
      <c r="A856" s="3">
        <v>8</v>
      </c>
      <c r="B856" s="3">
        <v>1</v>
      </c>
      <c r="C856" s="6">
        <v>3.1</v>
      </c>
      <c r="D856" t="s">
        <v>20</v>
      </c>
      <c r="E856" s="3">
        <v>300</v>
      </c>
      <c r="F856" s="6">
        <v>3</v>
      </c>
      <c r="G856" t="s">
        <v>31</v>
      </c>
      <c r="H856" s="2">
        <v>-0.4</v>
      </c>
      <c r="I856" s="3">
        <v>200</v>
      </c>
      <c r="J856" s="3" t="str">
        <f t="shared" si="53"/>
        <v>Low Price</v>
      </c>
      <c r="K856" t="s">
        <v>179</v>
      </c>
      <c r="L856" t="s">
        <v>29</v>
      </c>
      <c r="M856" t="s">
        <v>34</v>
      </c>
      <c r="N856">
        <v>0.05</v>
      </c>
      <c r="O856" t="str">
        <f t="shared" si="54"/>
        <v>Low</v>
      </c>
      <c r="P856">
        <f t="shared" si="55"/>
        <v>200</v>
      </c>
      <c r="Q856" s="2">
        <f t="shared" si="56"/>
        <v>0.125</v>
      </c>
    </row>
    <row r="857" spans="1:17" x14ac:dyDescent="0.3">
      <c r="A857" s="3">
        <v>17</v>
      </c>
      <c r="B857" s="3">
        <v>7</v>
      </c>
      <c r="C857" s="6">
        <v>4.4000000000000004</v>
      </c>
      <c r="D857" t="s">
        <v>13</v>
      </c>
      <c r="E857" s="3">
        <v>7000</v>
      </c>
      <c r="F857" s="6">
        <v>4.5999999999999996</v>
      </c>
      <c r="G857" t="s">
        <v>60</v>
      </c>
      <c r="H857" s="2">
        <v>0.7</v>
      </c>
      <c r="I857" s="3">
        <v>800</v>
      </c>
      <c r="J857" s="3" t="str">
        <f t="shared" si="53"/>
        <v>Low Price</v>
      </c>
      <c r="K857" t="s">
        <v>179</v>
      </c>
      <c r="L857" t="s">
        <v>17</v>
      </c>
      <c r="M857" t="s">
        <v>18</v>
      </c>
      <c r="N857">
        <v>0.85</v>
      </c>
      <c r="O857" t="str">
        <f t="shared" si="54"/>
        <v>High</v>
      </c>
      <c r="P857">
        <f t="shared" si="55"/>
        <v>5600</v>
      </c>
      <c r="Q857" s="2">
        <f t="shared" si="56"/>
        <v>0.41176470588235292</v>
      </c>
    </row>
    <row r="858" spans="1:17" x14ac:dyDescent="0.3">
      <c r="A858" s="3">
        <v>13</v>
      </c>
      <c r="B858" s="3">
        <v>0</v>
      </c>
      <c r="C858" s="6">
        <v>3</v>
      </c>
      <c r="D858" t="s">
        <v>20</v>
      </c>
      <c r="E858" s="3">
        <v>450</v>
      </c>
      <c r="F858" s="6">
        <v>2.8</v>
      </c>
      <c r="G858" t="s">
        <v>120</v>
      </c>
      <c r="H858" s="2">
        <v>-0.3</v>
      </c>
      <c r="I858" s="3">
        <v>200</v>
      </c>
      <c r="J858" s="3" t="str">
        <f t="shared" si="53"/>
        <v>Low Price</v>
      </c>
      <c r="K858" t="s">
        <v>179</v>
      </c>
      <c r="L858" t="s">
        <v>24</v>
      </c>
      <c r="M858" t="s">
        <v>34</v>
      </c>
      <c r="N858">
        <v>0.05</v>
      </c>
      <c r="O858" t="str">
        <f t="shared" si="54"/>
        <v>Low</v>
      </c>
      <c r="P858">
        <f t="shared" si="55"/>
        <v>0</v>
      </c>
      <c r="Q858" s="2">
        <f t="shared" si="56"/>
        <v>0</v>
      </c>
    </row>
    <row r="859" spans="1:17" x14ac:dyDescent="0.3">
      <c r="A859" s="3">
        <v>23</v>
      </c>
      <c r="B859" s="3">
        <v>8</v>
      </c>
      <c r="C859" s="6">
        <v>4.5999999999999996</v>
      </c>
      <c r="D859" t="s">
        <v>13</v>
      </c>
      <c r="E859" s="3">
        <v>7000</v>
      </c>
      <c r="F859" s="6">
        <v>4.5</v>
      </c>
      <c r="G859" t="s">
        <v>72</v>
      </c>
      <c r="H859" s="2">
        <v>0.7</v>
      </c>
      <c r="I859" s="3">
        <v>800</v>
      </c>
      <c r="J859" s="3" t="str">
        <f t="shared" si="53"/>
        <v>Low Price</v>
      </c>
      <c r="K859" t="s">
        <v>179</v>
      </c>
      <c r="L859" t="s">
        <v>33</v>
      </c>
      <c r="M859" t="s">
        <v>25</v>
      </c>
      <c r="N859">
        <v>0.85</v>
      </c>
      <c r="O859" t="str">
        <f t="shared" si="54"/>
        <v>High</v>
      </c>
      <c r="P859">
        <f t="shared" si="55"/>
        <v>6400</v>
      </c>
      <c r="Q859" s="2">
        <f t="shared" si="56"/>
        <v>0.34782608695652173</v>
      </c>
    </row>
    <row r="860" spans="1:17" x14ac:dyDescent="0.3">
      <c r="A860" s="3">
        <v>9</v>
      </c>
      <c r="B860" s="3">
        <v>2</v>
      </c>
      <c r="C860" s="6">
        <v>3.2</v>
      </c>
      <c r="D860" t="s">
        <v>20</v>
      </c>
      <c r="E860" s="3">
        <v>350</v>
      </c>
      <c r="F860" s="6">
        <v>3.1</v>
      </c>
      <c r="G860" t="s">
        <v>120</v>
      </c>
      <c r="H860" s="2">
        <v>-0.2</v>
      </c>
      <c r="I860" s="3">
        <v>200</v>
      </c>
      <c r="J860" s="3" t="str">
        <f t="shared" si="53"/>
        <v>Low Price</v>
      </c>
      <c r="K860" t="s">
        <v>179</v>
      </c>
      <c r="L860" t="s">
        <v>29</v>
      </c>
      <c r="M860" t="s">
        <v>34</v>
      </c>
      <c r="N860">
        <v>0.05</v>
      </c>
      <c r="O860" t="str">
        <f t="shared" si="54"/>
        <v>Low</v>
      </c>
      <c r="P860">
        <f t="shared" si="55"/>
        <v>400</v>
      </c>
      <c r="Q860" s="2">
        <f t="shared" si="56"/>
        <v>0.22222222222222221</v>
      </c>
    </row>
    <row r="861" spans="1:17" x14ac:dyDescent="0.3">
      <c r="A861" s="3">
        <v>32</v>
      </c>
      <c r="B861" s="3">
        <v>14</v>
      </c>
      <c r="C861" s="6">
        <v>4.8</v>
      </c>
      <c r="D861" t="s">
        <v>13</v>
      </c>
      <c r="E861" s="3">
        <v>8500</v>
      </c>
      <c r="F861" s="6">
        <v>4.9000000000000004</v>
      </c>
      <c r="G861" t="s">
        <v>95</v>
      </c>
      <c r="H861" s="2">
        <v>0.9</v>
      </c>
      <c r="I861" s="3">
        <v>800</v>
      </c>
      <c r="J861" s="3" t="str">
        <f t="shared" si="53"/>
        <v>Low Price</v>
      </c>
      <c r="K861" t="s">
        <v>179</v>
      </c>
      <c r="L861" t="s">
        <v>33</v>
      </c>
      <c r="M861" t="s">
        <v>25</v>
      </c>
      <c r="N861">
        <v>0.95</v>
      </c>
      <c r="O861" t="str">
        <f t="shared" si="54"/>
        <v>High</v>
      </c>
      <c r="P861">
        <f t="shared" si="55"/>
        <v>11200</v>
      </c>
      <c r="Q861" s="2">
        <f t="shared" si="56"/>
        <v>0.4375</v>
      </c>
    </row>
    <row r="862" spans="1:17" x14ac:dyDescent="0.3">
      <c r="A862" s="3">
        <v>10</v>
      </c>
      <c r="B862" s="3">
        <v>1</v>
      </c>
      <c r="C862" s="6">
        <v>3.5</v>
      </c>
      <c r="D862" t="s">
        <v>13</v>
      </c>
      <c r="E862" s="3">
        <v>400</v>
      </c>
      <c r="F862" s="6">
        <v>3.4</v>
      </c>
      <c r="G862" t="s">
        <v>66</v>
      </c>
      <c r="H862" s="2">
        <v>-0.1</v>
      </c>
      <c r="I862" s="3">
        <v>300</v>
      </c>
      <c r="J862" s="3" t="str">
        <f t="shared" si="53"/>
        <v>Low Price</v>
      </c>
      <c r="K862" t="s">
        <v>179</v>
      </c>
      <c r="L862" t="s">
        <v>29</v>
      </c>
      <c r="M862" t="s">
        <v>18</v>
      </c>
      <c r="N862">
        <v>0.3</v>
      </c>
      <c r="O862" t="str">
        <f t="shared" si="54"/>
        <v>Low</v>
      </c>
      <c r="P862">
        <f t="shared" si="55"/>
        <v>300</v>
      </c>
      <c r="Q862" s="2">
        <f t="shared" si="56"/>
        <v>0.1</v>
      </c>
    </row>
    <row r="863" spans="1:17" x14ac:dyDescent="0.3">
      <c r="A863" s="3">
        <v>21</v>
      </c>
      <c r="B863" s="3">
        <v>7</v>
      </c>
      <c r="C863" s="6">
        <v>4.2</v>
      </c>
      <c r="D863" t="s">
        <v>20</v>
      </c>
      <c r="E863" s="3">
        <v>5000</v>
      </c>
      <c r="F863" s="6">
        <v>4.3</v>
      </c>
      <c r="G863" t="s">
        <v>55</v>
      </c>
      <c r="H863" s="2">
        <v>0.4</v>
      </c>
      <c r="I863" s="3">
        <v>600</v>
      </c>
      <c r="J863" s="3" t="str">
        <f t="shared" si="53"/>
        <v>Low Price</v>
      </c>
      <c r="K863" t="s">
        <v>179</v>
      </c>
      <c r="L863" t="s">
        <v>24</v>
      </c>
      <c r="M863" t="s">
        <v>18</v>
      </c>
      <c r="N863">
        <v>0.6</v>
      </c>
      <c r="O863" t="str">
        <f t="shared" si="54"/>
        <v>Medium</v>
      </c>
      <c r="P863">
        <f t="shared" si="55"/>
        <v>4200</v>
      </c>
      <c r="Q863" s="2">
        <f t="shared" si="56"/>
        <v>0.33333333333333331</v>
      </c>
    </row>
    <row r="864" spans="1:17" x14ac:dyDescent="0.3">
      <c r="A864" s="3">
        <v>35</v>
      </c>
      <c r="B864" s="3">
        <v>12</v>
      </c>
      <c r="C864" s="6">
        <v>4.5999999999999996</v>
      </c>
      <c r="D864" t="s">
        <v>13</v>
      </c>
      <c r="E864" s="3">
        <v>9000</v>
      </c>
      <c r="F864" s="6">
        <v>4.7</v>
      </c>
      <c r="G864" t="s">
        <v>97</v>
      </c>
      <c r="H864" s="2">
        <v>0.8</v>
      </c>
      <c r="I864" s="3">
        <v>900</v>
      </c>
      <c r="J864" s="3" t="str">
        <f t="shared" si="53"/>
        <v>Low Price</v>
      </c>
      <c r="K864" t="s">
        <v>179</v>
      </c>
      <c r="L864" t="s">
        <v>17</v>
      </c>
      <c r="M864" t="s">
        <v>18</v>
      </c>
      <c r="N864">
        <v>0.9</v>
      </c>
      <c r="O864" t="str">
        <f t="shared" si="54"/>
        <v>High</v>
      </c>
      <c r="P864">
        <f t="shared" si="55"/>
        <v>10800</v>
      </c>
      <c r="Q864" s="2">
        <f t="shared" si="56"/>
        <v>0.34285714285714286</v>
      </c>
    </row>
    <row r="865" spans="1:17" x14ac:dyDescent="0.3">
      <c r="A865" s="3">
        <v>42</v>
      </c>
      <c r="B865" s="3">
        <v>18</v>
      </c>
      <c r="C865" s="6">
        <v>4.9000000000000004</v>
      </c>
      <c r="D865" t="s">
        <v>20</v>
      </c>
      <c r="E865" s="3">
        <v>5500</v>
      </c>
      <c r="F865" s="6">
        <v>4.8</v>
      </c>
      <c r="G865" t="s">
        <v>14</v>
      </c>
      <c r="H865" s="2">
        <v>0.9</v>
      </c>
      <c r="I865" s="3">
        <v>700</v>
      </c>
      <c r="J865" s="3" t="str">
        <f t="shared" si="53"/>
        <v>Low Price</v>
      </c>
      <c r="K865" t="s">
        <v>9</v>
      </c>
      <c r="L865" t="s">
        <v>33</v>
      </c>
      <c r="M865" t="s">
        <v>18</v>
      </c>
      <c r="N865">
        <v>0.95</v>
      </c>
      <c r="O865" t="str">
        <f t="shared" si="54"/>
        <v>High</v>
      </c>
      <c r="P865">
        <f t="shared" si="55"/>
        <v>12600</v>
      </c>
      <c r="Q865" s="2">
        <f t="shared" si="56"/>
        <v>0.42857142857142855</v>
      </c>
    </row>
    <row r="866" spans="1:17" x14ac:dyDescent="0.3">
      <c r="A866" s="3">
        <v>11</v>
      </c>
      <c r="B866" s="3">
        <v>2</v>
      </c>
      <c r="C866" s="6">
        <v>3.1</v>
      </c>
      <c r="D866" t="s">
        <v>13</v>
      </c>
      <c r="E866" s="3">
        <v>400</v>
      </c>
      <c r="F866" s="6">
        <v>3</v>
      </c>
      <c r="G866" t="s">
        <v>120</v>
      </c>
      <c r="H866" s="2">
        <v>-0.3</v>
      </c>
      <c r="I866" s="3">
        <v>200</v>
      </c>
      <c r="J866" s="3" t="str">
        <f t="shared" si="53"/>
        <v>Low Price</v>
      </c>
      <c r="K866" t="s">
        <v>179</v>
      </c>
      <c r="L866" t="s">
        <v>29</v>
      </c>
      <c r="M866" t="s">
        <v>34</v>
      </c>
      <c r="N866">
        <v>0.05</v>
      </c>
      <c r="O866" t="str">
        <f t="shared" si="54"/>
        <v>Low</v>
      </c>
      <c r="P866">
        <f t="shared" si="55"/>
        <v>400</v>
      </c>
      <c r="Q866" s="2">
        <f t="shared" si="56"/>
        <v>0.18181818181818182</v>
      </c>
    </row>
    <row r="867" spans="1:17" x14ac:dyDescent="0.3">
      <c r="A867" s="3">
        <v>18</v>
      </c>
      <c r="B867" s="3">
        <v>6</v>
      </c>
      <c r="C867" s="6">
        <v>4</v>
      </c>
      <c r="D867" t="s">
        <v>20</v>
      </c>
      <c r="E867" s="3">
        <v>5500</v>
      </c>
      <c r="F867" s="6">
        <v>4.0999999999999996</v>
      </c>
      <c r="G867" t="s">
        <v>55</v>
      </c>
      <c r="H867" s="2">
        <v>0.5</v>
      </c>
      <c r="I867" s="3">
        <v>600</v>
      </c>
      <c r="J867" s="3" t="str">
        <f t="shared" si="53"/>
        <v>Low Price</v>
      </c>
      <c r="K867" t="s">
        <v>179</v>
      </c>
      <c r="L867" t="s">
        <v>24</v>
      </c>
      <c r="M867" t="s">
        <v>18</v>
      </c>
      <c r="N867">
        <v>0.7</v>
      </c>
      <c r="O867" t="str">
        <f t="shared" si="54"/>
        <v>Medium</v>
      </c>
      <c r="P867">
        <f t="shared" si="55"/>
        <v>3600</v>
      </c>
      <c r="Q867" s="2">
        <f t="shared" si="56"/>
        <v>0.33333333333333331</v>
      </c>
    </row>
    <row r="868" spans="1:17" x14ac:dyDescent="0.3">
      <c r="A868" s="3">
        <v>24</v>
      </c>
      <c r="B868" s="3">
        <v>9</v>
      </c>
      <c r="C868" s="6">
        <v>4.5</v>
      </c>
      <c r="D868" t="s">
        <v>13</v>
      </c>
      <c r="E868" s="3">
        <v>7500</v>
      </c>
      <c r="F868" s="6">
        <v>4.4000000000000004</v>
      </c>
      <c r="G868" t="s">
        <v>75</v>
      </c>
      <c r="H868" s="2">
        <v>0.6</v>
      </c>
      <c r="I868" s="3">
        <v>700</v>
      </c>
      <c r="J868" s="3" t="str">
        <f t="shared" si="53"/>
        <v>Low Price</v>
      </c>
      <c r="K868" t="s">
        <v>179</v>
      </c>
      <c r="L868" t="s">
        <v>33</v>
      </c>
      <c r="M868" t="s">
        <v>18</v>
      </c>
      <c r="N868">
        <v>0.8</v>
      </c>
      <c r="O868" t="str">
        <f t="shared" si="54"/>
        <v>High</v>
      </c>
      <c r="P868">
        <f t="shared" si="55"/>
        <v>6300</v>
      </c>
      <c r="Q868" s="2">
        <f t="shared" si="56"/>
        <v>0.375</v>
      </c>
    </row>
    <row r="869" spans="1:17" x14ac:dyDescent="0.3">
      <c r="A869" s="3">
        <v>37</v>
      </c>
      <c r="B869" s="3">
        <v>15</v>
      </c>
      <c r="C869" s="6">
        <v>4.9000000000000004</v>
      </c>
      <c r="D869" t="s">
        <v>13</v>
      </c>
      <c r="E869" s="3">
        <v>6500</v>
      </c>
      <c r="F869" s="6">
        <v>4.8</v>
      </c>
      <c r="G869" t="s">
        <v>21</v>
      </c>
      <c r="H869" s="2">
        <v>0.9</v>
      </c>
      <c r="I869" s="3">
        <v>800</v>
      </c>
      <c r="J869" s="3" t="str">
        <f t="shared" si="53"/>
        <v>Low Price</v>
      </c>
      <c r="K869" t="s">
        <v>179</v>
      </c>
      <c r="L869" t="s">
        <v>17</v>
      </c>
      <c r="M869" t="s">
        <v>18</v>
      </c>
      <c r="N869">
        <v>0.95</v>
      </c>
      <c r="O869" t="str">
        <f t="shared" si="54"/>
        <v>High</v>
      </c>
      <c r="P869">
        <f t="shared" si="55"/>
        <v>12000</v>
      </c>
      <c r="Q869" s="2">
        <f t="shared" si="56"/>
        <v>0.40540540540540543</v>
      </c>
    </row>
    <row r="870" spans="1:17" x14ac:dyDescent="0.3">
      <c r="A870" s="3">
        <v>12</v>
      </c>
      <c r="B870" s="3">
        <v>1</v>
      </c>
      <c r="C870" s="6">
        <v>3</v>
      </c>
      <c r="D870" t="s">
        <v>20</v>
      </c>
      <c r="E870" s="3">
        <v>350</v>
      </c>
      <c r="F870" s="6">
        <v>2.9</v>
      </c>
      <c r="G870" t="s">
        <v>120</v>
      </c>
      <c r="H870" s="2">
        <v>-0.4</v>
      </c>
      <c r="I870" s="3">
        <v>200</v>
      </c>
      <c r="J870" s="3" t="str">
        <f t="shared" si="53"/>
        <v>Low Price</v>
      </c>
      <c r="K870" t="s">
        <v>179</v>
      </c>
      <c r="L870" t="s">
        <v>29</v>
      </c>
      <c r="M870" t="s">
        <v>34</v>
      </c>
      <c r="N870">
        <v>0.05</v>
      </c>
      <c r="O870" t="str">
        <f t="shared" si="54"/>
        <v>Low</v>
      </c>
      <c r="P870">
        <f t="shared" si="55"/>
        <v>200</v>
      </c>
      <c r="Q870" s="2">
        <f t="shared" si="56"/>
        <v>8.3333333333333329E-2</v>
      </c>
    </row>
    <row r="871" spans="1:17" x14ac:dyDescent="0.3">
      <c r="A871" s="3">
        <v>22</v>
      </c>
      <c r="B871" s="3">
        <v>8</v>
      </c>
      <c r="C871" s="6">
        <v>4.3</v>
      </c>
      <c r="D871" t="s">
        <v>20</v>
      </c>
      <c r="E871" s="3">
        <v>6000</v>
      </c>
      <c r="F871" s="6">
        <v>4.4000000000000004</v>
      </c>
      <c r="G871" t="s">
        <v>55</v>
      </c>
      <c r="H871" s="2">
        <v>0.7</v>
      </c>
      <c r="I871" s="3">
        <v>600</v>
      </c>
      <c r="J871" s="3" t="str">
        <f t="shared" si="53"/>
        <v>Low Price</v>
      </c>
      <c r="K871" t="s">
        <v>179</v>
      </c>
      <c r="L871" t="s">
        <v>24</v>
      </c>
      <c r="M871" t="s">
        <v>18</v>
      </c>
      <c r="N871">
        <v>0.8</v>
      </c>
      <c r="O871" t="str">
        <f t="shared" si="54"/>
        <v>High</v>
      </c>
      <c r="P871">
        <f t="shared" si="55"/>
        <v>4800</v>
      </c>
      <c r="Q871" s="2">
        <f t="shared" si="56"/>
        <v>0.36363636363636365</v>
      </c>
    </row>
    <row r="872" spans="1:17" x14ac:dyDescent="0.3">
      <c r="A872" s="3">
        <v>36</v>
      </c>
      <c r="B872" s="3">
        <v>13</v>
      </c>
      <c r="C872" s="6">
        <v>4.7</v>
      </c>
      <c r="D872" t="s">
        <v>13</v>
      </c>
      <c r="E872" s="3">
        <v>8500</v>
      </c>
      <c r="F872" s="6">
        <v>4.5999999999999996</v>
      </c>
      <c r="G872" t="s">
        <v>95</v>
      </c>
      <c r="H872" s="2">
        <v>0.8</v>
      </c>
      <c r="I872" s="3">
        <v>800</v>
      </c>
      <c r="J872" s="3" t="str">
        <f t="shared" si="53"/>
        <v>Low Price</v>
      </c>
      <c r="K872" t="s">
        <v>179</v>
      </c>
      <c r="L872" t="s">
        <v>33</v>
      </c>
      <c r="M872" t="s">
        <v>25</v>
      </c>
      <c r="N872">
        <v>0.9</v>
      </c>
      <c r="O872" t="str">
        <f t="shared" si="54"/>
        <v>High</v>
      </c>
      <c r="P872">
        <f t="shared" si="55"/>
        <v>10400</v>
      </c>
      <c r="Q872" s="2">
        <f t="shared" si="56"/>
        <v>0.3611111111111111</v>
      </c>
    </row>
    <row r="873" spans="1:17" x14ac:dyDescent="0.3">
      <c r="A873" s="3">
        <v>8</v>
      </c>
      <c r="B873" s="3">
        <v>2</v>
      </c>
      <c r="C873" s="6">
        <v>3</v>
      </c>
      <c r="D873" t="s">
        <v>13</v>
      </c>
      <c r="E873" s="3">
        <v>300</v>
      </c>
      <c r="F873" s="6">
        <v>2.8</v>
      </c>
      <c r="G873" t="s">
        <v>27</v>
      </c>
      <c r="H873" s="2">
        <v>-0.5</v>
      </c>
      <c r="I873" s="3">
        <v>100</v>
      </c>
      <c r="J873" s="3" t="str">
        <f t="shared" si="53"/>
        <v>Low Price</v>
      </c>
      <c r="K873" t="s">
        <v>179</v>
      </c>
      <c r="L873" t="s">
        <v>29</v>
      </c>
      <c r="M873" t="s">
        <v>34</v>
      </c>
      <c r="N873">
        <v>0.05</v>
      </c>
      <c r="O873" t="str">
        <f t="shared" si="54"/>
        <v>Low</v>
      </c>
      <c r="P873">
        <f t="shared" si="55"/>
        <v>200</v>
      </c>
      <c r="Q873" s="2">
        <f t="shared" si="56"/>
        <v>0.25</v>
      </c>
    </row>
    <row r="874" spans="1:17" x14ac:dyDescent="0.3">
      <c r="A874" s="3">
        <v>15</v>
      </c>
      <c r="B874" s="3">
        <v>5</v>
      </c>
      <c r="C874" s="6">
        <v>3.8</v>
      </c>
      <c r="D874" t="s">
        <v>20</v>
      </c>
      <c r="E874" s="3">
        <v>5000</v>
      </c>
      <c r="F874" s="6">
        <v>3.9</v>
      </c>
      <c r="G874" t="s">
        <v>55</v>
      </c>
      <c r="H874" s="2">
        <v>0.3</v>
      </c>
      <c r="I874" s="3">
        <v>500</v>
      </c>
      <c r="J874" s="3" t="str">
        <f t="shared" si="53"/>
        <v>Low Price</v>
      </c>
      <c r="K874" t="s">
        <v>179</v>
      </c>
      <c r="L874" t="s">
        <v>17</v>
      </c>
      <c r="M874" t="s">
        <v>18</v>
      </c>
      <c r="N874">
        <v>0.7</v>
      </c>
      <c r="O874" t="str">
        <f t="shared" si="54"/>
        <v>Medium</v>
      </c>
      <c r="P874">
        <f t="shared" si="55"/>
        <v>2500</v>
      </c>
      <c r="Q874" s="2">
        <f t="shared" si="56"/>
        <v>0.33333333333333331</v>
      </c>
    </row>
    <row r="875" spans="1:17" x14ac:dyDescent="0.3">
      <c r="A875" s="3">
        <v>29</v>
      </c>
      <c r="B875" s="3">
        <v>11</v>
      </c>
      <c r="C875" s="6">
        <v>4.5</v>
      </c>
      <c r="D875" t="s">
        <v>13</v>
      </c>
      <c r="E875" s="3">
        <v>8000</v>
      </c>
      <c r="F875" s="6">
        <v>4.5999999999999996</v>
      </c>
      <c r="G875" t="s">
        <v>97</v>
      </c>
      <c r="H875" s="2">
        <v>0.8</v>
      </c>
      <c r="I875" s="3">
        <v>900</v>
      </c>
      <c r="J875" s="3" t="str">
        <f t="shared" si="53"/>
        <v>Low Price</v>
      </c>
      <c r="K875" t="s">
        <v>179</v>
      </c>
      <c r="L875" t="s">
        <v>33</v>
      </c>
      <c r="M875" t="s">
        <v>18</v>
      </c>
      <c r="N875">
        <v>0.9</v>
      </c>
      <c r="O875" t="str">
        <f t="shared" si="54"/>
        <v>High</v>
      </c>
      <c r="P875">
        <f t="shared" si="55"/>
        <v>9900</v>
      </c>
      <c r="Q875" s="2">
        <f t="shared" si="56"/>
        <v>0.37931034482758619</v>
      </c>
    </row>
    <row r="876" spans="1:17" x14ac:dyDescent="0.3">
      <c r="A876" s="3">
        <v>41</v>
      </c>
      <c r="B876" s="3">
        <v>17</v>
      </c>
      <c r="C876" s="6">
        <v>4.9000000000000004</v>
      </c>
      <c r="D876" t="s">
        <v>20</v>
      </c>
      <c r="E876" s="3">
        <v>5500</v>
      </c>
      <c r="F876" s="6">
        <v>4.8</v>
      </c>
      <c r="G876" t="s">
        <v>14</v>
      </c>
      <c r="H876" s="2">
        <v>0.9</v>
      </c>
      <c r="I876" s="3">
        <v>700</v>
      </c>
      <c r="J876" s="3" t="str">
        <f t="shared" si="53"/>
        <v>Low Price</v>
      </c>
      <c r="K876" t="s">
        <v>9</v>
      </c>
      <c r="L876" t="s">
        <v>33</v>
      </c>
      <c r="M876" t="s">
        <v>18</v>
      </c>
      <c r="N876">
        <v>0.95</v>
      </c>
      <c r="O876" t="str">
        <f t="shared" si="54"/>
        <v>High</v>
      </c>
      <c r="P876">
        <f t="shared" si="55"/>
        <v>11900</v>
      </c>
      <c r="Q876" s="2">
        <f t="shared" si="56"/>
        <v>0.41463414634146339</v>
      </c>
    </row>
    <row r="877" spans="1:17" x14ac:dyDescent="0.3">
      <c r="A877" s="3">
        <v>10</v>
      </c>
      <c r="B877" s="3">
        <v>2</v>
      </c>
      <c r="C877" s="6">
        <v>3.3</v>
      </c>
      <c r="D877" t="s">
        <v>13</v>
      </c>
      <c r="E877" s="3">
        <v>400</v>
      </c>
      <c r="F877" s="6">
        <v>3.2</v>
      </c>
      <c r="G877" t="s">
        <v>66</v>
      </c>
      <c r="H877" s="2">
        <v>-0.2</v>
      </c>
      <c r="I877" s="3">
        <v>300</v>
      </c>
      <c r="J877" s="3" t="str">
        <f t="shared" si="53"/>
        <v>Low Price</v>
      </c>
      <c r="K877" t="s">
        <v>179</v>
      </c>
      <c r="L877" t="s">
        <v>29</v>
      </c>
      <c r="M877" t="s">
        <v>18</v>
      </c>
      <c r="N877">
        <v>0.3</v>
      </c>
      <c r="O877" t="str">
        <f t="shared" si="54"/>
        <v>Low</v>
      </c>
      <c r="P877">
        <f t="shared" si="55"/>
        <v>600</v>
      </c>
      <c r="Q877" s="2">
        <f t="shared" si="56"/>
        <v>0.2</v>
      </c>
    </row>
    <row r="878" spans="1:17" x14ac:dyDescent="0.3">
      <c r="A878" s="3">
        <v>19</v>
      </c>
      <c r="B878" s="3">
        <v>7</v>
      </c>
      <c r="C878" s="6">
        <v>4.0999999999999996</v>
      </c>
      <c r="D878" t="s">
        <v>20</v>
      </c>
      <c r="E878" s="3">
        <v>5500</v>
      </c>
      <c r="F878" s="6">
        <v>4.2</v>
      </c>
      <c r="G878" t="s">
        <v>55</v>
      </c>
      <c r="H878" s="2">
        <v>0.5</v>
      </c>
      <c r="I878" s="3">
        <v>600</v>
      </c>
      <c r="J878" s="3" t="str">
        <f t="shared" si="53"/>
        <v>Low Price</v>
      </c>
      <c r="K878" t="s">
        <v>179</v>
      </c>
      <c r="L878" t="s">
        <v>24</v>
      </c>
      <c r="M878" t="s">
        <v>18</v>
      </c>
      <c r="N878">
        <v>0.6</v>
      </c>
      <c r="O878" t="str">
        <f t="shared" si="54"/>
        <v>Medium</v>
      </c>
      <c r="P878">
        <f t="shared" si="55"/>
        <v>4200</v>
      </c>
      <c r="Q878" s="2">
        <f t="shared" si="56"/>
        <v>0.36842105263157893</v>
      </c>
    </row>
    <row r="879" spans="1:17" x14ac:dyDescent="0.3">
      <c r="A879" s="3">
        <v>33</v>
      </c>
      <c r="B879" s="3">
        <v>14</v>
      </c>
      <c r="C879" s="6">
        <v>4.7</v>
      </c>
      <c r="D879" t="s">
        <v>13</v>
      </c>
      <c r="E879" s="3">
        <v>8500</v>
      </c>
      <c r="F879" s="6">
        <v>4.5999999999999996</v>
      </c>
      <c r="G879" t="s">
        <v>95</v>
      </c>
      <c r="H879" s="2">
        <v>0.8</v>
      </c>
      <c r="I879" s="3">
        <v>800</v>
      </c>
      <c r="J879" s="3" t="str">
        <f t="shared" si="53"/>
        <v>Low Price</v>
      </c>
      <c r="K879" t="s">
        <v>179</v>
      </c>
      <c r="L879" t="s">
        <v>33</v>
      </c>
      <c r="M879" t="s">
        <v>25</v>
      </c>
      <c r="N879">
        <v>0.9</v>
      </c>
      <c r="O879" t="str">
        <f t="shared" si="54"/>
        <v>High</v>
      </c>
      <c r="P879">
        <f t="shared" si="55"/>
        <v>11200</v>
      </c>
      <c r="Q879" s="2">
        <f t="shared" si="56"/>
        <v>0.42424242424242425</v>
      </c>
    </row>
    <row r="880" spans="1:17" x14ac:dyDescent="0.3">
      <c r="A880" s="3">
        <v>7</v>
      </c>
      <c r="B880" s="3">
        <v>1</v>
      </c>
      <c r="C880" s="6">
        <v>3.2</v>
      </c>
      <c r="D880" t="s">
        <v>20</v>
      </c>
      <c r="E880" s="3">
        <v>300</v>
      </c>
      <c r="F880" s="6">
        <v>3.1</v>
      </c>
      <c r="G880" t="s">
        <v>31</v>
      </c>
      <c r="H880" s="2">
        <v>-0.4</v>
      </c>
      <c r="I880" s="3">
        <v>200</v>
      </c>
      <c r="J880" s="3" t="str">
        <f t="shared" si="53"/>
        <v>Low Price</v>
      </c>
      <c r="K880" t="s">
        <v>179</v>
      </c>
      <c r="L880" t="s">
        <v>33</v>
      </c>
      <c r="M880" t="s">
        <v>34</v>
      </c>
      <c r="N880">
        <v>0.05</v>
      </c>
      <c r="O880" t="str">
        <f t="shared" si="54"/>
        <v>Low</v>
      </c>
      <c r="P880">
        <f t="shared" si="55"/>
        <v>200</v>
      </c>
      <c r="Q880" s="2">
        <f t="shared" si="56"/>
        <v>0.14285714285714285</v>
      </c>
    </row>
    <row r="881" spans="1:17" x14ac:dyDescent="0.3">
      <c r="A881" s="3">
        <v>16</v>
      </c>
      <c r="B881" s="3">
        <v>6</v>
      </c>
      <c r="C881" s="6">
        <v>3.9</v>
      </c>
      <c r="D881" t="s">
        <v>20</v>
      </c>
      <c r="E881" s="3">
        <v>4500</v>
      </c>
      <c r="F881" s="6">
        <v>4</v>
      </c>
      <c r="G881" t="s">
        <v>55</v>
      </c>
      <c r="H881" s="2">
        <v>0.2</v>
      </c>
      <c r="I881" s="3">
        <v>500</v>
      </c>
      <c r="J881" s="3" t="str">
        <f t="shared" si="53"/>
        <v>Low Price</v>
      </c>
      <c r="K881" t="s">
        <v>179</v>
      </c>
      <c r="L881" t="s">
        <v>17</v>
      </c>
      <c r="M881" t="s">
        <v>18</v>
      </c>
      <c r="N881">
        <v>0.7</v>
      </c>
      <c r="O881" t="str">
        <f t="shared" si="54"/>
        <v>Medium</v>
      </c>
      <c r="P881">
        <f t="shared" si="55"/>
        <v>3000</v>
      </c>
      <c r="Q881" s="2">
        <f t="shared" si="56"/>
        <v>0.375</v>
      </c>
    </row>
    <row r="882" spans="1:17" x14ac:dyDescent="0.3">
      <c r="A882" s="3">
        <v>30</v>
      </c>
      <c r="B882" s="3">
        <v>12</v>
      </c>
      <c r="C882" s="6">
        <v>4.5999999999999996</v>
      </c>
      <c r="D882" t="s">
        <v>13</v>
      </c>
      <c r="E882" s="3">
        <v>9000</v>
      </c>
      <c r="F882" s="6">
        <v>4.7</v>
      </c>
      <c r="G882" t="s">
        <v>97</v>
      </c>
      <c r="H882" s="2">
        <v>0.8</v>
      </c>
      <c r="I882" s="3">
        <v>900</v>
      </c>
      <c r="J882" s="3" t="str">
        <f t="shared" si="53"/>
        <v>Low Price</v>
      </c>
      <c r="K882" t="s">
        <v>179</v>
      </c>
      <c r="L882" t="s">
        <v>33</v>
      </c>
      <c r="M882" t="s">
        <v>18</v>
      </c>
      <c r="N882">
        <v>0.9</v>
      </c>
      <c r="O882" t="str">
        <f t="shared" si="54"/>
        <v>High</v>
      </c>
      <c r="P882">
        <f t="shared" si="55"/>
        <v>10800</v>
      </c>
      <c r="Q882" s="2">
        <f t="shared" si="56"/>
        <v>0.4</v>
      </c>
    </row>
    <row r="883" spans="1:17" x14ac:dyDescent="0.3">
      <c r="A883" s="3">
        <v>43</v>
      </c>
      <c r="B883" s="3">
        <v>19</v>
      </c>
      <c r="C883" s="6">
        <v>5</v>
      </c>
      <c r="D883" t="s">
        <v>20</v>
      </c>
      <c r="E883" s="3">
        <v>6000</v>
      </c>
      <c r="F883" s="6">
        <v>4.9000000000000004</v>
      </c>
      <c r="G883" t="s">
        <v>21</v>
      </c>
      <c r="H883" s="2">
        <v>0.9</v>
      </c>
      <c r="I883" s="3">
        <v>800</v>
      </c>
      <c r="J883" s="3" t="str">
        <f t="shared" si="53"/>
        <v>Low Price</v>
      </c>
      <c r="K883" t="s">
        <v>9</v>
      </c>
      <c r="L883" t="s">
        <v>33</v>
      </c>
      <c r="M883" t="s">
        <v>18</v>
      </c>
      <c r="N883">
        <v>0.95</v>
      </c>
      <c r="O883" t="str">
        <f t="shared" si="54"/>
        <v>High</v>
      </c>
      <c r="P883">
        <f t="shared" si="55"/>
        <v>15200</v>
      </c>
      <c r="Q883" s="2">
        <f t="shared" si="56"/>
        <v>0.44186046511627908</v>
      </c>
    </row>
    <row r="884" spans="1:17" x14ac:dyDescent="0.3">
      <c r="A884" s="3">
        <v>11</v>
      </c>
      <c r="B884" s="3">
        <v>3</v>
      </c>
      <c r="C884" s="6">
        <v>3.4</v>
      </c>
      <c r="D884" t="s">
        <v>13</v>
      </c>
      <c r="E884" s="3">
        <v>450</v>
      </c>
      <c r="F884" s="6">
        <v>3.3</v>
      </c>
      <c r="G884" t="s">
        <v>66</v>
      </c>
      <c r="H884" s="2">
        <v>-0.1</v>
      </c>
      <c r="I884" s="3">
        <v>400</v>
      </c>
      <c r="J884" s="3" t="str">
        <f t="shared" si="53"/>
        <v>Low Price</v>
      </c>
      <c r="K884" t="s">
        <v>179</v>
      </c>
      <c r="L884" t="s">
        <v>29</v>
      </c>
      <c r="M884" t="s">
        <v>18</v>
      </c>
      <c r="N884">
        <v>0.4</v>
      </c>
      <c r="O884" t="str">
        <f t="shared" si="54"/>
        <v>Medium</v>
      </c>
      <c r="P884">
        <f t="shared" si="55"/>
        <v>1200</v>
      </c>
      <c r="Q884" s="2">
        <f t="shared" si="56"/>
        <v>0.27272727272727271</v>
      </c>
    </row>
    <row r="885" spans="1:17" x14ac:dyDescent="0.3">
      <c r="A885" s="3">
        <v>20</v>
      </c>
      <c r="B885" s="3">
        <v>8</v>
      </c>
      <c r="C885" s="6">
        <v>4.2</v>
      </c>
      <c r="D885" t="s">
        <v>20</v>
      </c>
      <c r="E885" s="3">
        <v>5500</v>
      </c>
      <c r="F885" s="6">
        <v>4.3</v>
      </c>
      <c r="G885" t="s">
        <v>55</v>
      </c>
      <c r="H885" s="2">
        <v>0.6</v>
      </c>
      <c r="I885" s="3">
        <v>600</v>
      </c>
      <c r="J885" s="3" t="str">
        <f t="shared" si="53"/>
        <v>Low Price</v>
      </c>
      <c r="K885" t="s">
        <v>179</v>
      </c>
      <c r="L885" t="s">
        <v>24</v>
      </c>
      <c r="M885" t="s">
        <v>18</v>
      </c>
      <c r="N885">
        <v>0.8</v>
      </c>
      <c r="O885" t="str">
        <f t="shared" si="54"/>
        <v>High</v>
      </c>
      <c r="P885">
        <f t="shared" si="55"/>
        <v>4800</v>
      </c>
      <c r="Q885" s="2">
        <f t="shared" si="56"/>
        <v>0.4</v>
      </c>
    </row>
    <row r="886" spans="1:17" x14ac:dyDescent="0.3">
      <c r="A886" s="3">
        <v>34</v>
      </c>
      <c r="B886" s="3">
        <v>15</v>
      </c>
      <c r="C886" s="6">
        <v>4.8</v>
      </c>
      <c r="D886" t="s">
        <v>13</v>
      </c>
      <c r="E886" s="3">
        <v>8500</v>
      </c>
      <c r="F886" s="6">
        <v>4.7</v>
      </c>
      <c r="G886" t="s">
        <v>95</v>
      </c>
      <c r="H886" s="2">
        <v>0.8</v>
      </c>
      <c r="I886" s="3">
        <v>800</v>
      </c>
      <c r="J886" s="3" t="str">
        <f t="shared" si="53"/>
        <v>Low Price</v>
      </c>
      <c r="K886" t="s">
        <v>179</v>
      </c>
      <c r="L886" t="s">
        <v>33</v>
      </c>
      <c r="M886" t="s">
        <v>25</v>
      </c>
      <c r="N886">
        <v>0.9</v>
      </c>
      <c r="O886" t="str">
        <f t="shared" si="54"/>
        <v>High</v>
      </c>
      <c r="P886">
        <f t="shared" si="55"/>
        <v>12000</v>
      </c>
      <c r="Q886" s="2">
        <f t="shared" si="56"/>
        <v>0.44117647058823528</v>
      </c>
    </row>
    <row r="887" spans="1:17" x14ac:dyDescent="0.3">
      <c r="A887" s="3">
        <v>9</v>
      </c>
      <c r="B887" s="3">
        <v>1</v>
      </c>
      <c r="C887" s="6">
        <v>3</v>
      </c>
      <c r="D887" t="s">
        <v>20</v>
      </c>
      <c r="E887" s="3">
        <v>300</v>
      </c>
      <c r="F887" s="6">
        <v>2.9</v>
      </c>
      <c r="G887" t="s">
        <v>120</v>
      </c>
      <c r="H887" s="2">
        <v>-0.3</v>
      </c>
      <c r="I887" s="3">
        <v>200</v>
      </c>
      <c r="J887" s="3" t="str">
        <f t="shared" si="53"/>
        <v>Low Price</v>
      </c>
      <c r="K887" t="s">
        <v>179</v>
      </c>
      <c r="L887" t="s">
        <v>29</v>
      </c>
      <c r="M887" t="s">
        <v>34</v>
      </c>
      <c r="N887">
        <v>0.05</v>
      </c>
      <c r="O887" t="str">
        <f t="shared" si="54"/>
        <v>Low</v>
      </c>
      <c r="P887">
        <f t="shared" si="55"/>
        <v>200</v>
      </c>
      <c r="Q887" s="2">
        <f t="shared" si="56"/>
        <v>0.1111111111111111</v>
      </c>
    </row>
    <row r="888" spans="1:17" x14ac:dyDescent="0.3">
      <c r="A888" s="3">
        <v>17</v>
      </c>
      <c r="B888" s="3">
        <v>7</v>
      </c>
      <c r="C888" s="6">
        <v>4</v>
      </c>
      <c r="D888" t="s">
        <v>20</v>
      </c>
      <c r="E888" s="3">
        <v>5000</v>
      </c>
      <c r="F888" s="6">
        <v>4.0999999999999996</v>
      </c>
      <c r="G888" t="s">
        <v>55</v>
      </c>
      <c r="H888" s="2">
        <v>0.4</v>
      </c>
      <c r="I888" s="3">
        <v>500</v>
      </c>
      <c r="J888" s="3" t="str">
        <f t="shared" si="53"/>
        <v>Low Price</v>
      </c>
      <c r="K888" t="s">
        <v>179</v>
      </c>
      <c r="L888" t="s">
        <v>17</v>
      </c>
      <c r="M888" t="s">
        <v>18</v>
      </c>
      <c r="N888">
        <v>0.7</v>
      </c>
      <c r="O888" t="str">
        <f t="shared" si="54"/>
        <v>Medium</v>
      </c>
      <c r="P888">
        <f t="shared" si="55"/>
        <v>3500</v>
      </c>
      <c r="Q888" s="2">
        <f t="shared" si="56"/>
        <v>0.41176470588235292</v>
      </c>
    </row>
    <row r="889" spans="1:17" x14ac:dyDescent="0.3">
      <c r="A889" s="3">
        <v>31</v>
      </c>
      <c r="B889" s="3">
        <v>13</v>
      </c>
      <c r="C889" s="6">
        <v>4.7</v>
      </c>
      <c r="D889" t="s">
        <v>13</v>
      </c>
      <c r="E889" s="3">
        <v>8000</v>
      </c>
      <c r="F889" s="6">
        <v>4.8</v>
      </c>
      <c r="G889" t="s">
        <v>97</v>
      </c>
      <c r="H889" s="2">
        <v>0.8</v>
      </c>
      <c r="I889" s="3">
        <v>900</v>
      </c>
      <c r="J889" s="3" t="str">
        <f t="shared" si="53"/>
        <v>Low Price</v>
      </c>
      <c r="K889" t="s">
        <v>179</v>
      </c>
      <c r="L889" t="s">
        <v>33</v>
      </c>
      <c r="M889" t="s">
        <v>18</v>
      </c>
      <c r="N889">
        <v>0.9</v>
      </c>
      <c r="O889" t="str">
        <f t="shared" si="54"/>
        <v>High</v>
      </c>
      <c r="P889">
        <f t="shared" si="55"/>
        <v>11700</v>
      </c>
      <c r="Q889" s="2">
        <f t="shared" si="56"/>
        <v>0.41935483870967744</v>
      </c>
    </row>
    <row r="890" spans="1:17" x14ac:dyDescent="0.3">
      <c r="A890" s="3">
        <v>44</v>
      </c>
      <c r="B890" s="3">
        <v>20</v>
      </c>
      <c r="C890" s="6">
        <v>5</v>
      </c>
      <c r="D890" t="s">
        <v>20</v>
      </c>
      <c r="E890" s="3">
        <v>5500</v>
      </c>
      <c r="F890" s="6">
        <v>4.9000000000000004</v>
      </c>
      <c r="G890" t="s">
        <v>14</v>
      </c>
      <c r="H890" s="2">
        <v>0.9</v>
      </c>
      <c r="I890" s="3">
        <v>700</v>
      </c>
      <c r="J890" s="3" t="str">
        <f t="shared" si="53"/>
        <v>Low Price</v>
      </c>
      <c r="K890" t="s">
        <v>9</v>
      </c>
      <c r="L890" t="s">
        <v>33</v>
      </c>
      <c r="M890" t="s">
        <v>18</v>
      </c>
      <c r="N890">
        <v>0.95</v>
      </c>
      <c r="O890" t="str">
        <f t="shared" si="54"/>
        <v>High</v>
      </c>
      <c r="P890">
        <f t="shared" si="55"/>
        <v>14000</v>
      </c>
      <c r="Q890" s="2">
        <f t="shared" si="56"/>
        <v>0.45454545454545453</v>
      </c>
    </row>
    <row r="891" spans="1:17" x14ac:dyDescent="0.3">
      <c r="A891" s="3">
        <v>12</v>
      </c>
      <c r="B891" s="3">
        <v>2</v>
      </c>
      <c r="C891" s="6">
        <v>3.1</v>
      </c>
      <c r="D891" t="s">
        <v>13</v>
      </c>
      <c r="E891" s="3">
        <v>450</v>
      </c>
      <c r="F891" s="6">
        <v>3</v>
      </c>
      <c r="G891" t="s">
        <v>66</v>
      </c>
      <c r="H891" s="2">
        <v>-0.2</v>
      </c>
      <c r="I891" s="3">
        <v>300</v>
      </c>
      <c r="J891" s="3" t="str">
        <f t="shared" si="53"/>
        <v>Low Price</v>
      </c>
      <c r="K891" t="s">
        <v>179</v>
      </c>
      <c r="L891" t="s">
        <v>29</v>
      </c>
      <c r="M891" t="s">
        <v>18</v>
      </c>
      <c r="N891">
        <v>0.3</v>
      </c>
      <c r="O891" t="str">
        <f t="shared" si="54"/>
        <v>Low</v>
      </c>
      <c r="P891">
        <f t="shared" si="55"/>
        <v>600</v>
      </c>
      <c r="Q891" s="2">
        <f t="shared" si="56"/>
        <v>0.16666666666666666</v>
      </c>
    </row>
    <row r="892" spans="1:17" x14ac:dyDescent="0.3">
      <c r="A892" s="3">
        <v>21</v>
      </c>
      <c r="B892" s="3">
        <v>8</v>
      </c>
      <c r="C892" s="6">
        <v>4.3</v>
      </c>
      <c r="D892" t="s">
        <v>20</v>
      </c>
      <c r="E892" s="3">
        <v>5500</v>
      </c>
      <c r="F892" s="6">
        <v>4.4000000000000004</v>
      </c>
      <c r="G892" t="s">
        <v>55</v>
      </c>
      <c r="H892" s="2">
        <v>0.7</v>
      </c>
      <c r="I892" s="3">
        <v>600</v>
      </c>
      <c r="J892" s="3" t="str">
        <f t="shared" si="53"/>
        <v>Low Price</v>
      </c>
      <c r="K892" t="s">
        <v>179</v>
      </c>
      <c r="L892" t="s">
        <v>24</v>
      </c>
      <c r="M892" t="s">
        <v>18</v>
      </c>
      <c r="N892">
        <v>0.8</v>
      </c>
      <c r="O892" t="str">
        <f t="shared" si="54"/>
        <v>High</v>
      </c>
      <c r="P892">
        <f t="shared" si="55"/>
        <v>4800</v>
      </c>
      <c r="Q892" s="2">
        <f t="shared" si="56"/>
        <v>0.38095238095238093</v>
      </c>
    </row>
    <row r="893" spans="1:17" x14ac:dyDescent="0.3">
      <c r="A893" s="3">
        <v>35</v>
      </c>
      <c r="B893" s="3">
        <v>14</v>
      </c>
      <c r="C893" s="6">
        <v>4.7</v>
      </c>
      <c r="D893" t="s">
        <v>13</v>
      </c>
      <c r="E893" s="3">
        <v>8500</v>
      </c>
      <c r="F893" s="6">
        <v>4.5999999999999996</v>
      </c>
      <c r="G893" t="s">
        <v>95</v>
      </c>
      <c r="H893" s="2">
        <v>0.8</v>
      </c>
      <c r="I893" s="3">
        <v>800</v>
      </c>
      <c r="J893" s="3" t="str">
        <f t="shared" si="53"/>
        <v>Low Price</v>
      </c>
      <c r="K893" t="s">
        <v>179</v>
      </c>
      <c r="L893" t="s">
        <v>33</v>
      </c>
      <c r="M893" t="s">
        <v>25</v>
      </c>
      <c r="N893">
        <v>0.9</v>
      </c>
      <c r="O893" t="str">
        <f t="shared" si="54"/>
        <v>High</v>
      </c>
      <c r="P893">
        <f t="shared" si="55"/>
        <v>11200</v>
      </c>
      <c r="Q893" s="2">
        <f t="shared" si="56"/>
        <v>0.4</v>
      </c>
    </row>
    <row r="894" spans="1:17" x14ac:dyDescent="0.3">
      <c r="A894" s="3">
        <v>10</v>
      </c>
      <c r="B894" s="3">
        <v>3</v>
      </c>
      <c r="C894" s="6">
        <v>3.2</v>
      </c>
      <c r="D894" t="s">
        <v>20</v>
      </c>
      <c r="E894" s="3">
        <v>400</v>
      </c>
      <c r="F894" s="6">
        <v>3.1</v>
      </c>
      <c r="G894" t="s">
        <v>120</v>
      </c>
      <c r="H894" s="2">
        <v>-0.1</v>
      </c>
      <c r="I894" s="3">
        <v>200</v>
      </c>
      <c r="J894" s="3" t="str">
        <f t="shared" si="53"/>
        <v>Low Price</v>
      </c>
      <c r="K894" t="s">
        <v>179</v>
      </c>
      <c r="L894" t="s">
        <v>29</v>
      </c>
      <c r="M894" t="s">
        <v>34</v>
      </c>
      <c r="N894">
        <v>0.05</v>
      </c>
      <c r="O894" t="str">
        <f t="shared" si="54"/>
        <v>Low</v>
      </c>
      <c r="P894">
        <f t="shared" si="55"/>
        <v>600</v>
      </c>
      <c r="Q894" s="2">
        <f t="shared" si="56"/>
        <v>0.3</v>
      </c>
    </row>
    <row r="895" spans="1:17" x14ac:dyDescent="0.3">
      <c r="A895" s="3">
        <v>18</v>
      </c>
      <c r="B895" s="3">
        <v>7</v>
      </c>
      <c r="C895" s="6">
        <v>3.9</v>
      </c>
      <c r="D895" t="s">
        <v>20</v>
      </c>
      <c r="E895" s="3">
        <v>5000</v>
      </c>
      <c r="F895" s="6">
        <v>4</v>
      </c>
      <c r="G895" t="s">
        <v>55</v>
      </c>
      <c r="H895" s="2">
        <v>0.3</v>
      </c>
      <c r="I895" s="3">
        <v>500</v>
      </c>
      <c r="J895" s="3" t="str">
        <f t="shared" si="53"/>
        <v>Low Price</v>
      </c>
      <c r="K895" t="s">
        <v>179</v>
      </c>
      <c r="L895" t="s">
        <v>17</v>
      </c>
      <c r="M895" t="s">
        <v>18</v>
      </c>
      <c r="N895">
        <v>0.7</v>
      </c>
      <c r="O895" t="str">
        <f t="shared" si="54"/>
        <v>Medium</v>
      </c>
      <c r="P895">
        <f t="shared" si="55"/>
        <v>3500</v>
      </c>
      <c r="Q895" s="2">
        <f t="shared" si="56"/>
        <v>0.3888888888888889</v>
      </c>
    </row>
    <row r="896" spans="1:17" x14ac:dyDescent="0.3">
      <c r="A896" s="3">
        <v>32</v>
      </c>
      <c r="B896" s="3">
        <v>12</v>
      </c>
      <c r="C896" s="6">
        <v>4.5999999999999996</v>
      </c>
      <c r="D896" t="s">
        <v>13</v>
      </c>
      <c r="E896" s="3">
        <v>8000</v>
      </c>
      <c r="F896" s="6">
        <v>4.7</v>
      </c>
      <c r="G896" t="s">
        <v>97</v>
      </c>
      <c r="H896" s="2">
        <v>0.8</v>
      </c>
      <c r="I896" s="3">
        <v>900</v>
      </c>
      <c r="J896" s="3" t="str">
        <f t="shared" si="53"/>
        <v>Low Price</v>
      </c>
      <c r="K896" t="s">
        <v>179</v>
      </c>
      <c r="L896" t="s">
        <v>33</v>
      </c>
      <c r="M896" t="s">
        <v>18</v>
      </c>
      <c r="N896">
        <v>0.9</v>
      </c>
      <c r="O896" t="str">
        <f t="shared" si="54"/>
        <v>High</v>
      </c>
      <c r="P896">
        <f t="shared" si="55"/>
        <v>10800</v>
      </c>
      <c r="Q896" s="2">
        <f t="shared" si="56"/>
        <v>0.375</v>
      </c>
    </row>
    <row r="897" spans="1:17" x14ac:dyDescent="0.3">
      <c r="A897" s="3">
        <v>45</v>
      </c>
      <c r="B897" s="3">
        <v>21</v>
      </c>
      <c r="C897" s="6">
        <v>5</v>
      </c>
      <c r="D897" t="s">
        <v>20</v>
      </c>
      <c r="E897" s="3">
        <v>6000</v>
      </c>
      <c r="F897" s="6">
        <v>4.9000000000000004</v>
      </c>
      <c r="G897" t="s">
        <v>21</v>
      </c>
      <c r="H897" s="2">
        <v>0.9</v>
      </c>
      <c r="I897" s="3">
        <v>800</v>
      </c>
      <c r="J897" s="3" t="str">
        <f t="shared" si="53"/>
        <v>Low Price</v>
      </c>
      <c r="K897" t="s">
        <v>9</v>
      </c>
      <c r="L897" t="s">
        <v>33</v>
      </c>
      <c r="M897" t="s">
        <v>18</v>
      </c>
      <c r="N897">
        <v>0.95</v>
      </c>
      <c r="O897" t="str">
        <f t="shared" si="54"/>
        <v>High</v>
      </c>
      <c r="P897">
        <f t="shared" si="55"/>
        <v>16800</v>
      </c>
      <c r="Q897" s="2">
        <f t="shared" si="56"/>
        <v>0.46666666666666667</v>
      </c>
    </row>
    <row r="898" spans="1:17" x14ac:dyDescent="0.3">
      <c r="A898" s="3">
        <v>11</v>
      </c>
      <c r="B898" s="3">
        <v>4</v>
      </c>
      <c r="C898" s="6">
        <v>3.3</v>
      </c>
      <c r="D898" t="s">
        <v>13</v>
      </c>
      <c r="E898" s="3">
        <v>500</v>
      </c>
      <c r="F898" s="6">
        <v>3.2</v>
      </c>
      <c r="G898" t="s">
        <v>66</v>
      </c>
      <c r="H898" s="2">
        <v>0</v>
      </c>
      <c r="I898" s="3">
        <v>400</v>
      </c>
      <c r="J898" s="3" t="str">
        <f t="shared" ref="J898:J961" si="57">IF(I898&gt;5000, "High Price", IF(I898&gt;=1000, "Medium Price", IF(I898&lt;1000, "Low Price")))</f>
        <v>Low Price</v>
      </c>
      <c r="K898" t="s">
        <v>179</v>
      </c>
      <c r="L898" t="s">
        <v>29</v>
      </c>
      <c r="M898" t="s">
        <v>18</v>
      </c>
      <c r="N898">
        <v>0.4</v>
      </c>
      <c r="O898" t="str">
        <f t="shared" ref="O898:O961" si="58">IF(N898&gt;=0.8,"High",IF(N898&gt;=0.4,"Medium",IF(N898&lt;0.4,"Low")))</f>
        <v>Medium</v>
      </c>
      <c r="P898">
        <f t="shared" si="55"/>
        <v>1600</v>
      </c>
      <c r="Q898" s="2">
        <f t="shared" si="56"/>
        <v>0.36363636363636365</v>
      </c>
    </row>
    <row r="899" spans="1:17" x14ac:dyDescent="0.3">
      <c r="A899" s="3">
        <v>22</v>
      </c>
      <c r="B899" s="3">
        <v>9</v>
      </c>
      <c r="C899" s="6">
        <v>4.4000000000000004</v>
      </c>
      <c r="D899" t="s">
        <v>20</v>
      </c>
      <c r="E899" s="3">
        <v>5500</v>
      </c>
      <c r="F899" s="6">
        <v>4.5</v>
      </c>
      <c r="G899" t="s">
        <v>55</v>
      </c>
      <c r="H899" s="2">
        <v>0.6</v>
      </c>
      <c r="I899" s="3">
        <v>600</v>
      </c>
      <c r="J899" s="3" t="str">
        <f t="shared" si="57"/>
        <v>Low Price</v>
      </c>
      <c r="K899" t="s">
        <v>179</v>
      </c>
      <c r="L899" t="s">
        <v>24</v>
      </c>
      <c r="M899" t="s">
        <v>18</v>
      </c>
      <c r="N899">
        <v>0.8</v>
      </c>
      <c r="O899" t="str">
        <f t="shared" si="58"/>
        <v>High</v>
      </c>
      <c r="P899">
        <f t="shared" ref="P899:P962" si="59">I899*B899</f>
        <v>5400</v>
      </c>
      <c r="Q899" s="2">
        <f t="shared" ref="Q899:Q962" si="60">B899/A899</f>
        <v>0.40909090909090912</v>
      </c>
    </row>
    <row r="900" spans="1:17" x14ac:dyDescent="0.3">
      <c r="A900" s="3">
        <v>36</v>
      </c>
      <c r="B900" s="3">
        <v>15</v>
      </c>
      <c r="C900" s="6">
        <v>4.8</v>
      </c>
      <c r="D900" t="s">
        <v>13</v>
      </c>
      <c r="E900" s="3">
        <v>8500</v>
      </c>
      <c r="F900" s="6">
        <v>4.7</v>
      </c>
      <c r="G900" t="s">
        <v>95</v>
      </c>
      <c r="H900" s="2">
        <v>0.8</v>
      </c>
      <c r="I900" s="3">
        <v>800</v>
      </c>
      <c r="J900" s="3" t="str">
        <f t="shared" si="57"/>
        <v>Low Price</v>
      </c>
      <c r="K900" t="s">
        <v>179</v>
      </c>
      <c r="L900" t="s">
        <v>33</v>
      </c>
      <c r="M900" t="s">
        <v>25</v>
      </c>
      <c r="N900">
        <v>0.9</v>
      </c>
      <c r="O900" t="str">
        <f t="shared" si="58"/>
        <v>High</v>
      </c>
      <c r="P900">
        <f t="shared" si="59"/>
        <v>12000</v>
      </c>
      <c r="Q900" s="2">
        <f t="shared" si="60"/>
        <v>0.41666666666666669</v>
      </c>
    </row>
    <row r="901" spans="1:17" x14ac:dyDescent="0.3">
      <c r="A901" s="3">
        <v>13</v>
      </c>
      <c r="B901" s="3">
        <v>1</v>
      </c>
      <c r="C901" s="6">
        <v>3.1</v>
      </c>
      <c r="D901" t="s">
        <v>20</v>
      </c>
      <c r="E901" s="3">
        <v>450</v>
      </c>
      <c r="F901" s="6">
        <v>3</v>
      </c>
      <c r="G901" t="s">
        <v>120</v>
      </c>
      <c r="H901" s="2">
        <v>-0.2</v>
      </c>
      <c r="I901" s="3">
        <v>300</v>
      </c>
      <c r="J901" s="3" t="str">
        <f t="shared" si="57"/>
        <v>Low Price</v>
      </c>
      <c r="K901" t="s">
        <v>179</v>
      </c>
      <c r="L901" t="s">
        <v>29</v>
      </c>
      <c r="M901" t="s">
        <v>34</v>
      </c>
      <c r="N901">
        <v>0.05</v>
      </c>
      <c r="O901" t="str">
        <f t="shared" si="58"/>
        <v>Low</v>
      </c>
      <c r="P901">
        <f t="shared" si="59"/>
        <v>300</v>
      </c>
      <c r="Q901" s="2">
        <f t="shared" si="60"/>
        <v>7.6923076923076927E-2</v>
      </c>
    </row>
    <row r="902" spans="1:17" x14ac:dyDescent="0.3">
      <c r="A902" s="3">
        <v>19</v>
      </c>
      <c r="B902" s="3">
        <v>8</v>
      </c>
      <c r="C902" s="6">
        <v>4.2</v>
      </c>
      <c r="D902" t="s">
        <v>20</v>
      </c>
      <c r="E902" s="3">
        <v>5500</v>
      </c>
      <c r="F902" s="6">
        <v>4.3</v>
      </c>
      <c r="G902" t="s">
        <v>55</v>
      </c>
      <c r="H902" s="2">
        <v>0.5</v>
      </c>
      <c r="I902" s="3">
        <v>600</v>
      </c>
      <c r="J902" s="3" t="str">
        <f t="shared" si="57"/>
        <v>Low Price</v>
      </c>
      <c r="K902" t="s">
        <v>179</v>
      </c>
      <c r="L902" t="s">
        <v>24</v>
      </c>
      <c r="M902" t="s">
        <v>18</v>
      </c>
      <c r="N902">
        <v>0.7</v>
      </c>
      <c r="O902" t="str">
        <f t="shared" si="58"/>
        <v>Medium</v>
      </c>
      <c r="P902">
        <f t="shared" si="59"/>
        <v>4800</v>
      </c>
      <c r="Q902" s="2">
        <f t="shared" si="60"/>
        <v>0.42105263157894735</v>
      </c>
    </row>
    <row r="903" spans="1:17" x14ac:dyDescent="0.3">
      <c r="A903" s="3">
        <v>33</v>
      </c>
      <c r="B903" s="3">
        <v>15</v>
      </c>
      <c r="C903" s="6">
        <v>4.7</v>
      </c>
      <c r="D903" t="s">
        <v>13</v>
      </c>
      <c r="E903" s="3">
        <v>8500</v>
      </c>
      <c r="F903" s="6">
        <v>4.5999999999999996</v>
      </c>
      <c r="G903" t="s">
        <v>95</v>
      </c>
      <c r="H903" s="2">
        <v>0.8</v>
      </c>
      <c r="I903" s="3">
        <v>800</v>
      </c>
      <c r="J903" s="3" t="str">
        <f t="shared" si="57"/>
        <v>Low Price</v>
      </c>
      <c r="K903" t="s">
        <v>179</v>
      </c>
      <c r="L903" t="s">
        <v>33</v>
      </c>
      <c r="M903" t="s">
        <v>25</v>
      </c>
      <c r="N903">
        <v>0.9</v>
      </c>
      <c r="O903" t="str">
        <f t="shared" si="58"/>
        <v>High</v>
      </c>
      <c r="P903">
        <f t="shared" si="59"/>
        <v>12000</v>
      </c>
      <c r="Q903" s="2">
        <f t="shared" si="60"/>
        <v>0.45454545454545453</v>
      </c>
    </row>
    <row r="904" spans="1:17" x14ac:dyDescent="0.3">
      <c r="A904" s="3">
        <v>14</v>
      </c>
      <c r="B904" s="3">
        <v>0</v>
      </c>
      <c r="C904" s="6">
        <v>3</v>
      </c>
      <c r="D904" t="s">
        <v>20</v>
      </c>
      <c r="E904" s="3">
        <v>500</v>
      </c>
      <c r="F904" s="6">
        <v>2.8</v>
      </c>
      <c r="G904" t="s">
        <v>120</v>
      </c>
      <c r="H904" s="2">
        <v>-0.3</v>
      </c>
      <c r="I904" s="3">
        <v>200</v>
      </c>
      <c r="J904" s="3" t="str">
        <f t="shared" si="57"/>
        <v>Low Price</v>
      </c>
      <c r="K904" t="s">
        <v>179</v>
      </c>
      <c r="L904" t="s">
        <v>24</v>
      </c>
      <c r="M904" t="s">
        <v>34</v>
      </c>
      <c r="N904">
        <v>0.05</v>
      </c>
      <c r="O904" t="str">
        <f t="shared" si="58"/>
        <v>Low</v>
      </c>
      <c r="P904">
        <f t="shared" si="59"/>
        <v>0</v>
      </c>
      <c r="Q904" s="2">
        <f t="shared" si="60"/>
        <v>0</v>
      </c>
    </row>
    <row r="905" spans="1:17" x14ac:dyDescent="0.3">
      <c r="A905" s="3">
        <v>23</v>
      </c>
      <c r="B905" s="3">
        <v>9</v>
      </c>
      <c r="C905" s="6">
        <v>4.5</v>
      </c>
      <c r="D905" t="s">
        <v>13</v>
      </c>
      <c r="E905" s="3">
        <v>7000</v>
      </c>
      <c r="F905" s="6">
        <v>4.5999999999999996</v>
      </c>
      <c r="G905" t="s">
        <v>72</v>
      </c>
      <c r="H905" s="2">
        <v>0.7</v>
      </c>
      <c r="I905" s="3">
        <v>800</v>
      </c>
      <c r="J905" s="3" t="str">
        <f t="shared" si="57"/>
        <v>Low Price</v>
      </c>
      <c r="K905" t="s">
        <v>179</v>
      </c>
      <c r="L905" t="s">
        <v>33</v>
      </c>
      <c r="M905" t="s">
        <v>25</v>
      </c>
      <c r="N905">
        <v>0.9</v>
      </c>
      <c r="O905" t="str">
        <f t="shared" si="58"/>
        <v>High</v>
      </c>
      <c r="P905">
        <f t="shared" si="59"/>
        <v>7200</v>
      </c>
      <c r="Q905" s="2">
        <f t="shared" si="60"/>
        <v>0.39130434782608697</v>
      </c>
    </row>
    <row r="906" spans="1:17" x14ac:dyDescent="0.3">
      <c r="A906" s="3">
        <v>11</v>
      </c>
      <c r="B906" s="3">
        <v>5</v>
      </c>
      <c r="C906" s="6">
        <v>3.4</v>
      </c>
      <c r="D906" t="s">
        <v>13</v>
      </c>
      <c r="E906" s="3">
        <v>550</v>
      </c>
      <c r="F906" s="6">
        <v>3.3</v>
      </c>
      <c r="G906" t="s">
        <v>66</v>
      </c>
      <c r="H906" s="2">
        <v>-0.1</v>
      </c>
      <c r="I906" s="3">
        <v>400</v>
      </c>
      <c r="J906" s="3" t="str">
        <f t="shared" si="57"/>
        <v>Low Price</v>
      </c>
      <c r="K906" t="s">
        <v>179</v>
      </c>
      <c r="L906" t="s">
        <v>29</v>
      </c>
      <c r="M906" t="s">
        <v>18</v>
      </c>
      <c r="N906">
        <v>0.4</v>
      </c>
      <c r="O906" t="str">
        <f t="shared" si="58"/>
        <v>Medium</v>
      </c>
      <c r="P906">
        <f t="shared" si="59"/>
        <v>2000</v>
      </c>
      <c r="Q906" s="2">
        <f t="shared" si="60"/>
        <v>0.45454545454545453</v>
      </c>
    </row>
    <row r="907" spans="1:17" x14ac:dyDescent="0.3">
      <c r="A907" s="3">
        <v>34</v>
      </c>
      <c r="B907" s="3">
        <v>16</v>
      </c>
      <c r="C907" s="6">
        <v>4.8</v>
      </c>
      <c r="D907" t="s">
        <v>13</v>
      </c>
      <c r="E907" s="3">
        <v>8500</v>
      </c>
      <c r="F907" s="6">
        <v>4.7</v>
      </c>
      <c r="G907" t="s">
        <v>95</v>
      </c>
      <c r="H907" s="2">
        <v>0.8</v>
      </c>
      <c r="I907" s="3">
        <v>800</v>
      </c>
      <c r="J907" s="3" t="str">
        <f t="shared" si="57"/>
        <v>Low Price</v>
      </c>
      <c r="K907" t="s">
        <v>179</v>
      </c>
      <c r="L907" t="s">
        <v>33</v>
      </c>
      <c r="M907" t="s">
        <v>25</v>
      </c>
      <c r="N907">
        <v>0.9</v>
      </c>
      <c r="O907" t="str">
        <f t="shared" si="58"/>
        <v>High</v>
      </c>
      <c r="P907">
        <f t="shared" si="59"/>
        <v>12800</v>
      </c>
      <c r="Q907" s="2">
        <f t="shared" si="60"/>
        <v>0.47058823529411764</v>
      </c>
    </row>
    <row r="908" spans="1:17" x14ac:dyDescent="0.3">
      <c r="A908" s="3">
        <v>12</v>
      </c>
      <c r="B908" s="3">
        <v>3</v>
      </c>
      <c r="C908" s="6">
        <v>3.2</v>
      </c>
      <c r="D908" t="s">
        <v>20</v>
      </c>
      <c r="E908" s="3">
        <v>400</v>
      </c>
      <c r="F908" s="6">
        <v>3.1</v>
      </c>
      <c r="G908" t="s">
        <v>120</v>
      </c>
      <c r="H908" s="2">
        <v>-0.2</v>
      </c>
      <c r="I908" s="3">
        <v>300</v>
      </c>
      <c r="J908" s="3" t="str">
        <f t="shared" si="57"/>
        <v>Low Price</v>
      </c>
      <c r="K908" t="s">
        <v>179</v>
      </c>
      <c r="L908" t="s">
        <v>29</v>
      </c>
      <c r="M908" t="s">
        <v>34</v>
      </c>
      <c r="N908">
        <v>0.05</v>
      </c>
      <c r="O908" t="str">
        <f t="shared" si="58"/>
        <v>Low</v>
      </c>
      <c r="P908">
        <f t="shared" si="59"/>
        <v>900</v>
      </c>
      <c r="Q908" s="2">
        <f t="shared" si="60"/>
        <v>0.25</v>
      </c>
    </row>
    <row r="909" spans="1:17" x14ac:dyDescent="0.3">
      <c r="A909" s="3">
        <v>20</v>
      </c>
      <c r="B909" s="3">
        <v>9</v>
      </c>
      <c r="C909" s="6">
        <v>4.3</v>
      </c>
      <c r="D909" t="s">
        <v>20</v>
      </c>
      <c r="E909" s="3">
        <v>5500</v>
      </c>
      <c r="F909" s="6">
        <v>4.4000000000000004</v>
      </c>
      <c r="G909" t="s">
        <v>55</v>
      </c>
      <c r="H909" s="2">
        <v>0.6</v>
      </c>
      <c r="I909" s="3">
        <v>600</v>
      </c>
      <c r="J909" s="3" t="str">
        <f t="shared" si="57"/>
        <v>Low Price</v>
      </c>
      <c r="K909" t="s">
        <v>179</v>
      </c>
      <c r="L909" t="s">
        <v>24</v>
      </c>
      <c r="M909" t="s">
        <v>18</v>
      </c>
      <c r="N909">
        <v>0.8</v>
      </c>
      <c r="O909" t="str">
        <f t="shared" si="58"/>
        <v>High</v>
      </c>
      <c r="P909">
        <f t="shared" si="59"/>
        <v>5400</v>
      </c>
      <c r="Q909" s="2">
        <f t="shared" si="60"/>
        <v>0.45</v>
      </c>
    </row>
    <row r="910" spans="1:17" x14ac:dyDescent="0.3">
      <c r="A910" s="3">
        <v>37</v>
      </c>
      <c r="B910" s="3">
        <v>16</v>
      </c>
      <c r="C910" s="6">
        <v>4.9000000000000004</v>
      </c>
      <c r="D910" t="s">
        <v>13</v>
      </c>
      <c r="E910" s="3">
        <v>6500</v>
      </c>
      <c r="F910" s="6">
        <v>4.8</v>
      </c>
      <c r="G910" t="s">
        <v>21</v>
      </c>
      <c r="H910" s="2">
        <v>0.9</v>
      </c>
      <c r="I910" s="3">
        <v>800</v>
      </c>
      <c r="J910" s="3" t="str">
        <f t="shared" si="57"/>
        <v>Low Price</v>
      </c>
      <c r="K910" t="s">
        <v>179</v>
      </c>
      <c r="L910" t="s">
        <v>17</v>
      </c>
      <c r="M910" t="s">
        <v>18</v>
      </c>
      <c r="N910">
        <v>0.95</v>
      </c>
      <c r="O910" t="str">
        <f t="shared" si="58"/>
        <v>High</v>
      </c>
      <c r="P910">
        <f t="shared" si="59"/>
        <v>12800</v>
      </c>
      <c r="Q910" s="2">
        <f t="shared" si="60"/>
        <v>0.43243243243243246</v>
      </c>
    </row>
    <row r="911" spans="1:17" x14ac:dyDescent="0.3">
      <c r="A911" s="3">
        <v>13</v>
      </c>
      <c r="B911" s="3">
        <v>2</v>
      </c>
      <c r="C911" s="6">
        <v>3.1</v>
      </c>
      <c r="D911" t="s">
        <v>20</v>
      </c>
      <c r="E911" s="3">
        <v>450</v>
      </c>
      <c r="F911" s="6">
        <v>3</v>
      </c>
      <c r="G911" t="s">
        <v>120</v>
      </c>
      <c r="H911" s="2">
        <v>-0.2</v>
      </c>
      <c r="I911" s="3">
        <v>300</v>
      </c>
      <c r="J911" s="3" t="str">
        <f t="shared" si="57"/>
        <v>Low Price</v>
      </c>
      <c r="K911" t="s">
        <v>179</v>
      </c>
      <c r="L911" t="s">
        <v>29</v>
      </c>
      <c r="M911" t="s">
        <v>34</v>
      </c>
      <c r="N911">
        <v>0.05</v>
      </c>
      <c r="O911" t="str">
        <f t="shared" si="58"/>
        <v>Low</v>
      </c>
      <c r="P911">
        <f t="shared" si="59"/>
        <v>600</v>
      </c>
      <c r="Q911" s="2">
        <f t="shared" si="60"/>
        <v>0.15384615384615385</v>
      </c>
    </row>
    <row r="912" spans="1:17" x14ac:dyDescent="0.3">
      <c r="A912" s="3">
        <v>24</v>
      </c>
      <c r="B912" s="3">
        <v>10</v>
      </c>
      <c r="C912" s="6">
        <v>4.4000000000000004</v>
      </c>
      <c r="D912" t="s">
        <v>20</v>
      </c>
      <c r="E912" s="3">
        <v>6000</v>
      </c>
      <c r="F912" s="6">
        <v>4.5</v>
      </c>
      <c r="G912" t="s">
        <v>55</v>
      </c>
      <c r="H912" s="2">
        <v>0.6</v>
      </c>
      <c r="I912" s="3">
        <v>600</v>
      </c>
      <c r="J912" s="3" t="str">
        <f t="shared" si="57"/>
        <v>Low Price</v>
      </c>
      <c r="K912" t="s">
        <v>179</v>
      </c>
      <c r="L912" t="s">
        <v>24</v>
      </c>
      <c r="M912" t="s">
        <v>18</v>
      </c>
      <c r="N912">
        <v>0.8</v>
      </c>
      <c r="O912" t="str">
        <f t="shared" si="58"/>
        <v>High</v>
      </c>
      <c r="P912">
        <f t="shared" si="59"/>
        <v>6000</v>
      </c>
      <c r="Q912" s="2">
        <f t="shared" si="60"/>
        <v>0.41666666666666669</v>
      </c>
    </row>
    <row r="913" spans="1:17" x14ac:dyDescent="0.3">
      <c r="A913" s="3">
        <v>38</v>
      </c>
      <c r="B913" s="3">
        <v>17</v>
      </c>
      <c r="C913" s="6">
        <v>4.9000000000000004</v>
      </c>
      <c r="D913" t="s">
        <v>13</v>
      </c>
      <c r="E913" s="3">
        <v>5500</v>
      </c>
      <c r="F913" s="6">
        <v>4.8</v>
      </c>
      <c r="G913" t="s">
        <v>14</v>
      </c>
      <c r="H913" s="2">
        <v>0.9</v>
      </c>
      <c r="I913" s="3">
        <v>700</v>
      </c>
      <c r="J913" s="3" t="str">
        <f t="shared" si="57"/>
        <v>Low Price</v>
      </c>
      <c r="K913" t="s">
        <v>9</v>
      </c>
      <c r="L913" t="s">
        <v>33</v>
      </c>
      <c r="M913" t="s">
        <v>18</v>
      </c>
      <c r="N913">
        <v>0.95</v>
      </c>
      <c r="O913" t="str">
        <f t="shared" si="58"/>
        <v>High</v>
      </c>
      <c r="P913">
        <f t="shared" si="59"/>
        <v>11900</v>
      </c>
      <c r="Q913" s="2">
        <f t="shared" si="60"/>
        <v>0.44736842105263158</v>
      </c>
    </row>
    <row r="914" spans="1:17" x14ac:dyDescent="0.3">
      <c r="A914" s="3">
        <v>14</v>
      </c>
      <c r="B914" s="3">
        <v>1</v>
      </c>
      <c r="C914" s="6">
        <v>3</v>
      </c>
      <c r="D914" t="s">
        <v>20</v>
      </c>
      <c r="E914" s="3">
        <v>500</v>
      </c>
      <c r="F914" s="6">
        <v>2.9</v>
      </c>
      <c r="G914" t="s">
        <v>120</v>
      </c>
      <c r="H914" s="2">
        <v>-0.3</v>
      </c>
      <c r="I914" s="3">
        <v>200</v>
      </c>
      <c r="J914" s="3" t="str">
        <f t="shared" si="57"/>
        <v>Low Price</v>
      </c>
      <c r="K914" t="s">
        <v>179</v>
      </c>
      <c r="L914" t="s">
        <v>24</v>
      </c>
      <c r="M914" t="s">
        <v>34</v>
      </c>
      <c r="N914">
        <v>0.05</v>
      </c>
      <c r="O914" t="str">
        <f t="shared" si="58"/>
        <v>Low</v>
      </c>
      <c r="P914">
        <f t="shared" si="59"/>
        <v>200</v>
      </c>
      <c r="Q914" s="2">
        <f t="shared" si="60"/>
        <v>7.1428571428571425E-2</v>
      </c>
    </row>
    <row r="915" spans="1:17" x14ac:dyDescent="0.3">
      <c r="A915" s="3">
        <v>25</v>
      </c>
      <c r="B915" s="3">
        <v>11</v>
      </c>
      <c r="C915" s="6">
        <v>4.5</v>
      </c>
      <c r="D915" t="s">
        <v>20</v>
      </c>
      <c r="E915" s="3">
        <v>8000</v>
      </c>
      <c r="F915" s="6">
        <v>4.5999999999999996</v>
      </c>
      <c r="G915" t="s">
        <v>97</v>
      </c>
      <c r="H915" s="2">
        <v>0.8</v>
      </c>
      <c r="I915" s="3">
        <v>900</v>
      </c>
      <c r="J915" s="3" t="str">
        <f t="shared" si="57"/>
        <v>Low Price</v>
      </c>
      <c r="K915" t="s">
        <v>179</v>
      </c>
      <c r="L915" t="s">
        <v>33</v>
      </c>
      <c r="M915" t="s">
        <v>18</v>
      </c>
      <c r="N915">
        <v>0.9</v>
      </c>
      <c r="O915" t="str">
        <f t="shared" si="58"/>
        <v>High</v>
      </c>
      <c r="P915">
        <f t="shared" si="59"/>
        <v>9900</v>
      </c>
      <c r="Q915" s="2">
        <f t="shared" si="60"/>
        <v>0.44</v>
      </c>
    </row>
    <row r="916" spans="1:17" x14ac:dyDescent="0.3">
      <c r="A916" s="3">
        <v>39</v>
      </c>
      <c r="B916" s="3">
        <v>18</v>
      </c>
      <c r="C916" s="6">
        <v>4.9000000000000004</v>
      </c>
      <c r="D916" t="s">
        <v>13</v>
      </c>
      <c r="E916" s="3">
        <v>5500</v>
      </c>
      <c r="F916" s="6">
        <v>4.8</v>
      </c>
      <c r="G916" t="s">
        <v>21</v>
      </c>
      <c r="H916" s="2">
        <v>0.9</v>
      </c>
      <c r="I916" s="3">
        <v>800</v>
      </c>
      <c r="J916" s="3" t="str">
        <f t="shared" si="57"/>
        <v>Low Price</v>
      </c>
      <c r="K916" t="s">
        <v>179</v>
      </c>
      <c r="L916" t="s">
        <v>17</v>
      </c>
      <c r="M916" t="s">
        <v>18</v>
      </c>
      <c r="N916">
        <v>0.95</v>
      </c>
      <c r="O916" t="str">
        <f t="shared" si="58"/>
        <v>High</v>
      </c>
      <c r="P916">
        <f t="shared" si="59"/>
        <v>14400</v>
      </c>
      <c r="Q916" s="2">
        <f t="shared" si="60"/>
        <v>0.46153846153846156</v>
      </c>
    </row>
    <row r="917" spans="1:17" x14ac:dyDescent="0.3">
      <c r="A917" s="3">
        <v>15</v>
      </c>
      <c r="B917" s="3">
        <v>0</v>
      </c>
      <c r="C917" s="6">
        <v>3</v>
      </c>
      <c r="D917" t="s">
        <v>20</v>
      </c>
      <c r="E917" s="3">
        <v>500</v>
      </c>
      <c r="F917" s="6">
        <v>2.8</v>
      </c>
      <c r="G917" t="s">
        <v>120</v>
      </c>
      <c r="H917" s="2">
        <v>-0.4</v>
      </c>
      <c r="I917" s="3">
        <v>200</v>
      </c>
      <c r="J917" s="3" t="str">
        <f t="shared" si="57"/>
        <v>Low Price</v>
      </c>
      <c r="K917" t="s">
        <v>179</v>
      </c>
      <c r="L917" t="s">
        <v>24</v>
      </c>
      <c r="M917" t="s">
        <v>34</v>
      </c>
      <c r="N917">
        <v>0.05</v>
      </c>
      <c r="O917" t="str">
        <f t="shared" si="58"/>
        <v>Low</v>
      </c>
      <c r="P917">
        <f t="shared" si="59"/>
        <v>0</v>
      </c>
      <c r="Q917" s="2">
        <f t="shared" si="60"/>
        <v>0</v>
      </c>
    </row>
    <row r="918" spans="1:17" x14ac:dyDescent="0.3">
      <c r="A918" s="3">
        <v>26</v>
      </c>
      <c r="B918" s="3">
        <v>12</v>
      </c>
      <c r="C918" s="6">
        <v>4.5999999999999996</v>
      </c>
      <c r="D918" t="s">
        <v>20</v>
      </c>
      <c r="E918" s="3">
        <v>8500</v>
      </c>
      <c r="F918" s="6">
        <v>4.7</v>
      </c>
      <c r="G918" t="s">
        <v>95</v>
      </c>
      <c r="H918" s="2">
        <v>0.8</v>
      </c>
      <c r="I918" s="3">
        <v>800</v>
      </c>
      <c r="J918" s="3" t="str">
        <f t="shared" si="57"/>
        <v>Low Price</v>
      </c>
      <c r="K918" t="s">
        <v>179</v>
      </c>
      <c r="L918" t="s">
        <v>33</v>
      </c>
      <c r="M918" t="s">
        <v>25</v>
      </c>
      <c r="N918">
        <v>0.9</v>
      </c>
      <c r="O918" t="str">
        <f t="shared" si="58"/>
        <v>High</v>
      </c>
      <c r="P918">
        <f t="shared" si="59"/>
        <v>9600</v>
      </c>
      <c r="Q918" s="2">
        <f t="shared" si="60"/>
        <v>0.46153846153846156</v>
      </c>
    </row>
    <row r="919" spans="1:17" x14ac:dyDescent="0.3">
      <c r="A919" s="3">
        <v>40</v>
      </c>
      <c r="B919" s="3">
        <v>19</v>
      </c>
      <c r="C919" s="6">
        <v>5</v>
      </c>
      <c r="D919" t="s">
        <v>20</v>
      </c>
      <c r="E919" s="3">
        <v>5500</v>
      </c>
      <c r="F919" s="6">
        <v>4.9000000000000004</v>
      </c>
      <c r="G919" t="s">
        <v>14</v>
      </c>
      <c r="H919" s="2">
        <v>0.9</v>
      </c>
      <c r="I919" s="3">
        <v>700</v>
      </c>
      <c r="J919" s="3" t="str">
        <f t="shared" si="57"/>
        <v>Low Price</v>
      </c>
      <c r="K919" t="s">
        <v>9</v>
      </c>
      <c r="L919" t="s">
        <v>33</v>
      </c>
      <c r="M919" t="s">
        <v>18</v>
      </c>
      <c r="N919">
        <v>0.95</v>
      </c>
      <c r="O919" t="str">
        <f t="shared" si="58"/>
        <v>High</v>
      </c>
      <c r="P919">
        <f t="shared" si="59"/>
        <v>13300</v>
      </c>
      <c r="Q919" s="2">
        <f t="shared" si="60"/>
        <v>0.47499999999999998</v>
      </c>
    </row>
    <row r="920" spans="1:17" x14ac:dyDescent="0.3">
      <c r="A920" s="3">
        <v>16</v>
      </c>
      <c r="B920" s="3">
        <v>1</v>
      </c>
      <c r="C920" s="6">
        <v>3.1</v>
      </c>
      <c r="D920" t="s">
        <v>13</v>
      </c>
      <c r="E920" s="3">
        <v>450</v>
      </c>
      <c r="F920" s="6">
        <v>3</v>
      </c>
      <c r="G920" t="s">
        <v>66</v>
      </c>
      <c r="H920" s="2">
        <v>-0.2</v>
      </c>
      <c r="I920" s="3">
        <v>300</v>
      </c>
      <c r="J920" s="3" t="str">
        <f t="shared" si="57"/>
        <v>Low Price</v>
      </c>
      <c r="K920" t="s">
        <v>179</v>
      </c>
      <c r="L920" t="s">
        <v>29</v>
      </c>
      <c r="M920" t="s">
        <v>18</v>
      </c>
      <c r="N920">
        <v>0.4</v>
      </c>
      <c r="O920" t="str">
        <f t="shared" si="58"/>
        <v>Medium</v>
      </c>
      <c r="P920">
        <f t="shared" si="59"/>
        <v>300</v>
      </c>
      <c r="Q920" s="2">
        <f t="shared" si="60"/>
        <v>6.25E-2</v>
      </c>
    </row>
    <row r="921" spans="1:17" x14ac:dyDescent="0.3">
      <c r="A921" s="3">
        <v>27</v>
      </c>
      <c r="B921" s="3">
        <v>13</v>
      </c>
      <c r="C921" s="6">
        <v>4.7</v>
      </c>
      <c r="D921" t="s">
        <v>13</v>
      </c>
      <c r="E921" s="3">
        <v>8000</v>
      </c>
      <c r="F921" s="6">
        <v>4.8</v>
      </c>
      <c r="G921" t="s">
        <v>97</v>
      </c>
      <c r="H921" s="2">
        <v>0.8</v>
      </c>
      <c r="I921" s="3">
        <v>900</v>
      </c>
      <c r="J921" s="3" t="str">
        <f t="shared" si="57"/>
        <v>Low Price</v>
      </c>
      <c r="K921" t="s">
        <v>179</v>
      </c>
      <c r="L921" t="s">
        <v>33</v>
      </c>
      <c r="M921" t="s">
        <v>18</v>
      </c>
      <c r="N921">
        <v>0.9</v>
      </c>
      <c r="O921" t="str">
        <f t="shared" si="58"/>
        <v>High</v>
      </c>
      <c r="P921">
        <f t="shared" si="59"/>
        <v>11700</v>
      </c>
      <c r="Q921" s="2">
        <f t="shared" si="60"/>
        <v>0.48148148148148145</v>
      </c>
    </row>
    <row r="922" spans="1:17" x14ac:dyDescent="0.3">
      <c r="A922" s="3">
        <v>41</v>
      </c>
      <c r="B922" s="3">
        <v>20</v>
      </c>
      <c r="C922" s="6">
        <v>5</v>
      </c>
      <c r="D922" t="s">
        <v>20</v>
      </c>
      <c r="E922" s="3">
        <v>6000</v>
      </c>
      <c r="F922" s="6">
        <v>4.9000000000000004</v>
      </c>
      <c r="G922" t="s">
        <v>21</v>
      </c>
      <c r="H922" s="2">
        <v>0.9</v>
      </c>
      <c r="I922" s="3">
        <v>800</v>
      </c>
      <c r="J922" s="3" t="str">
        <f t="shared" si="57"/>
        <v>Low Price</v>
      </c>
      <c r="K922" t="s">
        <v>9</v>
      </c>
      <c r="L922" t="s">
        <v>33</v>
      </c>
      <c r="M922" t="s">
        <v>18</v>
      </c>
      <c r="N922">
        <v>0.95</v>
      </c>
      <c r="O922" t="str">
        <f t="shared" si="58"/>
        <v>High</v>
      </c>
      <c r="P922">
        <f t="shared" si="59"/>
        <v>16000</v>
      </c>
      <c r="Q922" s="2">
        <f t="shared" si="60"/>
        <v>0.48780487804878048</v>
      </c>
    </row>
    <row r="923" spans="1:17" x14ac:dyDescent="0.3">
      <c r="A923" s="3">
        <v>17</v>
      </c>
      <c r="B923" s="3">
        <v>2</v>
      </c>
      <c r="C923" s="6">
        <v>3.2</v>
      </c>
      <c r="D923" t="s">
        <v>13</v>
      </c>
      <c r="E923" s="3">
        <v>500</v>
      </c>
      <c r="F923" s="6">
        <v>3.1</v>
      </c>
      <c r="G923" t="s">
        <v>66</v>
      </c>
      <c r="H923" s="2">
        <v>-0.1</v>
      </c>
      <c r="I923" s="3">
        <v>400</v>
      </c>
      <c r="J923" s="3" t="str">
        <f t="shared" si="57"/>
        <v>Low Price</v>
      </c>
      <c r="K923" t="s">
        <v>179</v>
      </c>
      <c r="L923" t="s">
        <v>29</v>
      </c>
      <c r="M923" t="s">
        <v>18</v>
      </c>
      <c r="N923">
        <v>0.4</v>
      </c>
      <c r="O923" t="str">
        <f t="shared" si="58"/>
        <v>Medium</v>
      </c>
      <c r="P923">
        <f t="shared" si="59"/>
        <v>800</v>
      </c>
      <c r="Q923" s="2">
        <f t="shared" si="60"/>
        <v>0.11764705882352941</v>
      </c>
    </row>
    <row r="924" spans="1:17" x14ac:dyDescent="0.3">
      <c r="A924" s="3">
        <v>28</v>
      </c>
      <c r="B924" s="3">
        <v>14</v>
      </c>
      <c r="C924" s="6">
        <v>4.8</v>
      </c>
      <c r="D924" t="s">
        <v>13</v>
      </c>
      <c r="E924" s="3">
        <v>8500</v>
      </c>
      <c r="F924" s="6">
        <v>4.7</v>
      </c>
      <c r="G924" t="s">
        <v>95</v>
      </c>
      <c r="H924" s="2">
        <v>0.8</v>
      </c>
      <c r="I924" s="3">
        <v>800</v>
      </c>
      <c r="J924" s="3" t="str">
        <f t="shared" si="57"/>
        <v>Low Price</v>
      </c>
      <c r="K924" t="s">
        <v>179</v>
      </c>
      <c r="L924" t="s">
        <v>33</v>
      </c>
      <c r="M924" t="s">
        <v>25</v>
      </c>
      <c r="N924">
        <v>0.9</v>
      </c>
      <c r="O924" t="str">
        <f t="shared" si="58"/>
        <v>High</v>
      </c>
      <c r="P924">
        <f t="shared" si="59"/>
        <v>11200</v>
      </c>
      <c r="Q924" s="2">
        <f t="shared" si="60"/>
        <v>0.5</v>
      </c>
    </row>
    <row r="925" spans="1:17" x14ac:dyDescent="0.3">
      <c r="A925" s="3">
        <v>42</v>
      </c>
      <c r="B925" s="3">
        <v>21</v>
      </c>
      <c r="C925" s="6">
        <v>5</v>
      </c>
      <c r="D925" t="s">
        <v>20</v>
      </c>
      <c r="E925" s="3">
        <v>5500</v>
      </c>
      <c r="F925" s="6">
        <v>4.9000000000000004</v>
      </c>
      <c r="G925" t="s">
        <v>14</v>
      </c>
      <c r="H925" s="2">
        <v>0.9</v>
      </c>
      <c r="I925" s="3">
        <v>700</v>
      </c>
      <c r="J925" s="3" t="str">
        <f t="shared" si="57"/>
        <v>Low Price</v>
      </c>
      <c r="K925" t="s">
        <v>9</v>
      </c>
      <c r="L925" t="s">
        <v>33</v>
      </c>
      <c r="M925" t="s">
        <v>18</v>
      </c>
      <c r="N925">
        <v>0.95</v>
      </c>
      <c r="O925" t="str">
        <f t="shared" si="58"/>
        <v>High</v>
      </c>
      <c r="P925">
        <f t="shared" si="59"/>
        <v>14700</v>
      </c>
      <c r="Q925" s="2">
        <f t="shared" si="60"/>
        <v>0.5</v>
      </c>
    </row>
    <row r="926" spans="1:17" x14ac:dyDescent="0.3">
      <c r="A926" s="3">
        <v>18</v>
      </c>
      <c r="B926" s="3">
        <v>3</v>
      </c>
      <c r="C926" s="6">
        <v>3.3</v>
      </c>
      <c r="D926" t="s">
        <v>13</v>
      </c>
      <c r="E926" s="3">
        <v>550</v>
      </c>
      <c r="F926" s="6">
        <v>3.2</v>
      </c>
      <c r="G926" t="s">
        <v>66</v>
      </c>
      <c r="H926" s="2">
        <v>0</v>
      </c>
      <c r="I926" s="3">
        <v>400</v>
      </c>
      <c r="J926" s="3" t="str">
        <f t="shared" si="57"/>
        <v>Low Price</v>
      </c>
      <c r="K926" t="s">
        <v>179</v>
      </c>
      <c r="L926" t="s">
        <v>29</v>
      </c>
      <c r="M926" t="s">
        <v>18</v>
      </c>
      <c r="N926">
        <v>0.4</v>
      </c>
      <c r="O926" t="str">
        <f t="shared" si="58"/>
        <v>Medium</v>
      </c>
      <c r="P926">
        <f t="shared" si="59"/>
        <v>1200</v>
      </c>
      <c r="Q926" s="2">
        <f t="shared" si="60"/>
        <v>0.16666666666666666</v>
      </c>
    </row>
    <row r="927" spans="1:17" x14ac:dyDescent="0.3">
      <c r="A927" s="3">
        <v>29</v>
      </c>
      <c r="B927" s="3">
        <v>15</v>
      </c>
      <c r="C927" s="6">
        <v>4.9000000000000004</v>
      </c>
      <c r="D927" t="s">
        <v>13</v>
      </c>
      <c r="E927" s="3">
        <v>6500</v>
      </c>
      <c r="F927" s="6">
        <v>4.8</v>
      </c>
      <c r="G927" t="s">
        <v>21</v>
      </c>
      <c r="H927" s="2">
        <v>0.9</v>
      </c>
      <c r="I927" s="3">
        <v>800</v>
      </c>
      <c r="J927" s="3" t="str">
        <f t="shared" si="57"/>
        <v>Low Price</v>
      </c>
      <c r="K927" t="s">
        <v>179</v>
      </c>
      <c r="L927" t="s">
        <v>17</v>
      </c>
      <c r="M927" t="s">
        <v>18</v>
      </c>
      <c r="N927">
        <v>0.95</v>
      </c>
      <c r="O927" t="str">
        <f t="shared" si="58"/>
        <v>High</v>
      </c>
      <c r="P927">
        <f t="shared" si="59"/>
        <v>12000</v>
      </c>
      <c r="Q927" s="2">
        <f t="shared" si="60"/>
        <v>0.51724137931034486</v>
      </c>
    </row>
    <row r="928" spans="1:17" x14ac:dyDescent="0.3">
      <c r="A928" s="3">
        <v>43</v>
      </c>
      <c r="B928" s="3">
        <v>22</v>
      </c>
      <c r="C928" s="6">
        <v>5</v>
      </c>
      <c r="D928" t="s">
        <v>20</v>
      </c>
      <c r="E928" s="3">
        <v>6000</v>
      </c>
      <c r="F928" s="6">
        <v>4.9000000000000004</v>
      </c>
      <c r="G928" t="s">
        <v>21</v>
      </c>
      <c r="H928" s="2">
        <v>0.9</v>
      </c>
      <c r="I928" s="3">
        <v>800</v>
      </c>
      <c r="J928" s="3" t="str">
        <f t="shared" si="57"/>
        <v>Low Price</v>
      </c>
      <c r="K928" t="s">
        <v>9</v>
      </c>
      <c r="L928" t="s">
        <v>33</v>
      </c>
      <c r="M928" t="s">
        <v>18</v>
      </c>
      <c r="N928">
        <v>0.95</v>
      </c>
      <c r="O928" t="str">
        <f t="shared" si="58"/>
        <v>High</v>
      </c>
      <c r="P928">
        <f t="shared" si="59"/>
        <v>17600</v>
      </c>
      <c r="Q928" s="2">
        <f t="shared" si="60"/>
        <v>0.51162790697674421</v>
      </c>
    </row>
    <row r="929" spans="1:17" x14ac:dyDescent="0.3">
      <c r="A929" s="3">
        <v>19</v>
      </c>
      <c r="B929" s="3">
        <v>4</v>
      </c>
      <c r="C929" s="6">
        <v>3.4</v>
      </c>
      <c r="D929" t="s">
        <v>13</v>
      </c>
      <c r="E929" s="3">
        <v>600</v>
      </c>
      <c r="F929" s="6">
        <v>3.3</v>
      </c>
      <c r="G929" t="s">
        <v>66</v>
      </c>
      <c r="H929" s="2">
        <v>0.1</v>
      </c>
      <c r="I929" s="3">
        <v>400</v>
      </c>
      <c r="J929" s="3" t="str">
        <f t="shared" si="57"/>
        <v>Low Price</v>
      </c>
      <c r="K929" t="s">
        <v>179</v>
      </c>
      <c r="L929" t="s">
        <v>29</v>
      </c>
      <c r="M929" t="s">
        <v>18</v>
      </c>
      <c r="N929">
        <v>0.4</v>
      </c>
      <c r="O929" t="str">
        <f t="shared" si="58"/>
        <v>Medium</v>
      </c>
      <c r="P929">
        <f t="shared" si="59"/>
        <v>1600</v>
      </c>
      <c r="Q929" s="2">
        <f t="shared" si="60"/>
        <v>0.21052631578947367</v>
      </c>
    </row>
    <row r="930" spans="1:17" x14ac:dyDescent="0.3">
      <c r="A930" s="3">
        <v>30</v>
      </c>
      <c r="B930" s="3">
        <v>16</v>
      </c>
      <c r="C930" s="6">
        <v>4.9000000000000004</v>
      </c>
      <c r="D930" t="s">
        <v>13</v>
      </c>
      <c r="E930" s="3">
        <v>7000</v>
      </c>
      <c r="F930" s="6">
        <v>4.8</v>
      </c>
      <c r="G930" t="s">
        <v>21</v>
      </c>
      <c r="H930" s="2">
        <v>0.9</v>
      </c>
      <c r="I930" s="3">
        <v>800</v>
      </c>
      <c r="J930" s="3" t="str">
        <f t="shared" si="57"/>
        <v>Low Price</v>
      </c>
      <c r="K930" t="s">
        <v>179</v>
      </c>
      <c r="L930" t="s">
        <v>33</v>
      </c>
      <c r="M930" t="s">
        <v>18</v>
      </c>
      <c r="N930">
        <v>0.95</v>
      </c>
      <c r="O930" t="str">
        <f t="shared" si="58"/>
        <v>High</v>
      </c>
      <c r="P930">
        <f t="shared" si="59"/>
        <v>12800</v>
      </c>
      <c r="Q930" s="2">
        <f t="shared" si="60"/>
        <v>0.53333333333333333</v>
      </c>
    </row>
    <row r="931" spans="1:17" x14ac:dyDescent="0.3">
      <c r="A931" s="3">
        <v>44</v>
      </c>
      <c r="B931" s="3">
        <v>23</v>
      </c>
      <c r="C931" s="6">
        <v>5</v>
      </c>
      <c r="D931" t="s">
        <v>20</v>
      </c>
      <c r="E931" s="3">
        <v>5500</v>
      </c>
      <c r="F931" s="6">
        <v>4.9000000000000004</v>
      </c>
      <c r="G931" t="s">
        <v>14</v>
      </c>
      <c r="H931" s="2">
        <v>0.9</v>
      </c>
      <c r="I931" s="3">
        <v>700</v>
      </c>
      <c r="J931" s="3" t="str">
        <f t="shared" si="57"/>
        <v>Low Price</v>
      </c>
      <c r="K931" t="s">
        <v>9</v>
      </c>
      <c r="L931" t="s">
        <v>33</v>
      </c>
      <c r="M931" t="s">
        <v>18</v>
      </c>
      <c r="N931">
        <v>0.95</v>
      </c>
      <c r="O931" t="str">
        <f t="shared" si="58"/>
        <v>High</v>
      </c>
      <c r="P931">
        <f t="shared" si="59"/>
        <v>16100</v>
      </c>
      <c r="Q931" s="2">
        <f t="shared" si="60"/>
        <v>0.52272727272727271</v>
      </c>
    </row>
    <row r="932" spans="1:17" x14ac:dyDescent="0.3">
      <c r="A932" s="3">
        <v>20</v>
      </c>
      <c r="B932" s="3">
        <v>5</v>
      </c>
      <c r="C932" s="6">
        <v>3.5</v>
      </c>
      <c r="D932" t="s">
        <v>13</v>
      </c>
      <c r="E932" s="3">
        <v>650</v>
      </c>
      <c r="F932" s="6">
        <v>3.4</v>
      </c>
      <c r="G932" t="s">
        <v>66</v>
      </c>
      <c r="H932" s="2">
        <v>0.2</v>
      </c>
      <c r="I932" s="3">
        <v>400</v>
      </c>
      <c r="J932" s="3" t="str">
        <f t="shared" si="57"/>
        <v>Low Price</v>
      </c>
      <c r="K932" t="s">
        <v>179</v>
      </c>
      <c r="L932" t="s">
        <v>29</v>
      </c>
      <c r="M932" t="s">
        <v>18</v>
      </c>
      <c r="N932">
        <v>0.4</v>
      </c>
      <c r="O932" t="str">
        <f t="shared" si="58"/>
        <v>Medium</v>
      </c>
      <c r="P932">
        <f t="shared" si="59"/>
        <v>2000</v>
      </c>
      <c r="Q932" s="2">
        <f t="shared" si="60"/>
        <v>0.25</v>
      </c>
    </row>
    <row r="933" spans="1:17" x14ac:dyDescent="0.3">
      <c r="A933" s="3">
        <v>31</v>
      </c>
      <c r="B933" s="3">
        <v>17</v>
      </c>
      <c r="C933" s="6">
        <v>5</v>
      </c>
      <c r="D933" t="s">
        <v>13</v>
      </c>
      <c r="E933" s="3">
        <v>7500</v>
      </c>
      <c r="F933" s="6">
        <v>4.9000000000000004</v>
      </c>
      <c r="G933" t="s">
        <v>21</v>
      </c>
      <c r="H933" s="2">
        <v>0.9</v>
      </c>
      <c r="I933" s="3">
        <v>800</v>
      </c>
      <c r="J933" s="3" t="str">
        <f t="shared" si="57"/>
        <v>Low Price</v>
      </c>
      <c r="K933" t="s">
        <v>179</v>
      </c>
      <c r="L933" t="s">
        <v>33</v>
      </c>
      <c r="M933" t="s">
        <v>18</v>
      </c>
      <c r="N933">
        <v>0.95</v>
      </c>
      <c r="O933" t="str">
        <f t="shared" si="58"/>
        <v>High</v>
      </c>
      <c r="P933">
        <f t="shared" si="59"/>
        <v>13600</v>
      </c>
      <c r="Q933" s="2">
        <f t="shared" si="60"/>
        <v>0.54838709677419351</v>
      </c>
    </row>
    <row r="934" spans="1:17" x14ac:dyDescent="0.3">
      <c r="A934" s="3">
        <v>32</v>
      </c>
      <c r="B934" s="3">
        <v>8</v>
      </c>
      <c r="C934" s="6">
        <v>4.3</v>
      </c>
      <c r="D934" t="s">
        <v>13</v>
      </c>
      <c r="E934" s="3">
        <v>300</v>
      </c>
      <c r="F934" s="6">
        <v>4.5999999999999996</v>
      </c>
      <c r="G934" t="s">
        <v>27</v>
      </c>
      <c r="H934" s="2">
        <v>0.78</v>
      </c>
      <c r="I934" s="3">
        <v>430</v>
      </c>
      <c r="J934" s="3" t="str">
        <f t="shared" si="57"/>
        <v>Low Price</v>
      </c>
      <c r="K934" t="s">
        <v>179</v>
      </c>
      <c r="L934" t="s">
        <v>33</v>
      </c>
      <c r="M934" t="s">
        <v>18</v>
      </c>
      <c r="N934">
        <v>0.85</v>
      </c>
      <c r="O934" t="str">
        <f t="shared" si="58"/>
        <v>High</v>
      </c>
      <c r="P934">
        <f t="shared" si="59"/>
        <v>3440</v>
      </c>
      <c r="Q934" s="2">
        <f t="shared" si="60"/>
        <v>0.25</v>
      </c>
    </row>
    <row r="935" spans="1:17" x14ac:dyDescent="0.3">
      <c r="A935" s="3">
        <v>17</v>
      </c>
      <c r="B935" s="3">
        <v>5</v>
      </c>
      <c r="C935" s="6">
        <v>3.8</v>
      </c>
      <c r="D935" t="s">
        <v>20</v>
      </c>
      <c r="E935" s="3">
        <v>2000</v>
      </c>
      <c r="F935" s="6">
        <v>3.9</v>
      </c>
      <c r="G935" t="s">
        <v>39</v>
      </c>
      <c r="H935" s="2">
        <v>0.32</v>
      </c>
      <c r="I935" s="3">
        <v>600</v>
      </c>
      <c r="J935" s="3" t="str">
        <f t="shared" si="57"/>
        <v>Low Price</v>
      </c>
      <c r="K935" t="s">
        <v>9</v>
      </c>
      <c r="L935" t="s">
        <v>17</v>
      </c>
      <c r="M935" t="s">
        <v>25</v>
      </c>
      <c r="N935">
        <v>0.45</v>
      </c>
      <c r="O935" t="str">
        <f t="shared" si="58"/>
        <v>Medium</v>
      </c>
      <c r="P935">
        <f t="shared" si="59"/>
        <v>3000</v>
      </c>
      <c r="Q935" s="2">
        <f t="shared" si="60"/>
        <v>0.29411764705882354</v>
      </c>
    </row>
    <row r="936" spans="1:17" x14ac:dyDescent="0.3">
      <c r="A936" s="3">
        <v>6</v>
      </c>
      <c r="B936" s="3">
        <v>2</v>
      </c>
      <c r="C936" s="6">
        <v>4.5</v>
      </c>
      <c r="D936" t="s">
        <v>20</v>
      </c>
      <c r="E936" s="3">
        <v>500</v>
      </c>
      <c r="F936" s="6">
        <v>4.2</v>
      </c>
      <c r="G936" t="s">
        <v>66</v>
      </c>
      <c r="H936" s="2">
        <v>-0.1</v>
      </c>
      <c r="I936" s="3">
        <v>700</v>
      </c>
      <c r="J936" s="3" t="str">
        <f t="shared" si="57"/>
        <v>Low Price</v>
      </c>
      <c r="K936" t="s">
        <v>179</v>
      </c>
      <c r="L936" t="s">
        <v>24</v>
      </c>
      <c r="M936" t="s">
        <v>34</v>
      </c>
      <c r="N936">
        <v>0.62</v>
      </c>
      <c r="O936" t="str">
        <f t="shared" si="58"/>
        <v>Medium</v>
      </c>
      <c r="P936">
        <f t="shared" si="59"/>
        <v>1400</v>
      </c>
      <c r="Q936" s="2">
        <f t="shared" si="60"/>
        <v>0.33333333333333331</v>
      </c>
    </row>
    <row r="937" spans="1:17" x14ac:dyDescent="0.3">
      <c r="A937" s="3">
        <v>41</v>
      </c>
      <c r="B937" s="3">
        <v>12</v>
      </c>
      <c r="C937" s="6">
        <v>4.9000000000000004</v>
      </c>
      <c r="D937" t="s">
        <v>13</v>
      </c>
      <c r="E937" s="3">
        <v>800</v>
      </c>
      <c r="F937" s="6">
        <v>4.8</v>
      </c>
      <c r="G937" t="s">
        <v>42</v>
      </c>
      <c r="H937" s="2">
        <v>0.92</v>
      </c>
      <c r="I937" s="3">
        <v>900</v>
      </c>
      <c r="J937" s="3" t="str">
        <f t="shared" si="57"/>
        <v>Low Price</v>
      </c>
      <c r="K937" t="s">
        <v>179</v>
      </c>
      <c r="L937" t="s">
        <v>17</v>
      </c>
      <c r="M937" t="s">
        <v>18</v>
      </c>
      <c r="N937">
        <v>0.91</v>
      </c>
      <c r="O937" t="str">
        <f t="shared" si="58"/>
        <v>High</v>
      </c>
      <c r="P937">
        <f t="shared" si="59"/>
        <v>10800</v>
      </c>
      <c r="Q937" s="2">
        <f t="shared" si="60"/>
        <v>0.29268292682926828</v>
      </c>
    </row>
    <row r="938" spans="1:17" x14ac:dyDescent="0.3">
      <c r="A938" s="3">
        <v>23</v>
      </c>
      <c r="B938" s="3">
        <v>6</v>
      </c>
      <c r="C938" s="6">
        <v>4.0999999999999996</v>
      </c>
      <c r="D938" t="s">
        <v>20</v>
      </c>
      <c r="E938" s="3">
        <v>3000</v>
      </c>
      <c r="F938" s="6">
        <v>3.7</v>
      </c>
      <c r="G938" t="s">
        <v>83</v>
      </c>
      <c r="H938" s="2">
        <v>0.6</v>
      </c>
      <c r="I938" s="3">
        <v>700</v>
      </c>
      <c r="J938" s="3" t="str">
        <f t="shared" si="57"/>
        <v>Low Price</v>
      </c>
      <c r="K938" t="s">
        <v>9</v>
      </c>
      <c r="L938" t="s">
        <v>33</v>
      </c>
      <c r="M938" t="s">
        <v>25</v>
      </c>
      <c r="N938">
        <v>0.55000000000000004</v>
      </c>
      <c r="O938" t="str">
        <f t="shared" si="58"/>
        <v>Medium</v>
      </c>
      <c r="P938">
        <f t="shared" si="59"/>
        <v>4200</v>
      </c>
      <c r="Q938" s="2">
        <f t="shared" si="60"/>
        <v>0.2608695652173913</v>
      </c>
    </row>
    <row r="939" spans="1:17" x14ac:dyDescent="0.3">
      <c r="A939" s="3">
        <v>8</v>
      </c>
      <c r="B939" s="3">
        <v>3</v>
      </c>
      <c r="C939" s="6">
        <v>4</v>
      </c>
      <c r="D939" t="s">
        <v>20</v>
      </c>
      <c r="E939" s="3">
        <v>200</v>
      </c>
      <c r="F939" s="6">
        <v>4</v>
      </c>
      <c r="G939" t="s">
        <v>47</v>
      </c>
      <c r="H939" s="2">
        <v>-0.05</v>
      </c>
      <c r="I939" s="3">
        <v>800</v>
      </c>
      <c r="J939" s="3" t="str">
        <f t="shared" si="57"/>
        <v>Low Price</v>
      </c>
      <c r="K939" t="s">
        <v>179</v>
      </c>
      <c r="L939" t="s">
        <v>24</v>
      </c>
      <c r="M939" t="s">
        <v>18</v>
      </c>
      <c r="N939">
        <v>0.33</v>
      </c>
      <c r="O939" t="str">
        <f t="shared" si="58"/>
        <v>Low</v>
      </c>
      <c r="P939">
        <f t="shared" si="59"/>
        <v>2400</v>
      </c>
      <c r="Q939" s="2">
        <f t="shared" si="60"/>
        <v>0.375</v>
      </c>
    </row>
    <row r="940" spans="1:17" x14ac:dyDescent="0.3">
      <c r="A940" s="3">
        <v>47</v>
      </c>
      <c r="B940" s="3">
        <v>15</v>
      </c>
      <c r="C940" s="6">
        <v>4.7</v>
      </c>
      <c r="D940" t="s">
        <v>13</v>
      </c>
      <c r="E940" s="3">
        <v>1000</v>
      </c>
      <c r="F940" s="6">
        <v>4.9000000000000004</v>
      </c>
      <c r="G940" t="s">
        <v>95</v>
      </c>
      <c r="H940" s="2">
        <v>0.85</v>
      </c>
      <c r="I940" s="3">
        <v>500</v>
      </c>
      <c r="J940" s="3" t="str">
        <f t="shared" si="57"/>
        <v>Low Price</v>
      </c>
      <c r="K940" t="s">
        <v>9</v>
      </c>
      <c r="L940" t="s">
        <v>17</v>
      </c>
      <c r="M940" t="s">
        <v>34</v>
      </c>
      <c r="N940">
        <v>0.72</v>
      </c>
      <c r="O940" t="str">
        <f t="shared" si="58"/>
        <v>Medium</v>
      </c>
      <c r="P940">
        <f t="shared" si="59"/>
        <v>7500</v>
      </c>
      <c r="Q940" s="2">
        <f t="shared" si="60"/>
        <v>0.31914893617021278</v>
      </c>
    </row>
    <row r="941" spans="1:17" x14ac:dyDescent="0.3">
      <c r="A941" s="3">
        <v>12</v>
      </c>
      <c r="B941" s="3">
        <v>4</v>
      </c>
      <c r="C941" s="6">
        <v>3.5</v>
      </c>
      <c r="D941" t="s">
        <v>20</v>
      </c>
      <c r="E941" s="3">
        <v>1000</v>
      </c>
      <c r="F941" s="6">
        <v>3.2</v>
      </c>
      <c r="G941" t="s">
        <v>31</v>
      </c>
      <c r="H941" s="2">
        <v>-0.8</v>
      </c>
      <c r="I941" s="3">
        <v>400</v>
      </c>
      <c r="J941" s="3" t="str">
        <f t="shared" si="57"/>
        <v>Low Price</v>
      </c>
      <c r="K941" t="s">
        <v>179</v>
      </c>
      <c r="L941" t="s">
        <v>29</v>
      </c>
      <c r="M941" t="s">
        <v>18</v>
      </c>
      <c r="N941">
        <v>0.15</v>
      </c>
      <c r="O941" t="str">
        <f t="shared" si="58"/>
        <v>Low</v>
      </c>
      <c r="P941">
        <f t="shared" si="59"/>
        <v>1600</v>
      </c>
      <c r="Q941" s="2">
        <f t="shared" si="60"/>
        <v>0.33333333333333331</v>
      </c>
    </row>
    <row r="942" spans="1:17" x14ac:dyDescent="0.3">
      <c r="A942" s="3">
        <v>38</v>
      </c>
      <c r="B942" s="3">
        <v>11</v>
      </c>
      <c r="C942" s="6">
        <v>4.5999999999999996</v>
      </c>
      <c r="D942" t="s">
        <v>13</v>
      </c>
      <c r="E942" s="3">
        <v>4000</v>
      </c>
      <c r="F942" s="6">
        <v>4.7</v>
      </c>
      <c r="G942" t="s">
        <v>80</v>
      </c>
      <c r="H942" s="2">
        <v>0.75</v>
      </c>
      <c r="I942" s="3">
        <v>1000</v>
      </c>
      <c r="J942" s="3" t="str">
        <f t="shared" si="57"/>
        <v>Medium Price</v>
      </c>
      <c r="K942" t="s">
        <v>179</v>
      </c>
      <c r="L942" t="s">
        <v>17</v>
      </c>
      <c r="M942" t="s">
        <v>25</v>
      </c>
      <c r="N942">
        <v>0.82</v>
      </c>
      <c r="O942" t="str">
        <f t="shared" si="58"/>
        <v>High</v>
      </c>
      <c r="P942">
        <f t="shared" si="59"/>
        <v>11000</v>
      </c>
      <c r="Q942" s="2">
        <f t="shared" si="60"/>
        <v>0.28947368421052633</v>
      </c>
    </row>
    <row r="943" spans="1:17" x14ac:dyDescent="0.3">
      <c r="A943" s="3">
        <v>5</v>
      </c>
      <c r="B943" s="3">
        <v>1</v>
      </c>
      <c r="C943" s="6">
        <v>2.9</v>
      </c>
      <c r="D943" t="s">
        <v>20</v>
      </c>
      <c r="E943" s="3">
        <v>100</v>
      </c>
      <c r="F943" s="6">
        <v>3.5</v>
      </c>
      <c r="G943" t="s">
        <v>74</v>
      </c>
      <c r="H943" s="2">
        <v>-0.6</v>
      </c>
      <c r="I943" s="3">
        <v>300</v>
      </c>
      <c r="J943" s="3" t="str">
        <f t="shared" si="57"/>
        <v>Low Price</v>
      </c>
      <c r="K943" t="s">
        <v>179</v>
      </c>
      <c r="L943" t="s">
        <v>33</v>
      </c>
      <c r="M943" t="s">
        <v>34</v>
      </c>
      <c r="N943">
        <v>7.0000000000000007E-2</v>
      </c>
      <c r="O943" t="str">
        <f t="shared" si="58"/>
        <v>Low</v>
      </c>
      <c r="P943">
        <f t="shared" si="59"/>
        <v>300</v>
      </c>
      <c r="Q943" s="2">
        <f t="shared" si="60"/>
        <v>0.2</v>
      </c>
    </row>
    <row r="944" spans="1:17" x14ac:dyDescent="0.3">
      <c r="A944" s="3">
        <v>29</v>
      </c>
      <c r="B944" s="3">
        <v>9</v>
      </c>
      <c r="C944" s="6">
        <v>4.4000000000000004</v>
      </c>
      <c r="D944" t="s">
        <v>13</v>
      </c>
      <c r="E944" s="3">
        <v>700</v>
      </c>
      <c r="F944" s="6">
        <v>4.5</v>
      </c>
      <c r="G944" t="s">
        <v>21</v>
      </c>
      <c r="H944" s="2">
        <v>0.5</v>
      </c>
      <c r="I944" s="3">
        <v>600</v>
      </c>
      <c r="J944" s="3" t="str">
        <f t="shared" si="57"/>
        <v>Low Price</v>
      </c>
      <c r="K944" t="s">
        <v>179</v>
      </c>
      <c r="L944" t="s">
        <v>17</v>
      </c>
      <c r="M944" t="s">
        <v>25</v>
      </c>
      <c r="N944">
        <v>0.68</v>
      </c>
      <c r="O944" t="str">
        <f t="shared" si="58"/>
        <v>Medium</v>
      </c>
      <c r="P944">
        <f t="shared" si="59"/>
        <v>5400</v>
      </c>
      <c r="Q944" s="2">
        <f t="shared" si="60"/>
        <v>0.31034482758620691</v>
      </c>
    </row>
    <row r="945" spans="1:17" x14ac:dyDescent="0.3">
      <c r="A945" s="3">
        <v>11</v>
      </c>
      <c r="B945" s="3">
        <v>3</v>
      </c>
      <c r="C945" s="6">
        <v>3.7</v>
      </c>
      <c r="D945" t="s">
        <v>13</v>
      </c>
      <c r="E945" s="3">
        <v>300</v>
      </c>
      <c r="F945" s="6">
        <v>3.8</v>
      </c>
      <c r="G945" t="s">
        <v>55</v>
      </c>
      <c r="H945" s="2">
        <v>0.1</v>
      </c>
      <c r="I945" s="3">
        <v>200</v>
      </c>
      <c r="J945" s="3" t="str">
        <f t="shared" si="57"/>
        <v>Low Price</v>
      </c>
      <c r="K945" t="s">
        <v>9</v>
      </c>
      <c r="L945" t="s">
        <v>29</v>
      </c>
      <c r="M945" t="s">
        <v>18</v>
      </c>
      <c r="N945">
        <v>0.42</v>
      </c>
      <c r="O945" t="str">
        <f t="shared" si="58"/>
        <v>Medium</v>
      </c>
      <c r="P945">
        <f t="shared" si="59"/>
        <v>600</v>
      </c>
      <c r="Q945" s="2">
        <f t="shared" si="60"/>
        <v>0.27272727272727271</v>
      </c>
    </row>
    <row r="946" spans="1:17" x14ac:dyDescent="0.3">
      <c r="A946" s="3">
        <v>44</v>
      </c>
      <c r="B946" s="3">
        <v>18</v>
      </c>
      <c r="C946" s="6">
        <v>4.8</v>
      </c>
      <c r="D946" t="s">
        <v>13</v>
      </c>
      <c r="E946" s="3">
        <v>6000</v>
      </c>
      <c r="F946" s="6">
        <v>4.9000000000000004</v>
      </c>
      <c r="G946" t="s">
        <v>44</v>
      </c>
      <c r="H946" s="2">
        <v>0.88</v>
      </c>
      <c r="I946" s="3">
        <v>700</v>
      </c>
      <c r="J946" s="3" t="str">
        <f t="shared" si="57"/>
        <v>Low Price</v>
      </c>
      <c r="K946" t="s">
        <v>9</v>
      </c>
      <c r="L946" t="s">
        <v>17</v>
      </c>
      <c r="M946" t="s">
        <v>34</v>
      </c>
      <c r="N946">
        <v>0.89</v>
      </c>
      <c r="O946" t="str">
        <f t="shared" si="58"/>
        <v>High</v>
      </c>
      <c r="P946">
        <f t="shared" si="59"/>
        <v>12600</v>
      </c>
      <c r="Q946" s="2">
        <f t="shared" si="60"/>
        <v>0.40909090909090912</v>
      </c>
    </row>
    <row r="947" spans="1:17" x14ac:dyDescent="0.3">
      <c r="A947" s="3">
        <v>9</v>
      </c>
      <c r="B947" s="3">
        <v>2</v>
      </c>
      <c r="C947" s="6">
        <v>3</v>
      </c>
      <c r="D947" t="s">
        <v>20</v>
      </c>
      <c r="E947" s="3">
        <v>1000</v>
      </c>
      <c r="F947" s="6">
        <v>3.1</v>
      </c>
      <c r="G947" t="s">
        <v>128</v>
      </c>
      <c r="H947" s="2">
        <v>-0.3</v>
      </c>
      <c r="I947" s="3">
        <v>900</v>
      </c>
      <c r="J947" s="3" t="str">
        <f t="shared" si="57"/>
        <v>Low Price</v>
      </c>
      <c r="K947" t="s">
        <v>9</v>
      </c>
      <c r="L947" t="s">
        <v>29</v>
      </c>
      <c r="M947" t="s">
        <v>18</v>
      </c>
      <c r="N947">
        <v>0.25</v>
      </c>
      <c r="O947" t="str">
        <f t="shared" si="58"/>
        <v>Low</v>
      </c>
      <c r="P947">
        <f t="shared" si="59"/>
        <v>1800</v>
      </c>
      <c r="Q947" s="2">
        <f t="shared" si="60"/>
        <v>0.22222222222222221</v>
      </c>
    </row>
    <row r="948" spans="1:17" x14ac:dyDescent="0.3">
      <c r="A948" s="3">
        <v>36</v>
      </c>
      <c r="B948" s="3">
        <v>10</v>
      </c>
      <c r="C948" s="6">
        <v>4.2</v>
      </c>
      <c r="D948" t="s">
        <v>13</v>
      </c>
      <c r="E948" s="3">
        <v>2000</v>
      </c>
      <c r="F948" s="6">
        <v>4.3</v>
      </c>
      <c r="G948" t="s">
        <v>14</v>
      </c>
      <c r="H948" s="2">
        <v>0.65</v>
      </c>
      <c r="I948" s="3">
        <v>2000</v>
      </c>
      <c r="J948" s="3" t="str">
        <f t="shared" si="57"/>
        <v>Medium Price</v>
      </c>
      <c r="K948" t="s">
        <v>9</v>
      </c>
      <c r="L948" t="s">
        <v>33</v>
      </c>
      <c r="M948" t="s">
        <v>18</v>
      </c>
      <c r="N948">
        <v>0.78</v>
      </c>
      <c r="O948" t="str">
        <f t="shared" si="58"/>
        <v>Medium</v>
      </c>
      <c r="P948">
        <f t="shared" si="59"/>
        <v>20000</v>
      </c>
      <c r="Q948" s="2">
        <f t="shared" si="60"/>
        <v>0.27777777777777779</v>
      </c>
    </row>
    <row r="949" spans="1:17" x14ac:dyDescent="0.3">
      <c r="A949" s="3">
        <v>20</v>
      </c>
      <c r="B949" s="3">
        <v>7</v>
      </c>
      <c r="C949" s="6">
        <v>4</v>
      </c>
      <c r="D949" t="s">
        <v>20</v>
      </c>
      <c r="E949" s="3">
        <v>7000</v>
      </c>
      <c r="F949" s="6">
        <v>4.4000000000000004</v>
      </c>
      <c r="G949" t="s">
        <v>60</v>
      </c>
      <c r="H949" s="2">
        <v>0.55000000000000004</v>
      </c>
      <c r="I949" s="3">
        <v>10000</v>
      </c>
      <c r="J949" s="3" t="str">
        <f t="shared" si="57"/>
        <v>High Price</v>
      </c>
      <c r="K949" t="s">
        <v>179</v>
      </c>
      <c r="L949" t="s">
        <v>17</v>
      </c>
      <c r="M949" t="s">
        <v>18</v>
      </c>
      <c r="N949">
        <v>0.95</v>
      </c>
      <c r="O949" t="str">
        <f t="shared" si="58"/>
        <v>High</v>
      </c>
      <c r="P949">
        <f t="shared" si="59"/>
        <v>70000</v>
      </c>
      <c r="Q949" s="2">
        <f t="shared" si="60"/>
        <v>0.35</v>
      </c>
    </row>
    <row r="950" spans="1:17" x14ac:dyDescent="0.3">
      <c r="A950" s="3">
        <v>3</v>
      </c>
      <c r="B950" s="3">
        <v>0</v>
      </c>
      <c r="C950" s="6">
        <v>2.5</v>
      </c>
      <c r="D950" t="s">
        <v>13</v>
      </c>
      <c r="E950" s="3">
        <v>100</v>
      </c>
      <c r="F950" s="6">
        <v>2</v>
      </c>
      <c r="G950" t="s">
        <v>70</v>
      </c>
      <c r="H950" s="2">
        <v>-0.9</v>
      </c>
      <c r="I950" s="3">
        <v>100</v>
      </c>
      <c r="J950" s="3" t="str">
        <f t="shared" si="57"/>
        <v>Low Price</v>
      </c>
      <c r="K950" t="s">
        <v>9</v>
      </c>
      <c r="L950" t="s">
        <v>33</v>
      </c>
      <c r="M950" t="s">
        <v>25</v>
      </c>
      <c r="N950">
        <v>0.01</v>
      </c>
      <c r="O950" t="str">
        <f t="shared" si="58"/>
        <v>Low</v>
      </c>
      <c r="P950">
        <f t="shared" si="59"/>
        <v>0</v>
      </c>
      <c r="Q950" s="2">
        <f t="shared" si="60"/>
        <v>0</v>
      </c>
    </row>
    <row r="951" spans="1:17" x14ac:dyDescent="0.3">
      <c r="A951" s="3">
        <v>27</v>
      </c>
      <c r="B951" s="3">
        <v>8</v>
      </c>
      <c r="C951" s="6">
        <v>4.7</v>
      </c>
      <c r="D951" t="s">
        <v>20</v>
      </c>
      <c r="E951" s="3">
        <v>900</v>
      </c>
      <c r="F951" s="6">
        <v>4.5999999999999996</v>
      </c>
      <c r="G951" t="s">
        <v>39</v>
      </c>
      <c r="H951" s="2">
        <v>0.72</v>
      </c>
      <c r="I951" s="3">
        <v>900</v>
      </c>
      <c r="J951" s="3" t="str">
        <f t="shared" si="57"/>
        <v>Low Price</v>
      </c>
      <c r="K951" t="s">
        <v>179</v>
      </c>
      <c r="L951" t="s">
        <v>17</v>
      </c>
      <c r="M951" t="s">
        <v>25</v>
      </c>
      <c r="N951">
        <v>0.88</v>
      </c>
      <c r="O951" t="str">
        <f t="shared" si="58"/>
        <v>High</v>
      </c>
      <c r="P951">
        <f t="shared" si="59"/>
        <v>7200</v>
      </c>
      <c r="Q951" s="2">
        <f t="shared" si="60"/>
        <v>0.29629629629629628</v>
      </c>
    </row>
    <row r="952" spans="1:17" x14ac:dyDescent="0.3">
      <c r="A952" s="3">
        <v>14</v>
      </c>
      <c r="B952" s="3">
        <v>5</v>
      </c>
      <c r="C952" s="6">
        <v>3.6</v>
      </c>
      <c r="D952" t="s">
        <v>20</v>
      </c>
      <c r="E952" s="3">
        <v>400</v>
      </c>
      <c r="F952" s="6">
        <v>3.6</v>
      </c>
      <c r="G952" t="s">
        <v>48</v>
      </c>
      <c r="H952" s="2">
        <v>0.2</v>
      </c>
      <c r="I952" s="3">
        <v>700</v>
      </c>
      <c r="J952" s="3" t="str">
        <f t="shared" si="57"/>
        <v>Low Price</v>
      </c>
      <c r="K952" t="s">
        <v>179</v>
      </c>
      <c r="L952" t="s">
        <v>33</v>
      </c>
      <c r="M952" t="s">
        <v>18</v>
      </c>
      <c r="N952">
        <v>0.48</v>
      </c>
      <c r="O952" t="str">
        <f t="shared" si="58"/>
        <v>Medium</v>
      </c>
      <c r="P952">
        <f t="shared" si="59"/>
        <v>3500</v>
      </c>
      <c r="Q952" s="2">
        <f t="shared" si="60"/>
        <v>0.35714285714285715</v>
      </c>
    </row>
    <row r="953" spans="1:17" x14ac:dyDescent="0.3">
      <c r="A953" s="3">
        <v>49</v>
      </c>
      <c r="B953" s="3">
        <v>19</v>
      </c>
      <c r="C953" s="6">
        <v>4.9000000000000004</v>
      </c>
      <c r="D953" t="s">
        <v>13</v>
      </c>
      <c r="E953" s="3">
        <v>5000</v>
      </c>
      <c r="F953" s="6">
        <v>4.8</v>
      </c>
      <c r="G953" t="s">
        <v>69</v>
      </c>
      <c r="H953" s="2">
        <v>0.82</v>
      </c>
      <c r="I953" s="3">
        <v>1000</v>
      </c>
      <c r="J953" s="3" t="str">
        <f t="shared" si="57"/>
        <v>Medium Price</v>
      </c>
      <c r="K953" t="s">
        <v>9</v>
      </c>
      <c r="L953" t="s">
        <v>17</v>
      </c>
      <c r="M953" t="s">
        <v>18</v>
      </c>
      <c r="N953">
        <v>0.85</v>
      </c>
      <c r="O953" t="str">
        <f t="shared" si="58"/>
        <v>High</v>
      </c>
      <c r="P953">
        <f t="shared" si="59"/>
        <v>19000</v>
      </c>
      <c r="Q953" s="2">
        <f t="shared" si="60"/>
        <v>0.38775510204081631</v>
      </c>
    </row>
    <row r="954" spans="1:17" x14ac:dyDescent="0.3">
      <c r="A954" s="3">
        <v>21</v>
      </c>
      <c r="B954" s="3">
        <v>6</v>
      </c>
      <c r="C954" s="6">
        <v>4.3</v>
      </c>
      <c r="D954" t="s">
        <v>13</v>
      </c>
      <c r="E954" s="3">
        <v>600</v>
      </c>
      <c r="F954" s="6">
        <v>4</v>
      </c>
      <c r="G954" t="s">
        <v>66</v>
      </c>
      <c r="H954" s="2">
        <v>0.3</v>
      </c>
      <c r="I954" s="3">
        <v>300</v>
      </c>
      <c r="J954" s="3" t="str">
        <f t="shared" si="57"/>
        <v>Low Price</v>
      </c>
      <c r="K954" t="s">
        <v>179</v>
      </c>
      <c r="L954" t="s">
        <v>29</v>
      </c>
      <c r="M954" t="s">
        <v>18</v>
      </c>
      <c r="N954">
        <v>0.57999999999999996</v>
      </c>
      <c r="O954" t="str">
        <f t="shared" si="58"/>
        <v>Medium</v>
      </c>
      <c r="P954">
        <f t="shared" si="59"/>
        <v>1800</v>
      </c>
      <c r="Q954" s="2">
        <f t="shared" si="60"/>
        <v>0.2857142857142857</v>
      </c>
    </row>
    <row r="955" spans="1:17" x14ac:dyDescent="0.3">
      <c r="A955" s="3">
        <v>33</v>
      </c>
      <c r="B955" s="3">
        <v>10</v>
      </c>
      <c r="C955" s="6">
        <v>4.5</v>
      </c>
      <c r="D955" t="s">
        <v>20</v>
      </c>
      <c r="E955" s="3">
        <v>2500</v>
      </c>
      <c r="F955" s="6">
        <v>4.7</v>
      </c>
      <c r="G955" t="s">
        <v>72</v>
      </c>
      <c r="H955" s="2">
        <v>0.68</v>
      </c>
      <c r="I955" s="3">
        <v>3000</v>
      </c>
      <c r="J955" s="3" t="str">
        <f t="shared" si="57"/>
        <v>Medium Price</v>
      </c>
      <c r="K955" t="s">
        <v>9</v>
      </c>
      <c r="L955" t="s">
        <v>33</v>
      </c>
      <c r="M955" t="s">
        <v>18</v>
      </c>
      <c r="N955">
        <v>0.83</v>
      </c>
      <c r="O955" t="str">
        <f t="shared" si="58"/>
        <v>High</v>
      </c>
      <c r="P955">
        <f t="shared" si="59"/>
        <v>30000</v>
      </c>
      <c r="Q955" s="2">
        <f t="shared" si="60"/>
        <v>0.30303030303030304</v>
      </c>
    </row>
    <row r="956" spans="1:17" x14ac:dyDescent="0.3">
      <c r="A956" s="3">
        <v>7</v>
      </c>
      <c r="B956" s="3">
        <v>2</v>
      </c>
      <c r="C956" s="6">
        <v>3.2</v>
      </c>
      <c r="D956" t="s">
        <v>13</v>
      </c>
      <c r="E956" s="3">
        <v>100</v>
      </c>
      <c r="F956" s="6">
        <v>3</v>
      </c>
      <c r="G956" t="s">
        <v>53</v>
      </c>
      <c r="H956" s="2">
        <v>-0.5</v>
      </c>
      <c r="I956" s="3">
        <v>100</v>
      </c>
      <c r="J956" s="3" t="str">
        <f t="shared" si="57"/>
        <v>Low Price</v>
      </c>
      <c r="K956" t="s">
        <v>9</v>
      </c>
      <c r="L956" t="s">
        <v>33</v>
      </c>
      <c r="M956" t="s">
        <v>34</v>
      </c>
      <c r="N956">
        <v>0.04</v>
      </c>
      <c r="O956" t="str">
        <f t="shared" si="58"/>
        <v>Low</v>
      </c>
      <c r="P956">
        <f t="shared" si="59"/>
        <v>200</v>
      </c>
      <c r="Q956" s="2">
        <f t="shared" si="60"/>
        <v>0.2857142857142857</v>
      </c>
    </row>
    <row r="957" spans="1:17" x14ac:dyDescent="0.3">
      <c r="A957" s="3">
        <v>40</v>
      </c>
      <c r="B957" s="3">
        <v>13</v>
      </c>
      <c r="C957" s="6">
        <v>4.8</v>
      </c>
      <c r="D957" t="s">
        <v>20</v>
      </c>
      <c r="E957" s="3">
        <v>1500</v>
      </c>
      <c r="F957" s="6">
        <v>4.7</v>
      </c>
      <c r="G957" t="s">
        <v>50</v>
      </c>
      <c r="H957" s="2">
        <v>0.8</v>
      </c>
      <c r="I957" s="3">
        <v>800</v>
      </c>
      <c r="J957" s="3" t="str">
        <f t="shared" si="57"/>
        <v>Low Price</v>
      </c>
      <c r="K957" t="s">
        <v>9</v>
      </c>
      <c r="L957" t="s">
        <v>17</v>
      </c>
      <c r="M957" t="s">
        <v>34</v>
      </c>
      <c r="N957">
        <v>0.74</v>
      </c>
      <c r="O957" t="str">
        <f t="shared" si="58"/>
        <v>Medium</v>
      </c>
      <c r="P957">
        <f t="shared" si="59"/>
        <v>10400</v>
      </c>
      <c r="Q957" s="2">
        <f t="shared" si="60"/>
        <v>0.32500000000000001</v>
      </c>
    </row>
    <row r="958" spans="1:17" x14ac:dyDescent="0.3">
      <c r="A958" s="3">
        <v>16</v>
      </c>
      <c r="B958" s="3">
        <v>4</v>
      </c>
      <c r="C958" s="6">
        <v>3.9</v>
      </c>
      <c r="D958" t="s">
        <v>13</v>
      </c>
      <c r="E958" s="3">
        <v>800</v>
      </c>
      <c r="F958" s="6">
        <v>3.5</v>
      </c>
      <c r="G958" t="s">
        <v>62</v>
      </c>
      <c r="H958" s="2">
        <v>0.15</v>
      </c>
      <c r="I958" s="3">
        <v>800</v>
      </c>
      <c r="J958" s="3" t="str">
        <f t="shared" si="57"/>
        <v>Low Price</v>
      </c>
      <c r="K958" t="s">
        <v>9</v>
      </c>
      <c r="L958" t="s">
        <v>29</v>
      </c>
      <c r="M958" t="s">
        <v>25</v>
      </c>
      <c r="N958">
        <v>0.36</v>
      </c>
      <c r="O958" t="str">
        <f t="shared" si="58"/>
        <v>Low</v>
      </c>
      <c r="P958">
        <f t="shared" si="59"/>
        <v>3200</v>
      </c>
      <c r="Q958" s="2">
        <f t="shared" si="60"/>
        <v>0.25</v>
      </c>
    </row>
    <row r="959" spans="1:17" x14ac:dyDescent="0.3">
      <c r="A959" s="3">
        <v>25</v>
      </c>
      <c r="B959" s="3">
        <v>7</v>
      </c>
      <c r="C959" s="6">
        <v>3.5</v>
      </c>
      <c r="D959" t="s">
        <v>20</v>
      </c>
      <c r="E959" s="3">
        <v>100</v>
      </c>
      <c r="F959" s="6">
        <v>3.6</v>
      </c>
      <c r="G959" t="s">
        <v>44</v>
      </c>
      <c r="H959" s="2">
        <v>-0.4</v>
      </c>
      <c r="I959" s="3">
        <v>600</v>
      </c>
      <c r="J959" s="3" t="str">
        <f t="shared" si="57"/>
        <v>Low Price</v>
      </c>
      <c r="K959" t="s">
        <v>179</v>
      </c>
      <c r="L959" t="s">
        <v>33</v>
      </c>
      <c r="M959" t="s">
        <v>34</v>
      </c>
      <c r="N959">
        <v>0.11</v>
      </c>
      <c r="O959" t="str">
        <f t="shared" si="58"/>
        <v>Low</v>
      </c>
      <c r="P959">
        <f t="shared" si="59"/>
        <v>4200</v>
      </c>
      <c r="Q959" s="2">
        <f t="shared" si="60"/>
        <v>0.28000000000000003</v>
      </c>
    </row>
    <row r="960" spans="1:17" x14ac:dyDescent="0.3">
      <c r="A960" s="3">
        <v>48</v>
      </c>
      <c r="B960" s="3">
        <v>16</v>
      </c>
      <c r="C960" s="6">
        <v>4.5999999999999996</v>
      </c>
      <c r="D960" t="s">
        <v>13</v>
      </c>
      <c r="E960" s="3">
        <v>3000</v>
      </c>
      <c r="F960" s="6">
        <v>4.7</v>
      </c>
      <c r="G960" t="s">
        <v>14</v>
      </c>
      <c r="H960" s="2">
        <v>0.78</v>
      </c>
      <c r="I960" s="3">
        <v>500</v>
      </c>
      <c r="J960" s="3" t="str">
        <f t="shared" si="57"/>
        <v>Low Price</v>
      </c>
      <c r="K960" t="s">
        <v>9</v>
      </c>
      <c r="L960" t="s">
        <v>33</v>
      </c>
      <c r="M960" t="s">
        <v>18</v>
      </c>
      <c r="N960">
        <v>0.87</v>
      </c>
      <c r="O960" t="str">
        <f t="shared" si="58"/>
        <v>High</v>
      </c>
      <c r="P960">
        <f t="shared" si="59"/>
        <v>8000</v>
      </c>
      <c r="Q960" s="2">
        <f t="shared" si="60"/>
        <v>0.33333333333333331</v>
      </c>
    </row>
    <row r="961" spans="1:17" x14ac:dyDescent="0.3">
      <c r="A961" s="3">
        <v>8</v>
      </c>
      <c r="B961" s="3">
        <v>3</v>
      </c>
      <c r="C961" s="6">
        <v>3</v>
      </c>
      <c r="D961" t="s">
        <v>20</v>
      </c>
      <c r="E961" s="3">
        <v>300</v>
      </c>
      <c r="F961" s="6">
        <v>3.2</v>
      </c>
      <c r="G961" t="s">
        <v>39</v>
      </c>
      <c r="H961" s="2">
        <v>-0.2</v>
      </c>
      <c r="I961" s="3">
        <v>500</v>
      </c>
      <c r="J961" s="3" t="str">
        <f t="shared" si="57"/>
        <v>Low Price</v>
      </c>
      <c r="K961" t="s">
        <v>179</v>
      </c>
      <c r="L961" t="s">
        <v>29</v>
      </c>
      <c r="M961" t="s">
        <v>18</v>
      </c>
      <c r="N961">
        <v>0.22</v>
      </c>
      <c r="O961" t="str">
        <f t="shared" si="58"/>
        <v>Low</v>
      </c>
      <c r="P961">
        <f t="shared" si="59"/>
        <v>1500</v>
      </c>
      <c r="Q961" s="2">
        <f t="shared" si="60"/>
        <v>0.375</v>
      </c>
    </row>
    <row r="962" spans="1:17" x14ac:dyDescent="0.3">
      <c r="A962" s="3">
        <v>36</v>
      </c>
      <c r="B962" s="3">
        <v>12</v>
      </c>
      <c r="C962" s="6">
        <v>4.9000000000000004</v>
      </c>
      <c r="D962" t="s">
        <v>13</v>
      </c>
      <c r="E962" s="3">
        <v>7000</v>
      </c>
      <c r="F962" s="6">
        <v>4.8</v>
      </c>
      <c r="G962" t="s">
        <v>48</v>
      </c>
      <c r="H962" s="2">
        <v>0.86</v>
      </c>
      <c r="I962" s="3">
        <v>800</v>
      </c>
      <c r="J962" s="3" t="str">
        <f t="shared" ref="J962:J1018" si="61">IF(I962&gt;5000, "High Price", IF(I962&gt;=1000, "Medium Price", IF(I962&lt;1000, "Low Price")))</f>
        <v>Low Price</v>
      </c>
      <c r="K962" t="s">
        <v>9</v>
      </c>
      <c r="L962" t="s">
        <v>17</v>
      </c>
      <c r="M962" t="s">
        <v>18</v>
      </c>
      <c r="N962">
        <v>0.93</v>
      </c>
      <c r="O962" t="str">
        <f t="shared" ref="O962:O1018" si="62">IF(N962&gt;=0.8,"High",IF(N962&gt;=0.4,"Medium",IF(N962&lt;0.4,"Low")))</f>
        <v>High</v>
      </c>
      <c r="P962">
        <f t="shared" si="59"/>
        <v>9600</v>
      </c>
      <c r="Q962" s="2">
        <f t="shared" si="60"/>
        <v>0.33333333333333331</v>
      </c>
    </row>
    <row r="963" spans="1:17" x14ac:dyDescent="0.3">
      <c r="A963" s="3">
        <v>19</v>
      </c>
      <c r="B963" s="3">
        <v>5</v>
      </c>
      <c r="C963" s="6">
        <v>3.3</v>
      </c>
      <c r="D963" t="s">
        <v>20</v>
      </c>
      <c r="E963" s="3">
        <v>200</v>
      </c>
      <c r="F963" s="6">
        <v>3.4</v>
      </c>
      <c r="G963" t="s">
        <v>31</v>
      </c>
      <c r="H963" s="2">
        <v>-0.6</v>
      </c>
      <c r="I963" s="3">
        <v>100</v>
      </c>
      <c r="J963" s="3" t="str">
        <f t="shared" si="61"/>
        <v>Low Price</v>
      </c>
      <c r="K963" t="s">
        <v>179</v>
      </c>
      <c r="L963" t="s">
        <v>33</v>
      </c>
      <c r="M963" t="s">
        <v>25</v>
      </c>
      <c r="N963">
        <v>0.12</v>
      </c>
      <c r="O963" t="str">
        <f t="shared" si="62"/>
        <v>Low</v>
      </c>
      <c r="P963">
        <f t="shared" ref="P963:P1018" si="63">I963*B963</f>
        <v>500</v>
      </c>
      <c r="Q963" s="2">
        <f t="shared" ref="Q963:Q1017" si="64">B963/A963</f>
        <v>0.26315789473684209</v>
      </c>
    </row>
    <row r="964" spans="1:17" x14ac:dyDescent="0.3">
      <c r="A964" s="3">
        <v>29</v>
      </c>
      <c r="B964" s="3">
        <v>9</v>
      </c>
      <c r="C964" s="6">
        <v>4.7</v>
      </c>
      <c r="D964" t="s">
        <v>20</v>
      </c>
      <c r="E964" s="3">
        <v>900</v>
      </c>
      <c r="F964" s="6">
        <v>4.5</v>
      </c>
      <c r="G964" t="s">
        <v>60</v>
      </c>
      <c r="H964" s="2">
        <v>0.62</v>
      </c>
      <c r="I964" s="3">
        <v>700</v>
      </c>
      <c r="J964" s="3" t="str">
        <f t="shared" si="61"/>
        <v>Low Price</v>
      </c>
      <c r="K964" t="s">
        <v>9</v>
      </c>
      <c r="L964" t="s">
        <v>17</v>
      </c>
      <c r="M964" t="s">
        <v>18</v>
      </c>
      <c r="N964">
        <v>0.75</v>
      </c>
      <c r="O964" t="str">
        <f t="shared" si="62"/>
        <v>Medium</v>
      </c>
      <c r="P964">
        <f t="shared" si="63"/>
        <v>6300</v>
      </c>
      <c r="Q964" s="2">
        <f t="shared" si="64"/>
        <v>0.31034482758620691</v>
      </c>
    </row>
    <row r="965" spans="1:17" x14ac:dyDescent="0.3">
      <c r="A965" s="3">
        <v>12</v>
      </c>
      <c r="B965" s="3">
        <v>4</v>
      </c>
      <c r="C965" s="6">
        <v>2.8</v>
      </c>
      <c r="D965" t="s">
        <v>20</v>
      </c>
      <c r="E965" s="3">
        <v>1000</v>
      </c>
      <c r="F965" s="6">
        <v>3</v>
      </c>
      <c r="G965" t="s">
        <v>83</v>
      </c>
      <c r="H965" s="2">
        <v>-0.3</v>
      </c>
      <c r="I965" s="3">
        <v>200</v>
      </c>
      <c r="J965" s="3" t="str">
        <f t="shared" si="61"/>
        <v>Low Price</v>
      </c>
      <c r="K965" t="s">
        <v>9</v>
      </c>
      <c r="L965" t="s">
        <v>24</v>
      </c>
      <c r="M965" t="s">
        <v>34</v>
      </c>
      <c r="N965">
        <v>0.09</v>
      </c>
      <c r="O965" t="str">
        <f t="shared" si="62"/>
        <v>Low</v>
      </c>
      <c r="P965">
        <f t="shared" si="63"/>
        <v>800</v>
      </c>
      <c r="Q965" s="2">
        <f t="shared" si="64"/>
        <v>0.33333333333333331</v>
      </c>
    </row>
    <row r="966" spans="1:17" x14ac:dyDescent="0.3">
      <c r="A966" s="3">
        <v>45</v>
      </c>
      <c r="B966" s="3">
        <v>14</v>
      </c>
      <c r="C966" s="6">
        <v>4.7</v>
      </c>
      <c r="D966" t="s">
        <v>13</v>
      </c>
      <c r="E966" s="3">
        <v>2500</v>
      </c>
      <c r="F966" s="6">
        <v>4.9000000000000004</v>
      </c>
      <c r="G966" t="s">
        <v>78</v>
      </c>
      <c r="H966" s="2">
        <v>0.92</v>
      </c>
      <c r="I966" s="3">
        <v>600</v>
      </c>
      <c r="J966" s="3" t="str">
        <f t="shared" si="61"/>
        <v>Low Price</v>
      </c>
      <c r="K966" t="s">
        <v>179</v>
      </c>
      <c r="L966" t="s">
        <v>33</v>
      </c>
      <c r="M966" t="s">
        <v>18</v>
      </c>
      <c r="N966">
        <v>0.89</v>
      </c>
      <c r="O966" t="str">
        <f t="shared" si="62"/>
        <v>High</v>
      </c>
      <c r="P966">
        <f t="shared" si="63"/>
        <v>8400</v>
      </c>
      <c r="Q966" s="2">
        <f t="shared" si="64"/>
        <v>0.31111111111111112</v>
      </c>
    </row>
    <row r="967" spans="1:17" x14ac:dyDescent="0.3">
      <c r="A967" s="3">
        <v>6</v>
      </c>
      <c r="B967" s="3">
        <v>2</v>
      </c>
      <c r="C967" s="6">
        <v>2.5</v>
      </c>
      <c r="D967" t="s">
        <v>20</v>
      </c>
      <c r="E967" s="3">
        <v>500</v>
      </c>
      <c r="F967" s="6">
        <v>2.6</v>
      </c>
      <c r="G967" t="s">
        <v>59</v>
      </c>
      <c r="H967" s="2">
        <v>-0.7</v>
      </c>
      <c r="I967" s="3">
        <v>400</v>
      </c>
      <c r="J967" s="3" t="str">
        <f t="shared" si="61"/>
        <v>Low Price</v>
      </c>
      <c r="K967" t="s">
        <v>9</v>
      </c>
      <c r="L967" t="s">
        <v>24</v>
      </c>
      <c r="M967" t="s">
        <v>25</v>
      </c>
      <c r="N967">
        <v>0.05</v>
      </c>
      <c r="O967" t="str">
        <f t="shared" si="62"/>
        <v>Low</v>
      </c>
      <c r="P967">
        <f t="shared" si="63"/>
        <v>800</v>
      </c>
      <c r="Q967" s="2">
        <f t="shared" si="64"/>
        <v>0.33333333333333331</v>
      </c>
    </row>
    <row r="968" spans="1:17" x14ac:dyDescent="0.3">
      <c r="A968" s="3">
        <v>31</v>
      </c>
      <c r="B968" s="3">
        <v>11</v>
      </c>
      <c r="C968" s="6">
        <v>4.4000000000000004</v>
      </c>
      <c r="D968" t="s">
        <v>13</v>
      </c>
      <c r="E968" s="3">
        <v>600</v>
      </c>
      <c r="F968" s="6">
        <v>4.3</v>
      </c>
      <c r="G968" t="s">
        <v>42</v>
      </c>
      <c r="H968" s="2">
        <v>0.7</v>
      </c>
      <c r="I968" s="3">
        <v>400</v>
      </c>
      <c r="J968" s="3" t="str">
        <f t="shared" si="61"/>
        <v>Low Price</v>
      </c>
      <c r="K968" t="s">
        <v>179</v>
      </c>
      <c r="L968" t="s">
        <v>33</v>
      </c>
      <c r="M968" t="s">
        <v>34</v>
      </c>
      <c r="N968">
        <v>0.77</v>
      </c>
      <c r="O968" t="str">
        <f t="shared" si="62"/>
        <v>Medium</v>
      </c>
      <c r="P968">
        <f t="shared" si="63"/>
        <v>4400</v>
      </c>
      <c r="Q968" s="2">
        <f t="shared" si="64"/>
        <v>0.35483870967741937</v>
      </c>
    </row>
    <row r="969" spans="1:17" x14ac:dyDescent="0.3">
      <c r="A969" s="3">
        <v>14</v>
      </c>
      <c r="B969" s="3">
        <v>3</v>
      </c>
      <c r="C969" s="6">
        <v>3.2</v>
      </c>
      <c r="D969" t="s">
        <v>20</v>
      </c>
      <c r="E969" s="3">
        <v>150</v>
      </c>
      <c r="F969" s="6">
        <v>3</v>
      </c>
      <c r="G969" t="s">
        <v>70</v>
      </c>
      <c r="H969" s="2">
        <v>-0.5</v>
      </c>
      <c r="I969" s="3">
        <v>100</v>
      </c>
      <c r="J969" s="3" t="str">
        <f t="shared" si="61"/>
        <v>Low Price</v>
      </c>
      <c r="K969" t="s">
        <v>9</v>
      </c>
      <c r="L969" t="s">
        <v>33</v>
      </c>
      <c r="M969" t="s">
        <v>18</v>
      </c>
      <c r="N969">
        <v>0.18</v>
      </c>
      <c r="O969" t="str">
        <f t="shared" si="62"/>
        <v>Low</v>
      </c>
      <c r="P969">
        <f t="shared" si="63"/>
        <v>300</v>
      </c>
      <c r="Q969" s="2">
        <f t="shared" si="64"/>
        <v>0.21428571428571427</v>
      </c>
    </row>
    <row r="970" spans="1:17" x14ac:dyDescent="0.3">
      <c r="A970" s="3">
        <v>39</v>
      </c>
      <c r="B970" s="3">
        <v>10</v>
      </c>
      <c r="C970" s="6">
        <v>4.3</v>
      </c>
      <c r="D970" t="s">
        <v>13</v>
      </c>
      <c r="E970" s="3">
        <v>4000</v>
      </c>
      <c r="F970" s="6">
        <v>4.5</v>
      </c>
      <c r="G970" t="s">
        <v>47</v>
      </c>
      <c r="H970" s="2">
        <v>0.57999999999999996</v>
      </c>
      <c r="I970" s="3">
        <v>2000</v>
      </c>
      <c r="J970" s="3" t="str">
        <f t="shared" si="61"/>
        <v>Medium Price</v>
      </c>
      <c r="K970" t="s">
        <v>179</v>
      </c>
      <c r="L970" t="s">
        <v>33</v>
      </c>
      <c r="M970" t="s">
        <v>25</v>
      </c>
      <c r="N970">
        <v>0.65</v>
      </c>
      <c r="O970" t="str">
        <f t="shared" si="62"/>
        <v>Medium</v>
      </c>
      <c r="P970">
        <f t="shared" si="63"/>
        <v>20000</v>
      </c>
      <c r="Q970" s="2">
        <f t="shared" si="64"/>
        <v>0.25641025641025639</v>
      </c>
    </row>
    <row r="971" spans="1:17" x14ac:dyDescent="0.3">
      <c r="A971" s="3">
        <v>22</v>
      </c>
      <c r="B971" s="3">
        <v>8</v>
      </c>
      <c r="C971" s="6">
        <v>4.0999999999999996</v>
      </c>
      <c r="D971" t="s">
        <v>13</v>
      </c>
      <c r="E971" s="3">
        <v>800</v>
      </c>
      <c r="F971" s="6">
        <v>4.2</v>
      </c>
      <c r="G971" t="s">
        <v>66</v>
      </c>
      <c r="H971" s="2">
        <v>0.45</v>
      </c>
      <c r="I971" s="3">
        <v>800</v>
      </c>
      <c r="J971" s="3" t="str">
        <f t="shared" si="61"/>
        <v>Low Price</v>
      </c>
      <c r="K971" t="s">
        <v>179</v>
      </c>
      <c r="L971" t="s">
        <v>33</v>
      </c>
      <c r="M971" t="s">
        <v>25</v>
      </c>
      <c r="N971">
        <v>0.59</v>
      </c>
      <c r="O971" t="str">
        <f t="shared" si="62"/>
        <v>Medium</v>
      </c>
      <c r="P971">
        <f t="shared" si="63"/>
        <v>6400</v>
      </c>
      <c r="Q971" s="2">
        <f t="shared" si="64"/>
        <v>0.36363636363636365</v>
      </c>
    </row>
    <row r="972" spans="1:17" x14ac:dyDescent="0.3">
      <c r="A972" s="3">
        <v>4</v>
      </c>
      <c r="B972" s="3">
        <v>1</v>
      </c>
      <c r="C972" s="6">
        <v>2</v>
      </c>
      <c r="D972" t="s">
        <v>20</v>
      </c>
      <c r="E972" s="3">
        <v>1000</v>
      </c>
      <c r="F972" s="6">
        <v>2.1</v>
      </c>
      <c r="G972" t="s">
        <v>53</v>
      </c>
      <c r="H972" s="2">
        <v>-0.8</v>
      </c>
      <c r="I972" s="3">
        <v>200</v>
      </c>
      <c r="J972" s="3" t="str">
        <f t="shared" si="61"/>
        <v>Low Price</v>
      </c>
      <c r="K972" t="s">
        <v>9</v>
      </c>
      <c r="L972" t="s">
        <v>17</v>
      </c>
      <c r="M972" t="s">
        <v>25</v>
      </c>
      <c r="N972">
        <v>0.02</v>
      </c>
      <c r="O972" t="str">
        <f t="shared" si="62"/>
        <v>Low</v>
      </c>
      <c r="P972">
        <f t="shared" si="63"/>
        <v>200</v>
      </c>
      <c r="Q972" s="2">
        <f t="shared" si="64"/>
        <v>0.25</v>
      </c>
    </row>
    <row r="973" spans="1:17" x14ac:dyDescent="0.3">
      <c r="A973" s="3">
        <v>47</v>
      </c>
      <c r="B973" s="3">
        <v>15</v>
      </c>
      <c r="C973" s="6">
        <v>4.8</v>
      </c>
      <c r="D973" t="s">
        <v>20</v>
      </c>
      <c r="E973" s="3">
        <v>2000</v>
      </c>
      <c r="F973" s="6">
        <v>4.7</v>
      </c>
      <c r="G973" t="s">
        <v>27</v>
      </c>
      <c r="H973" s="2">
        <v>0.8</v>
      </c>
      <c r="I973" s="3">
        <v>1000</v>
      </c>
      <c r="J973" s="3" t="str">
        <f t="shared" si="61"/>
        <v>Medium Price</v>
      </c>
      <c r="K973" t="s">
        <v>9</v>
      </c>
      <c r="L973" t="s">
        <v>17</v>
      </c>
      <c r="M973" t="s">
        <v>25</v>
      </c>
      <c r="N973">
        <v>0.81</v>
      </c>
      <c r="O973" t="str">
        <f t="shared" si="62"/>
        <v>High</v>
      </c>
      <c r="P973">
        <f t="shared" si="63"/>
        <v>15000</v>
      </c>
      <c r="Q973" s="2">
        <f t="shared" si="64"/>
        <v>0.31914893617021278</v>
      </c>
    </row>
    <row r="974" spans="1:17" x14ac:dyDescent="0.3">
      <c r="A974" s="3">
        <v>11</v>
      </c>
      <c r="B974" s="3">
        <v>3</v>
      </c>
      <c r="C974" s="6">
        <v>3</v>
      </c>
      <c r="D974" t="s">
        <v>13</v>
      </c>
      <c r="E974" s="3">
        <v>100</v>
      </c>
      <c r="F974" s="6">
        <v>3.1</v>
      </c>
      <c r="G974" t="s">
        <v>50</v>
      </c>
      <c r="H974" s="2">
        <v>-0.1</v>
      </c>
      <c r="I974" s="3">
        <v>900</v>
      </c>
      <c r="J974" s="3" t="str">
        <f t="shared" si="61"/>
        <v>Low Price</v>
      </c>
      <c r="K974" t="s">
        <v>179</v>
      </c>
      <c r="L974" t="s">
        <v>24</v>
      </c>
      <c r="M974" t="s">
        <v>18</v>
      </c>
      <c r="N974">
        <v>0.31</v>
      </c>
      <c r="O974" t="str">
        <f t="shared" si="62"/>
        <v>Low</v>
      </c>
      <c r="P974">
        <f t="shared" si="63"/>
        <v>2700</v>
      </c>
      <c r="Q974" s="2">
        <f t="shared" si="64"/>
        <v>0.27272727272727271</v>
      </c>
    </row>
    <row r="975" spans="1:17" x14ac:dyDescent="0.3">
      <c r="A975" s="3">
        <v>37</v>
      </c>
      <c r="B975" s="3">
        <v>13</v>
      </c>
      <c r="C975" s="6">
        <v>4.5</v>
      </c>
      <c r="D975" t="s">
        <v>13</v>
      </c>
      <c r="E975" s="3">
        <v>700</v>
      </c>
      <c r="F975" s="6">
        <v>4.4000000000000004</v>
      </c>
      <c r="G975" t="s">
        <v>72</v>
      </c>
      <c r="H975" s="2">
        <v>0.75</v>
      </c>
      <c r="I975" s="3">
        <v>500</v>
      </c>
      <c r="J975" s="3" t="str">
        <f t="shared" si="61"/>
        <v>Low Price</v>
      </c>
      <c r="K975" t="s">
        <v>179</v>
      </c>
      <c r="L975" t="s">
        <v>33</v>
      </c>
      <c r="M975" t="s">
        <v>18</v>
      </c>
      <c r="N975">
        <v>0.82</v>
      </c>
      <c r="O975" t="str">
        <f t="shared" si="62"/>
        <v>High</v>
      </c>
      <c r="P975">
        <f t="shared" si="63"/>
        <v>6500</v>
      </c>
      <c r="Q975" s="2">
        <f t="shared" si="64"/>
        <v>0.35135135135135137</v>
      </c>
    </row>
    <row r="976" spans="1:17" x14ac:dyDescent="0.3">
      <c r="A976" s="3">
        <v>17</v>
      </c>
      <c r="B976" s="3">
        <v>6</v>
      </c>
      <c r="C976" s="6">
        <v>3.8</v>
      </c>
      <c r="D976" t="s">
        <v>20</v>
      </c>
      <c r="E976" s="3">
        <v>3000</v>
      </c>
      <c r="F976" s="6">
        <v>3.7</v>
      </c>
      <c r="G976" t="s">
        <v>44</v>
      </c>
      <c r="H976" s="2">
        <v>0.35</v>
      </c>
      <c r="I976" s="3">
        <v>10000</v>
      </c>
      <c r="J976" s="3" t="str">
        <f t="shared" si="61"/>
        <v>High Price</v>
      </c>
      <c r="K976" t="s">
        <v>179</v>
      </c>
      <c r="L976" t="s">
        <v>29</v>
      </c>
      <c r="M976" t="s">
        <v>25</v>
      </c>
      <c r="N976">
        <v>0.47</v>
      </c>
      <c r="O976" t="str">
        <f t="shared" si="62"/>
        <v>Medium</v>
      </c>
      <c r="P976">
        <f t="shared" si="63"/>
        <v>60000</v>
      </c>
      <c r="Q976" s="2">
        <f t="shared" si="64"/>
        <v>0.35294117647058826</v>
      </c>
    </row>
    <row r="977" spans="1:17" x14ac:dyDescent="0.3">
      <c r="A977" s="3">
        <v>42</v>
      </c>
      <c r="B977" s="3">
        <v>17</v>
      </c>
      <c r="C977" s="6">
        <v>4.9000000000000004</v>
      </c>
      <c r="D977" t="s">
        <v>13</v>
      </c>
      <c r="E977" s="3">
        <v>100</v>
      </c>
      <c r="F977" s="6">
        <v>4.8</v>
      </c>
      <c r="G977" t="s">
        <v>39</v>
      </c>
      <c r="H977" s="2">
        <v>0.9</v>
      </c>
      <c r="I977" s="3">
        <v>300</v>
      </c>
      <c r="J977" s="3" t="str">
        <f t="shared" si="61"/>
        <v>Low Price</v>
      </c>
      <c r="K977" t="s">
        <v>179</v>
      </c>
      <c r="L977" t="s">
        <v>33</v>
      </c>
      <c r="M977" t="s">
        <v>18</v>
      </c>
      <c r="N977">
        <v>0.92</v>
      </c>
      <c r="O977" t="str">
        <f t="shared" si="62"/>
        <v>High</v>
      </c>
      <c r="P977">
        <f t="shared" si="63"/>
        <v>5100</v>
      </c>
      <c r="Q977" s="2">
        <f t="shared" si="64"/>
        <v>0.40476190476190477</v>
      </c>
    </row>
    <row r="978" spans="1:17" x14ac:dyDescent="0.3">
      <c r="A978" s="3">
        <v>9</v>
      </c>
      <c r="B978" s="3">
        <v>2</v>
      </c>
      <c r="C978" s="6">
        <v>2.8</v>
      </c>
      <c r="D978" t="s">
        <v>13</v>
      </c>
      <c r="E978" s="3">
        <v>400</v>
      </c>
      <c r="F978" s="6">
        <v>3</v>
      </c>
      <c r="G978" t="s">
        <v>69</v>
      </c>
      <c r="H978" s="2">
        <v>-0.4</v>
      </c>
      <c r="I978" s="3">
        <v>600</v>
      </c>
      <c r="J978" s="3" t="str">
        <f t="shared" si="61"/>
        <v>Low Price</v>
      </c>
      <c r="K978" t="s">
        <v>9</v>
      </c>
      <c r="L978" t="s">
        <v>29</v>
      </c>
      <c r="M978" t="s">
        <v>18</v>
      </c>
      <c r="N978">
        <v>0.28000000000000003</v>
      </c>
      <c r="O978" t="str">
        <f t="shared" si="62"/>
        <v>Low</v>
      </c>
      <c r="P978">
        <f t="shared" si="63"/>
        <v>1200</v>
      </c>
      <c r="Q978" s="2">
        <f t="shared" si="64"/>
        <v>0.22222222222222221</v>
      </c>
    </row>
    <row r="979" spans="1:17" x14ac:dyDescent="0.3">
      <c r="A979" s="3">
        <v>35</v>
      </c>
      <c r="B979" s="3">
        <v>12</v>
      </c>
      <c r="C979" s="6">
        <v>4.5999999999999996</v>
      </c>
      <c r="D979" t="s">
        <v>20</v>
      </c>
      <c r="E979" s="3">
        <v>6000</v>
      </c>
      <c r="F979" s="6">
        <v>4.8</v>
      </c>
      <c r="G979" t="s">
        <v>60</v>
      </c>
      <c r="H979" s="2">
        <v>0.82</v>
      </c>
      <c r="I979" s="3">
        <v>900</v>
      </c>
      <c r="J979" s="3" t="str">
        <f t="shared" si="61"/>
        <v>Low Price</v>
      </c>
      <c r="K979" t="s">
        <v>9</v>
      </c>
      <c r="L979" t="s">
        <v>33</v>
      </c>
      <c r="M979" t="s">
        <v>34</v>
      </c>
      <c r="N979">
        <v>0.86</v>
      </c>
      <c r="O979" t="str">
        <f t="shared" si="62"/>
        <v>High</v>
      </c>
      <c r="P979">
        <f t="shared" si="63"/>
        <v>10800</v>
      </c>
      <c r="Q979" s="2">
        <f t="shared" si="64"/>
        <v>0.34285714285714286</v>
      </c>
    </row>
    <row r="980" spans="1:17" x14ac:dyDescent="0.3">
      <c r="A980" s="3">
        <v>24</v>
      </c>
      <c r="B980" s="3">
        <v>8</v>
      </c>
      <c r="C980" s="6">
        <v>3.9</v>
      </c>
      <c r="D980" t="s">
        <v>20</v>
      </c>
      <c r="E980" s="3">
        <v>1500</v>
      </c>
      <c r="F980" s="6">
        <v>3.5</v>
      </c>
      <c r="G980" t="s">
        <v>66</v>
      </c>
      <c r="H980" s="2">
        <v>0.25</v>
      </c>
      <c r="I980" s="3">
        <v>300</v>
      </c>
      <c r="J980" s="3" t="str">
        <f t="shared" si="61"/>
        <v>Low Price</v>
      </c>
      <c r="K980" t="s">
        <v>179</v>
      </c>
      <c r="L980" t="s">
        <v>17</v>
      </c>
      <c r="M980" t="s">
        <v>34</v>
      </c>
      <c r="N980">
        <v>0.52</v>
      </c>
      <c r="O980" t="str">
        <f t="shared" si="62"/>
        <v>Medium</v>
      </c>
      <c r="P980">
        <f t="shared" si="63"/>
        <v>2400</v>
      </c>
      <c r="Q980" s="2">
        <f t="shared" si="64"/>
        <v>0.33333333333333331</v>
      </c>
    </row>
    <row r="981" spans="1:17" x14ac:dyDescent="0.3">
      <c r="A981" s="3">
        <v>3</v>
      </c>
      <c r="B981" s="3">
        <v>0</v>
      </c>
      <c r="C981" s="6">
        <v>1.5</v>
      </c>
      <c r="D981" t="s">
        <v>13</v>
      </c>
      <c r="E981" s="3">
        <v>1000</v>
      </c>
      <c r="F981" s="6">
        <v>1.8</v>
      </c>
      <c r="G981" t="s">
        <v>78</v>
      </c>
      <c r="H981" s="2">
        <v>-0.9</v>
      </c>
      <c r="I981" s="3">
        <v>200</v>
      </c>
      <c r="J981" s="3" t="str">
        <f t="shared" si="61"/>
        <v>Low Price</v>
      </c>
      <c r="K981" t="s">
        <v>9</v>
      </c>
      <c r="L981" t="s">
        <v>24</v>
      </c>
      <c r="M981" t="s">
        <v>34</v>
      </c>
      <c r="N981">
        <v>0.03</v>
      </c>
      <c r="O981" t="str">
        <f t="shared" si="62"/>
        <v>Low</v>
      </c>
      <c r="P981">
        <f t="shared" si="63"/>
        <v>0</v>
      </c>
      <c r="Q981" s="2">
        <f t="shared" si="64"/>
        <v>0</v>
      </c>
    </row>
    <row r="982" spans="1:17" x14ac:dyDescent="0.3">
      <c r="A982" s="3">
        <v>46</v>
      </c>
      <c r="B982" s="3">
        <v>18</v>
      </c>
      <c r="C982" s="6">
        <v>4.7</v>
      </c>
      <c r="D982" t="s">
        <v>20</v>
      </c>
      <c r="E982" s="3">
        <v>700</v>
      </c>
      <c r="F982" s="6">
        <v>4.9000000000000004</v>
      </c>
      <c r="G982" t="s">
        <v>95</v>
      </c>
      <c r="H982" s="2">
        <v>0.88</v>
      </c>
      <c r="I982" s="3">
        <v>400</v>
      </c>
      <c r="J982" s="3" t="str">
        <f t="shared" si="61"/>
        <v>Low Price</v>
      </c>
      <c r="K982" t="s">
        <v>179</v>
      </c>
      <c r="L982" t="s">
        <v>17</v>
      </c>
      <c r="M982" t="s">
        <v>18</v>
      </c>
      <c r="N982">
        <v>0.79</v>
      </c>
      <c r="O982" t="str">
        <f t="shared" si="62"/>
        <v>Medium</v>
      </c>
      <c r="P982">
        <f t="shared" si="63"/>
        <v>7200</v>
      </c>
      <c r="Q982" s="2">
        <f t="shared" si="64"/>
        <v>0.39130434782608697</v>
      </c>
    </row>
    <row r="983" spans="1:17" x14ac:dyDescent="0.3">
      <c r="A983" s="3">
        <v>16</v>
      </c>
      <c r="B983" s="3">
        <v>5</v>
      </c>
      <c r="C983" s="6">
        <v>3.7</v>
      </c>
      <c r="D983" t="s">
        <v>13</v>
      </c>
      <c r="E983" s="3">
        <v>200</v>
      </c>
      <c r="F983" s="6">
        <v>3.6</v>
      </c>
      <c r="G983" t="s">
        <v>48</v>
      </c>
      <c r="H983" s="2">
        <v>0.15</v>
      </c>
      <c r="I983" s="3">
        <v>800</v>
      </c>
      <c r="J983" s="3" t="str">
        <f t="shared" si="61"/>
        <v>Low Price</v>
      </c>
      <c r="K983" t="s">
        <v>179</v>
      </c>
      <c r="L983" t="s">
        <v>33</v>
      </c>
      <c r="M983" t="s">
        <v>25</v>
      </c>
      <c r="N983">
        <v>0.39</v>
      </c>
      <c r="O983" t="str">
        <f t="shared" si="62"/>
        <v>Low</v>
      </c>
      <c r="P983">
        <f t="shared" si="63"/>
        <v>4000</v>
      </c>
      <c r="Q983" s="2">
        <f t="shared" si="64"/>
        <v>0.3125</v>
      </c>
    </row>
    <row r="984" spans="1:17" x14ac:dyDescent="0.3">
      <c r="A984" s="3">
        <v>28</v>
      </c>
      <c r="B984" s="3">
        <v>10</v>
      </c>
      <c r="C984" s="6">
        <v>4.3</v>
      </c>
      <c r="D984" t="s">
        <v>13</v>
      </c>
      <c r="E984" s="3">
        <v>900</v>
      </c>
      <c r="F984" s="6">
        <v>4.4000000000000004</v>
      </c>
      <c r="G984" t="s">
        <v>69</v>
      </c>
      <c r="H984" s="2">
        <v>0.72</v>
      </c>
      <c r="I984" s="3">
        <v>400</v>
      </c>
      <c r="J984" s="3" t="str">
        <f t="shared" si="61"/>
        <v>Low Price</v>
      </c>
      <c r="K984" t="s">
        <v>9</v>
      </c>
      <c r="L984" t="s">
        <v>33</v>
      </c>
      <c r="M984" t="s">
        <v>25</v>
      </c>
      <c r="N984">
        <v>0.77</v>
      </c>
      <c r="O984" t="str">
        <f t="shared" si="62"/>
        <v>Medium</v>
      </c>
      <c r="P984">
        <f t="shared" si="63"/>
        <v>4000</v>
      </c>
      <c r="Q984" s="2">
        <f t="shared" si="64"/>
        <v>0.35714285714285715</v>
      </c>
    </row>
    <row r="985" spans="1:17" x14ac:dyDescent="0.3">
      <c r="A985" s="3">
        <v>13</v>
      </c>
      <c r="B985" s="3">
        <v>4</v>
      </c>
      <c r="C985" s="6">
        <v>2.7</v>
      </c>
      <c r="D985" t="s">
        <v>20</v>
      </c>
      <c r="E985" s="3">
        <v>2000</v>
      </c>
      <c r="F985" s="6">
        <v>3</v>
      </c>
      <c r="G985" t="s">
        <v>39</v>
      </c>
      <c r="H985" s="2">
        <v>-0.3</v>
      </c>
      <c r="I985" s="3">
        <v>600</v>
      </c>
      <c r="J985" s="3" t="str">
        <f t="shared" si="61"/>
        <v>Low Price</v>
      </c>
      <c r="K985" t="s">
        <v>179</v>
      </c>
      <c r="L985" t="s">
        <v>29</v>
      </c>
      <c r="M985" t="s">
        <v>18</v>
      </c>
      <c r="N985">
        <v>0.23</v>
      </c>
      <c r="O985" t="str">
        <f t="shared" si="62"/>
        <v>Low</v>
      </c>
      <c r="P985">
        <f t="shared" si="63"/>
        <v>2400</v>
      </c>
      <c r="Q985" s="2">
        <f t="shared" si="64"/>
        <v>0.30769230769230771</v>
      </c>
    </row>
    <row r="986" spans="1:17" x14ac:dyDescent="0.3">
      <c r="A986" s="3">
        <v>47</v>
      </c>
      <c r="B986" s="3">
        <v>14</v>
      </c>
      <c r="C986" s="6">
        <v>4.8</v>
      </c>
      <c r="D986" t="s">
        <v>13</v>
      </c>
      <c r="E986" s="3">
        <v>700</v>
      </c>
      <c r="F986" s="6">
        <v>4.9000000000000004</v>
      </c>
      <c r="G986" t="s">
        <v>66</v>
      </c>
      <c r="H986" s="2">
        <v>0.85</v>
      </c>
      <c r="I986" s="3">
        <v>500</v>
      </c>
      <c r="J986" s="3" t="str">
        <f t="shared" si="61"/>
        <v>Low Price</v>
      </c>
      <c r="K986" t="s">
        <v>9</v>
      </c>
      <c r="L986" t="s">
        <v>17</v>
      </c>
      <c r="M986" t="s">
        <v>18</v>
      </c>
      <c r="N986">
        <v>0.84</v>
      </c>
      <c r="O986" t="str">
        <f t="shared" si="62"/>
        <v>High</v>
      </c>
      <c r="P986">
        <f t="shared" si="63"/>
        <v>7000</v>
      </c>
      <c r="Q986" s="2">
        <f t="shared" si="64"/>
        <v>0.2978723404255319</v>
      </c>
    </row>
    <row r="987" spans="1:17" x14ac:dyDescent="0.3">
      <c r="A987" s="3">
        <v>6</v>
      </c>
      <c r="B987" s="3">
        <v>2</v>
      </c>
      <c r="C987" s="6">
        <v>2.2999999999999998</v>
      </c>
      <c r="D987" t="s">
        <v>13</v>
      </c>
      <c r="E987" s="3">
        <v>100</v>
      </c>
      <c r="F987" s="6">
        <v>2.4</v>
      </c>
      <c r="G987" t="s">
        <v>27</v>
      </c>
      <c r="H987" s="2">
        <v>-0.7</v>
      </c>
      <c r="I987" s="3">
        <v>300</v>
      </c>
      <c r="J987" s="3" t="str">
        <f t="shared" si="61"/>
        <v>Low Price</v>
      </c>
      <c r="K987" t="s">
        <v>9</v>
      </c>
      <c r="L987" t="s">
        <v>33</v>
      </c>
      <c r="M987" t="s">
        <v>34</v>
      </c>
      <c r="N987">
        <v>0.08</v>
      </c>
      <c r="O987" t="str">
        <f t="shared" si="62"/>
        <v>Low</v>
      </c>
      <c r="P987">
        <f t="shared" si="63"/>
        <v>600</v>
      </c>
      <c r="Q987" s="2">
        <f t="shared" si="64"/>
        <v>0.33333333333333331</v>
      </c>
    </row>
    <row r="988" spans="1:17" x14ac:dyDescent="0.3">
      <c r="A988" s="3">
        <v>30</v>
      </c>
      <c r="B988" s="3">
        <v>11</v>
      </c>
      <c r="C988" s="6">
        <v>4.5</v>
      </c>
      <c r="D988" t="s">
        <v>20</v>
      </c>
      <c r="E988" s="3">
        <v>600</v>
      </c>
      <c r="F988" s="6">
        <v>4.5999999999999996</v>
      </c>
      <c r="G988" t="s">
        <v>72</v>
      </c>
      <c r="H988" s="2">
        <v>0.7</v>
      </c>
      <c r="I988" s="3">
        <v>300</v>
      </c>
      <c r="J988" s="3" t="str">
        <f t="shared" si="61"/>
        <v>Low Price</v>
      </c>
      <c r="K988" t="s">
        <v>179</v>
      </c>
      <c r="L988" t="s">
        <v>17</v>
      </c>
      <c r="M988" t="s">
        <v>25</v>
      </c>
      <c r="N988">
        <v>0.74</v>
      </c>
      <c r="O988" t="str">
        <f t="shared" si="62"/>
        <v>Medium</v>
      </c>
      <c r="P988">
        <f t="shared" si="63"/>
        <v>3300</v>
      </c>
      <c r="Q988" s="2">
        <f t="shared" si="64"/>
        <v>0.36666666666666664</v>
      </c>
    </row>
    <row r="989" spans="1:17" x14ac:dyDescent="0.3">
      <c r="A989" s="3">
        <v>14</v>
      </c>
      <c r="B989" s="3">
        <v>5</v>
      </c>
      <c r="C989" s="6">
        <v>3</v>
      </c>
      <c r="D989" t="s">
        <v>13</v>
      </c>
      <c r="E989" s="3">
        <v>5000</v>
      </c>
      <c r="F989" s="6">
        <v>3.5</v>
      </c>
      <c r="G989" t="s">
        <v>82</v>
      </c>
      <c r="H989" s="2">
        <v>0.1</v>
      </c>
      <c r="I989" s="3">
        <v>10000</v>
      </c>
      <c r="J989" s="3" t="str">
        <f t="shared" si="61"/>
        <v>High Price</v>
      </c>
      <c r="K989" t="s">
        <v>179</v>
      </c>
      <c r="L989" t="s">
        <v>29</v>
      </c>
      <c r="M989" t="s">
        <v>25</v>
      </c>
      <c r="N989">
        <v>0.37</v>
      </c>
      <c r="O989" t="str">
        <f t="shared" si="62"/>
        <v>Low</v>
      </c>
      <c r="P989">
        <f t="shared" si="63"/>
        <v>50000</v>
      </c>
      <c r="Q989" s="2">
        <f t="shared" si="64"/>
        <v>0.35714285714285715</v>
      </c>
    </row>
    <row r="990" spans="1:17" x14ac:dyDescent="0.3">
      <c r="A990" s="3">
        <v>41</v>
      </c>
      <c r="B990" s="3">
        <v>13</v>
      </c>
      <c r="C990" s="6">
        <v>4.7</v>
      </c>
      <c r="D990" t="s">
        <v>20</v>
      </c>
      <c r="E990" s="3">
        <v>300</v>
      </c>
      <c r="F990" s="6">
        <v>4.5999999999999996</v>
      </c>
      <c r="G990" t="s">
        <v>48</v>
      </c>
      <c r="H990" s="2">
        <v>0.8</v>
      </c>
      <c r="I990" s="3">
        <v>500</v>
      </c>
      <c r="J990" s="3" t="str">
        <f t="shared" si="61"/>
        <v>Low Price</v>
      </c>
      <c r="K990" t="s">
        <v>9</v>
      </c>
      <c r="L990" t="s">
        <v>17</v>
      </c>
      <c r="M990" t="s">
        <v>34</v>
      </c>
      <c r="N990">
        <v>0.83</v>
      </c>
      <c r="O990" t="str">
        <f t="shared" si="62"/>
        <v>High</v>
      </c>
      <c r="P990">
        <f t="shared" si="63"/>
        <v>6500</v>
      </c>
      <c r="Q990" s="2">
        <f t="shared" si="64"/>
        <v>0.31707317073170732</v>
      </c>
    </row>
    <row r="991" spans="1:17" x14ac:dyDescent="0.3">
      <c r="A991" s="3">
        <v>9</v>
      </c>
      <c r="B991" s="3">
        <v>3</v>
      </c>
      <c r="C991" s="6">
        <v>2.5</v>
      </c>
      <c r="D991" t="s">
        <v>13</v>
      </c>
      <c r="E991" s="3">
        <v>700</v>
      </c>
      <c r="F991" s="6">
        <v>2.6</v>
      </c>
      <c r="G991" t="s">
        <v>48</v>
      </c>
      <c r="H991" s="2">
        <v>-0.5</v>
      </c>
      <c r="I991" s="3">
        <v>400</v>
      </c>
      <c r="J991" s="3" t="str">
        <f t="shared" si="61"/>
        <v>Low Price</v>
      </c>
      <c r="K991" t="s">
        <v>9</v>
      </c>
      <c r="L991" t="s">
        <v>24</v>
      </c>
      <c r="M991" t="s">
        <v>18</v>
      </c>
      <c r="N991">
        <v>0.16</v>
      </c>
      <c r="O991" t="str">
        <f t="shared" si="62"/>
        <v>Low</v>
      </c>
      <c r="P991">
        <f t="shared" si="63"/>
        <v>1200</v>
      </c>
      <c r="Q991" s="2">
        <f t="shared" si="64"/>
        <v>0.33333333333333331</v>
      </c>
    </row>
    <row r="992" spans="1:17" x14ac:dyDescent="0.3">
      <c r="A992" s="3">
        <v>34</v>
      </c>
      <c r="B992" s="3">
        <v>12</v>
      </c>
      <c r="C992" s="6">
        <v>4.5999999999999996</v>
      </c>
      <c r="D992" t="s">
        <v>13</v>
      </c>
      <c r="E992" s="3">
        <v>2000</v>
      </c>
      <c r="F992" s="6">
        <v>4.7</v>
      </c>
      <c r="G992" t="s">
        <v>60</v>
      </c>
      <c r="H992" s="2">
        <v>0.68</v>
      </c>
      <c r="I992" s="3">
        <v>800</v>
      </c>
      <c r="J992" s="3" t="str">
        <f t="shared" si="61"/>
        <v>Low Price</v>
      </c>
      <c r="K992" t="s">
        <v>9</v>
      </c>
      <c r="L992" t="s">
        <v>33</v>
      </c>
      <c r="M992" t="s">
        <v>18</v>
      </c>
      <c r="N992">
        <v>0.71</v>
      </c>
      <c r="O992" t="str">
        <f t="shared" si="62"/>
        <v>Medium</v>
      </c>
      <c r="P992">
        <f t="shared" si="63"/>
        <v>9600</v>
      </c>
      <c r="Q992" s="2">
        <f t="shared" si="64"/>
        <v>0.35294117647058826</v>
      </c>
    </row>
    <row r="993" spans="1:17" x14ac:dyDescent="0.3">
      <c r="A993" s="3">
        <v>18</v>
      </c>
      <c r="B993" s="3">
        <v>7</v>
      </c>
      <c r="C993" s="6">
        <v>3.6</v>
      </c>
      <c r="D993" t="s">
        <v>20</v>
      </c>
      <c r="E993" s="3">
        <v>800</v>
      </c>
      <c r="F993" s="6">
        <v>3.8</v>
      </c>
      <c r="G993" t="s">
        <v>39</v>
      </c>
      <c r="H993" s="2">
        <v>0.3</v>
      </c>
      <c r="I993" s="3">
        <v>1000</v>
      </c>
      <c r="J993" s="3" t="str">
        <f t="shared" si="61"/>
        <v>Medium Price</v>
      </c>
      <c r="K993" t="s">
        <v>9</v>
      </c>
      <c r="L993" t="s">
        <v>17</v>
      </c>
      <c r="M993" t="s">
        <v>18</v>
      </c>
      <c r="N993">
        <v>0.56000000000000005</v>
      </c>
      <c r="O993" t="str">
        <f t="shared" si="62"/>
        <v>Medium</v>
      </c>
      <c r="P993">
        <f t="shared" si="63"/>
        <v>7000</v>
      </c>
      <c r="Q993" s="2">
        <f t="shared" si="64"/>
        <v>0.3888888888888889</v>
      </c>
    </row>
    <row r="994" spans="1:17" x14ac:dyDescent="0.3">
      <c r="A994" s="3">
        <v>50</v>
      </c>
      <c r="B994" s="3">
        <v>20</v>
      </c>
      <c r="C994" s="6">
        <v>5</v>
      </c>
      <c r="D994" t="s">
        <v>13</v>
      </c>
      <c r="E994" s="3">
        <v>100</v>
      </c>
      <c r="F994" s="6">
        <v>5</v>
      </c>
      <c r="G994" t="s">
        <v>80</v>
      </c>
      <c r="H994" s="2">
        <v>0.95</v>
      </c>
      <c r="I994" s="3">
        <v>900</v>
      </c>
      <c r="J994" s="3" t="str">
        <f t="shared" si="61"/>
        <v>Low Price</v>
      </c>
      <c r="K994" t="s">
        <v>179</v>
      </c>
      <c r="L994" t="s">
        <v>33</v>
      </c>
      <c r="M994" t="s">
        <v>18</v>
      </c>
      <c r="N994">
        <v>0.97</v>
      </c>
      <c r="O994" t="str">
        <f t="shared" si="62"/>
        <v>High</v>
      </c>
      <c r="P994">
        <f t="shared" si="63"/>
        <v>18000</v>
      </c>
      <c r="Q994" s="2">
        <f t="shared" si="64"/>
        <v>0.4</v>
      </c>
    </row>
    <row r="995" spans="1:17" x14ac:dyDescent="0.3">
      <c r="A995" s="3">
        <v>11</v>
      </c>
      <c r="B995" s="3">
        <v>4</v>
      </c>
      <c r="C995" s="6">
        <v>3.1</v>
      </c>
      <c r="D995" t="s">
        <v>20</v>
      </c>
      <c r="E995" s="3">
        <v>400</v>
      </c>
      <c r="F995" s="6">
        <v>3.2</v>
      </c>
      <c r="G995" t="s">
        <v>95</v>
      </c>
      <c r="H995" s="2">
        <v>-0.1</v>
      </c>
      <c r="I995" s="3">
        <v>600</v>
      </c>
      <c r="J995" s="3" t="str">
        <f t="shared" si="61"/>
        <v>Low Price</v>
      </c>
      <c r="K995" t="s">
        <v>9</v>
      </c>
      <c r="L995" t="s">
        <v>24</v>
      </c>
      <c r="M995" t="s">
        <v>25</v>
      </c>
      <c r="N995">
        <v>0.35</v>
      </c>
      <c r="O995" t="str">
        <f t="shared" si="62"/>
        <v>Low</v>
      </c>
      <c r="P995">
        <f t="shared" si="63"/>
        <v>2400</v>
      </c>
      <c r="Q995" s="2">
        <f t="shared" si="64"/>
        <v>0.36363636363636365</v>
      </c>
    </row>
    <row r="996" spans="1:17" x14ac:dyDescent="0.3">
      <c r="A996" s="3">
        <v>38</v>
      </c>
      <c r="B996" s="3">
        <v>14</v>
      </c>
      <c r="C996" s="6">
        <v>4.9000000000000004</v>
      </c>
      <c r="D996" t="s">
        <v>20</v>
      </c>
      <c r="E996" s="3">
        <v>7000</v>
      </c>
      <c r="F996" s="6">
        <v>4.8</v>
      </c>
      <c r="G996" t="s">
        <v>42</v>
      </c>
      <c r="H996" s="2">
        <v>0.9</v>
      </c>
      <c r="I996" s="3">
        <v>900</v>
      </c>
      <c r="J996" s="3" t="str">
        <f t="shared" si="61"/>
        <v>Low Price</v>
      </c>
      <c r="K996" t="s">
        <v>9</v>
      </c>
      <c r="L996" t="s">
        <v>33</v>
      </c>
      <c r="M996" t="s">
        <v>34</v>
      </c>
      <c r="N996">
        <v>0.88</v>
      </c>
      <c r="O996" t="str">
        <f t="shared" si="62"/>
        <v>High</v>
      </c>
      <c r="P996">
        <f t="shared" si="63"/>
        <v>12600</v>
      </c>
      <c r="Q996" s="2">
        <f t="shared" si="64"/>
        <v>0.36842105263157893</v>
      </c>
    </row>
    <row r="997" spans="1:17" x14ac:dyDescent="0.3">
      <c r="A997" s="3">
        <v>23</v>
      </c>
      <c r="B997" s="3">
        <v>9</v>
      </c>
      <c r="C997" s="6">
        <v>4.4000000000000004</v>
      </c>
      <c r="D997" t="s">
        <v>13</v>
      </c>
      <c r="E997" s="3">
        <v>3000</v>
      </c>
      <c r="F997" s="6">
        <v>4.5</v>
      </c>
      <c r="G997" t="s">
        <v>48</v>
      </c>
      <c r="H997" s="2">
        <v>0.55000000000000004</v>
      </c>
      <c r="I997" s="3">
        <v>800</v>
      </c>
      <c r="J997" s="3" t="str">
        <f t="shared" si="61"/>
        <v>Low Price</v>
      </c>
      <c r="K997" t="s">
        <v>179</v>
      </c>
      <c r="L997" t="s">
        <v>17</v>
      </c>
      <c r="M997" t="s">
        <v>25</v>
      </c>
      <c r="N997">
        <v>0.69</v>
      </c>
      <c r="O997" t="str">
        <f t="shared" si="62"/>
        <v>Medium</v>
      </c>
      <c r="P997">
        <f t="shared" si="63"/>
        <v>7200</v>
      </c>
      <c r="Q997" s="2">
        <f t="shared" si="64"/>
        <v>0.39130434782608697</v>
      </c>
    </row>
    <row r="998" spans="1:17" x14ac:dyDescent="0.3">
      <c r="A998" s="3">
        <v>8</v>
      </c>
      <c r="B998" s="3">
        <v>2</v>
      </c>
      <c r="C998" s="6">
        <v>2.2000000000000002</v>
      </c>
      <c r="D998" t="s">
        <v>20</v>
      </c>
      <c r="E998" s="3">
        <v>1000</v>
      </c>
      <c r="F998" s="6">
        <v>2.2999999999999998</v>
      </c>
      <c r="G998" t="s">
        <v>39</v>
      </c>
      <c r="H998" s="2">
        <v>-0.6</v>
      </c>
      <c r="I998" s="3">
        <v>400</v>
      </c>
      <c r="J998" s="3" t="str">
        <f t="shared" si="61"/>
        <v>Low Price</v>
      </c>
      <c r="K998" t="s">
        <v>179</v>
      </c>
      <c r="L998" t="s">
        <v>33</v>
      </c>
      <c r="M998" t="s">
        <v>34</v>
      </c>
      <c r="N998">
        <v>0.14000000000000001</v>
      </c>
      <c r="O998" t="str">
        <f t="shared" si="62"/>
        <v>Low</v>
      </c>
      <c r="P998">
        <f t="shared" si="63"/>
        <v>800</v>
      </c>
      <c r="Q998" s="2">
        <f t="shared" si="64"/>
        <v>0.25</v>
      </c>
    </row>
    <row r="999" spans="1:17" x14ac:dyDescent="0.3">
      <c r="A999" s="3">
        <v>35</v>
      </c>
      <c r="B999" s="3">
        <v>11</v>
      </c>
      <c r="C999" s="6">
        <v>4.7</v>
      </c>
      <c r="D999" t="s">
        <v>13</v>
      </c>
      <c r="E999" s="3">
        <v>600</v>
      </c>
      <c r="F999" s="6">
        <v>4.8</v>
      </c>
      <c r="G999" t="s">
        <v>31</v>
      </c>
      <c r="H999" s="2">
        <v>0.78</v>
      </c>
      <c r="I999" s="3">
        <v>600</v>
      </c>
      <c r="J999" s="3" t="str">
        <f t="shared" si="61"/>
        <v>Low Price</v>
      </c>
      <c r="K999" t="s">
        <v>9</v>
      </c>
      <c r="L999" t="s">
        <v>33</v>
      </c>
      <c r="M999" t="s">
        <v>18</v>
      </c>
      <c r="N999">
        <v>0.76</v>
      </c>
      <c r="O999" t="str">
        <f t="shared" si="62"/>
        <v>Medium</v>
      </c>
      <c r="P999">
        <f t="shared" si="63"/>
        <v>6600</v>
      </c>
      <c r="Q999" s="2">
        <f t="shared" si="64"/>
        <v>0.31428571428571428</v>
      </c>
    </row>
    <row r="1000" spans="1:17" x14ac:dyDescent="0.3">
      <c r="A1000" s="3">
        <v>15</v>
      </c>
      <c r="B1000" s="3">
        <v>6</v>
      </c>
      <c r="C1000" s="6">
        <v>3.5</v>
      </c>
      <c r="D1000" t="s">
        <v>20</v>
      </c>
      <c r="E1000" s="3">
        <v>200</v>
      </c>
      <c r="F1000" s="6">
        <v>3.7</v>
      </c>
      <c r="G1000" t="s">
        <v>60</v>
      </c>
      <c r="H1000" s="2">
        <v>0.2</v>
      </c>
      <c r="I1000" s="3">
        <v>700</v>
      </c>
      <c r="J1000" s="3" t="str">
        <f t="shared" si="61"/>
        <v>Low Price</v>
      </c>
      <c r="K1000" t="s">
        <v>179</v>
      </c>
      <c r="L1000" t="s">
        <v>17</v>
      </c>
      <c r="M1000" t="s">
        <v>25</v>
      </c>
      <c r="N1000">
        <v>0.42</v>
      </c>
      <c r="O1000" t="str">
        <f t="shared" si="62"/>
        <v>Medium</v>
      </c>
      <c r="P1000">
        <f t="shared" si="63"/>
        <v>4200</v>
      </c>
      <c r="Q1000" s="2">
        <f t="shared" si="64"/>
        <v>0.4</v>
      </c>
    </row>
    <row r="1001" spans="1:17" x14ac:dyDescent="0.3">
      <c r="A1001" s="3">
        <v>42</v>
      </c>
      <c r="B1001" s="3">
        <v>15</v>
      </c>
      <c r="C1001" s="6">
        <v>4.8</v>
      </c>
      <c r="D1001" t="s">
        <v>20</v>
      </c>
      <c r="E1001" s="3">
        <v>500</v>
      </c>
      <c r="F1001" s="6">
        <v>4.9000000000000004</v>
      </c>
      <c r="G1001" t="s">
        <v>66</v>
      </c>
      <c r="H1001" s="2">
        <v>0.88</v>
      </c>
      <c r="I1001" s="3">
        <v>700</v>
      </c>
      <c r="J1001" s="3" t="str">
        <f t="shared" si="61"/>
        <v>Low Price</v>
      </c>
      <c r="K1001" t="s">
        <v>179</v>
      </c>
      <c r="L1001" t="s">
        <v>33</v>
      </c>
      <c r="M1001" t="s">
        <v>25</v>
      </c>
      <c r="N1001">
        <v>0.86</v>
      </c>
      <c r="O1001" t="str">
        <f t="shared" si="62"/>
        <v>High</v>
      </c>
      <c r="P1001">
        <f t="shared" si="63"/>
        <v>10500</v>
      </c>
      <c r="Q1001" s="2">
        <f t="shared" si="64"/>
        <v>0.35714285714285715</v>
      </c>
    </row>
    <row r="1002" spans="1:17" x14ac:dyDescent="0.3">
      <c r="A1002" s="3">
        <v>7</v>
      </c>
      <c r="B1002" s="3">
        <v>1</v>
      </c>
      <c r="C1002" s="6">
        <v>2</v>
      </c>
      <c r="D1002" t="s">
        <v>13</v>
      </c>
      <c r="E1002" s="3">
        <v>200</v>
      </c>
      <c r="F1002" s="6">
        <v>2.1</v>
      </c>
      <c r="G1002" t="s">
        <v>72</v>
      </c>
      <c r="H1002" s="2">
        <v>-0.8</v>
      </c>
      <c r="I1002" s="3">
        <v>200</v>
      </c>
      <c r="J1002" s="3" t="str">
        <f t="shared" si="61"/>
        <v>Low Price</v>
      </c>
      <c r="K1002" t="s">
        <v>9</v>
      </c>
      <c r="L1002" t="s">
        <v>33</v>
      </c>
      <c r="M1002" t="s">
        <v>18</v>
      </c>
      <c r="N1002">
        <v>0.05</v>
      </c>
      <c r="O1002" t="str">
        <f t="shared" si="62"/>
        <v>Low</v>
      </c>
      <c r="P1002">
        <f t="shared" si="63"/>
        <v>200</v>
      </c>
      <c r="Q1002" s="2">
        <f t="shared" si="64"/>
        <v>0.14285714285714285</v>
      </c>
    </row>
    <row r="1003" spans="1:17" x14ac:dyDescent="0.3">
      <c r="A1003" s="3">
        <v>31</v>
      </c>
      <c r="B1003" s="3">
        <v>13</v>
      </c>
      <c r="C1003" s="6">
        <v>4.5</v>
      </c>
      <c r="D1003" t="s">
        <v>20</v>
      </c>
      <c r="E1003" s="3">
        <v>4000</v>
      </c>
      <c r="F1003" s="6">
        <v>4.5999999999999996</v>
      </c>
      <c r="G1003" t="s">
        <v>47</v>
      </c>
      <c r="H1003" s="2">
        <v>0.75</v>
      </c>
      <c r="I1003" s="3">
        <v>800</v>
      </c>
      <c r="J1003" s="3" t="str">
        <f t="shared" si="61"/>
        <v>Low Price</v>
      </c>
      <c r="K1003" t="s">
        <v>9</v>
      </c>
      <c r="L1003" t="s">
        <v>33</v>
      </c>
      <c r="M1003" t="s">
        <v>34</v>
      </c>
      <c r="N1003">
        <v>0.78</v>
      </c>
      <c r="O1003" t="str">
        <f t="shared" si="62"/>
        <v>Medium</v>
      </c>
      <c r="P1003">
        <f t="shared" si="63"/>
        <v>10400</v>
      </c>
      <c r="Q1003" s="2">
        <f t="shared" si="64"/>
        <v>0.41935483870967744</v>
      </c>
    </row>
    <row r="1004" spans="1:17" x14ac:dyDescent="0.3">
      <c r="A1004" s="3">
        <v>20</v>
      </c>
      <c r="B1004" s="3">
        <v>8</v>
      </c>
      <c r="C1004" s="6">
        <v>3.7</v>
      </c>
      <c r="D1004" t="s">
        <v>13</v>
      </c>
      <c r="E1004" s="3">
        <v>1500</v>
      </c>
      <c r="F1004" s="6">
        <v>3.8</v>
      </c>
      <c r="G1004" t="s">
        <v>50</v>
      </c>
      <c r="H1004" s="2">
        <v>0.4</v>
      </c>
      <c r="I1004" s="3">
        <v>1000</v>
      </c>
      <c r="J1004" s="3" t="str">
        <f t="shared" si="61"/>
        <v>Medium Price</v>
      </c>
      <c r="K1004" t="s">
        <v>9</v>
      </c>
      <c r="L1004" t="s">
        <v>29</v>
      </c>
      <c r="M1004" t="s">
        <v>18</v>
      </c>
      <c r="N1004">
        <v>0.63</v>
      </c>
      <c r="O1004" t="str">
        <f t="shared" si="62"/>
        <v>Medium</v>
      </c>
      <c r="P1004">
        <f t="shared" si="63"/>
        <v>8000</v>
      </c>
      <c r="Q1004" s="2">
        <f t="shared" si="64"/>
        <v>0.4</v>
      </c>
    </row>
    <row r="1005" spans="1:17" x14ac:dyDescent="0.3">
      <c r="A1005" s="3">
        <v>49</v>
      </c>
      <c r="B1005" s="3">
        <v>19</v>
      </c>
      <c r="C1005" s="6">
        <v>4.9000000000000004</v>
      </c>
      <c r="D1005" t="s">
        <v>13</v>
      </c>
      <c r="E1005" s="3">
        <v>800</v>
      </c>
      <c r="F1005" s="6">
        <v>4.7</v>
      </c>
      <c r="G1005" t="s">
        <v>69</v>
      </c>
      <c r="H1005" s="2">
        <v>0.9</v>
      </c>
      <c r="I1005" s="3">
        <v>500</v>
      </c>
      <c r="J1005" s="3" t="str">
        <f t="shared" si="61"/>
        <v>Low Price</v>
      </c>
      <c r="K1005" t="s">
        <v>179</v>
      </c>
      <c r="L1005" t="s">
        <v>17</v>
      </c>
      <c r="M1005" t="s">
        <v>18</v>
      </c>
      <c r="N1005">
        <v>0.8</v>
      </c>
      <c r="O1005" t="str">
        <f t="shared" si="62"/>
        <v>High</v>
      </c>
      <c r="P1005">
        <f t="shared" si="63"/>
        <v>9500</v>
      </c>
      <c r="Q1005" s="2">
        <f t="shared" si="64"/>
        <v>0.38775510204081631</v>
      </c>
    </row>
    <row r="1006" spans="1:17" x14ac:dyDescent="0.3">
      <c r="A1006" s="3">
        <v>10</v>
      </c>
      <c r="B1006" s="3">
        <v>3</v>
      </c>
      <c r="C1006" s="6">
        <v>2.9</v>
      </c>
      <c r="D1006" t="s">
        <v>20</v>
      </c>
      <c r="E1006" s="3">
        <v>100</v>
      </c>
      <c r="F1006" s="6">
        <v>3</v>
      </c>
      <c r="G1006" t="s">
        <v>39</v>
      </c>
      <c r="H1006" s="2">
        <v>-0.2</v>
      </c>
      <c r="I1006" s="3">
        <v>400</v>
      </c>
      <c r="J1006" s="3" t="str">
        <f t="shared" si="61"/>
        <v>Low Price</v>
      </c>
      <c r="K1006" t="s">
        <v>179</v>
      </c>
      <c r="L1006" t="s">
        <v>24</v>
      </c>
      <c r="M1006" t="s">
        <v>25</v>
      </c>
      <c r="N1006">
        <v>0.21</v>
      </c>
      <c r="O1006" t="str">
        <f t="shared" si="62"/>
        <v>Low</v>
      </c>
      <c r="P1006">
        <f t="shared" si="63"/>
        <v>1200</v>
      </c>
      <c r="Q1006" s="2">
        <f t="shared" si="64"/>
        <v>0.3</v>
      </c>
    </row>
    <row r="1007" spans="1:17" x14ac:dyDescent="0.3">
      <c r="A1007" s="3">
        <v>36</v>
      </c>
      <c r="B1007" s="3">
        <v>12</v>
      </c>
      <c r="C1007" s="6">
        <v>4.5999999999999996</v>
      </c>
      <c r="D1007" t="s">
        <v>20</v>
      </c>
      <c r="E1007" s="3">
        <v>1500</v>
      </c>
      <c r="F1007" s="6">
        <v>4.5</v>
      </c>
      <c r="G1007" t="s">
        <v>78</v>
      </c>
      <c r="H1007" s="2">
        <v>0.8</v>
      </c>
      <c r="I1007" s="3">
        <v>600</v>
      </c>
      <c r="J1007" s="3" t="str">
        <f t="shared" si="61"/>
        <v>Low Price</v>
      </c>
      <c r="K1007" t="s">
        <v>179</v>
      </c>
      <c r="L1007" t="s">
        <v>17</v>
      </c>
      <c r="M1007" t="s">
        <v>25</v>
      </c>
      <c r="N1007">
        <v>0.79</v>
      </c>
      <c r="O1007" t="str">
        <f t="shared" si="62"/>
        <v>Medium</v>
      </c>
      <c r="P1007">
        <f t="shared" si="63"/>
        <v>7200</v>
      </c>
      <c r="Q1007" s="2">
        <f t="shared" si="64"/>
        <v>0.33333333333333331</v>
      </c>
    </row>
    <row r="1008" spans="1:17" x14ac:dyDescent="0.3">
      <c r="A1008" s="3">
        <v>24</v>
      </c>
      <c r="B1008" s="3">
        <v>7</v>
      </c>
      <c r="C1008" s="6">
        <v>3.8</v>
      </c>
      <c r="D1008" t="s">
        <v>13</v>
      </c>
      <c r="E1008" s="3">
        <v>5000</v>
      </c>
      <c r="F1008" s="6">
        <v>4</v>
      </c>
      <c r="G1008" t="s">
        <v>44</v>
      </c>
      <c r="H1008" s="2">
        <v>0.5</v>
      </c>
      <c r="I1008" s="3">
        <v>700</v>
      </c>
      <c r="J1008" s="3" t="str">
        <f t="shared" si="61"/>
        <v>Low Price</v>
      </c>
      <c r="K1008" t="s">
        <v>9</v>
      </c>
      <c r="L1008" t="s">
        <v>33</v>
      </c>
      <c r="M1008" t="s">
        <v>34</v>
      </c>
      <c r="N1008">
        <v>0.68</v>
      </c>
      <c r="O1008" t="str">
        <f t="shared" si="62"/>
        <v>Medium</v>
      </c>
      <c r="P1008">
        <f t="shared" si="63"/>
        <v>4900</v>
      </c>
      <c r="Q1008" s="2">
        <f t="shared" si="64"/>
        <v>0.29166666666666669</v>
      </c>
    </row>
    <row r="1009" spans="1:17" x14ac:dyDescent="0.3">
      <c r="A1009" s="3">
        <v>45</v>
      </c>
      <c r="B1009" s="3">
        <v>16</v>
      </c>
      <c r="C1009" s="6">
        <v>4.7</v>
      </c>
      <c r="D1009" t="s">
        <v>13</v>
      </c>
      <c r="E1009" s="3">
        <v>700</v>
      </c>
      <c r="F1009" s="6">
        <v>4.9000000000000004</v>
      </c>
      <c r="G1009" t="s">
        <v>48</v>
      </c>
      <c r="H1009" s="2">
        <v>0.86</v>
      </c>
      <c r="I1009" s="3">
        <v>300</v>
      </c>
      <c r="J1009" s="3" t="str">
        <f t="shared" si="61"/>
        <v>Low Price</v>
      </c>
      <c r="K1009" t="s">
        <v>9</v>
      </c>
      <c r="L1009" t="s">
        <v>33</v>
      </c>
      <c r="M1009" t="s">
        <v>25</v>
      </c>
      <c r="N1009">
        <v>0.9</v>
      </c>
      <c r="O1009" t="str">
        <f t="shared" si="62"/>
        <v>High</v>
      </c>
      <c r="P1009">
        <f t="shared" si="63"/>
        <v>4800</v>
      </c>
      <c r="Q1009" s="2">
        <f t="shared" si="64"/>
        <v>0.35555555555555557</v>
      </c>
    </row>
    <row r="1010" spans="1:17" x14ac:dyDescent="0.3">
      <c r="A1010" s="3">
        <v>16</v>
      </c>
      <c r="B1010" s="3">
        <v>5</v>
      </c>
      <c r="C1010" s="6">
        <v>3.2</v>
      </c>
      <c r="D1010" t="s">
        <v>20</v>
      </c>
      <c r="E1010" s="3">
        <v>200</v>
      </c>
      <c r="F1010" s="6">
        <v>3.5</v>
      </c>
      <c r="G1010" t="s">
        <v>70</v>
      </c>
      <c r="H1010" s="2">
        <v>0.15</v>
      </c>
      <c r="I1010" s="3">
        <v>100</v>
      </c>
      <c r="J1010" s="3" t="str">
        <f t="shared" si="61"/>
        <v>Low Price</v>
      </c>
      <c r="K1010" t="s">
        <v>9</v>
      </c>
      <c r="L1010" t="s">
        <v>29</v>
      </c>
      <c r="M1010" t="s">
        <v>18</v>
      </c>
      <c r="N1010">
        <v>0.32</v>
      </c>
      <c r="O1010" t="str">
        <f t="shared" si="62"/>
        <v>Low</v>
      </c>
      <c r="P1010">
        <f t="shared" si="63"/>
        <v>500</v>
      </c>
      <c r="Q1010" s="2">
        <f t="shared" si="64"/>
        <v>0.3125</v>
      </c>
    </row>
    <row r="1011" spans="1:17" x14ac:dyDescent="0.3">
      <c r="A1011" s="3">
        <v>29</v>
      </c>
      <c r="B1011" s="3">
        <v>10</v>
      </c>
      <c r="C1011" s="6">
        <v>4.4000000000000004</v>
      </c>
      <c r="D1011" t="s">
        <v>13</v>
      </c>
      <c r="E1011" s="3">
        <v>300</v>
      </c>
      <c r="F1011" s="6">
        <v>4.3</v>
      </c>
      <c r="G1011" t="s">
        <v>39</v>
      </c>
      <c r="H1011" s="2">
        <v>0.72</v>
      </c>
      <c r="I1011" s="3">
        <v>500</v>
      </c>
      <c r="J1011" s="3" t="str">
        <f t="shared" si="61"/>
        <v>Low Price</v>
      </c>
      <c r="K1011" t="s">
        <v>9</v>
      </c>
      <c r="L1011" t="s">
        <v>33</v>
      </c>
      <c r="M1011" t="s">
        <v>18</v>
      </c>
      <c r="N1011">
        <v>0.72</v>
      </c>
      <c r="O1011" t="str">
        <f t="shared" si="62"/>
        <v>Medium</v>
      </c>
      <c r="P1011">
        <f t="shared" si="63"/>
        <v>5000</v>
      </c>
      <c r="Q1011" s="2">
        <f t="shared" si="64"/>
        <v>0.34482758620689657</v>
      </c>
    </row>
    <row r="1012" spans="1:17" x14ac:dyDescent="0.3">
      <c r="A1012" s="3">
        <v>43</v>
      </c>
      <c r="B1012" s="3">
        <v>14</v>
      </c>
      <c r="C1012" s="6">
        <v>4.8</v>
      </c>
      <c r="D1012" t="s">
        <v>20</v>
      </c>
      <c r="E1012" s="3">
        <v>6000</v>
      </c>
      <c r="F1012" s="6">
        <v>4.9000000000000004</v>
      </c>
      <c r="G1012" t="s">
        <v>42</v>
      </c>
      <c r="H1012" s="2">
        <v>0.92</v>
      </c>
      <c r="I1012" s="3">
        <v>800</v>
      </c>
      <c r="J1012" s="3" t="str">
        <f t="shared" si="61"/>
        <v>Low Price</v>
      </c>
      <c r="K1012" t="s">
        <v>179</v>
      </c>
      <c r="L1012" t="s">
        <v>17</v>
      </c>
      <c r="M1012" t="s">
        <v>34</v>
      </c>
      <c r="N1012">
        <v>0.85</v>
      </c>
      <c r="O1012" t="str">
        <f t="shared" si="62"/>
        <v>High</v>
      </c>
      <c r="P1012">
        <f t="shared" si="63"/>
        <v>11200</v>
      </c>
      <c r="Q1012" s="2">
        <f t="shared" si="64"/>
        <v>0.32558139534883723</v>
      </c>
    </row>
    <row r="1013" spans="1:17" x14ac:dyDescent="0.3">
      <c r="A1013" s="3">
        <v>21</v>
      </c>
      <c r="B1013" s="3">
        <v>9</v>
      </c>
      <c r="C1013" s="6">
        <v>4.0999999999999996</v>
      </c>
      <c r="D1013" t="s">
        <v>20</v>
      </c>
      <c r="E1013" s="3">
        <v>800</v>
      </c>
      <c r="F1013" s="6">
        <v>4.3</v>
      </c>
      <c r="G1013" t="s">
        <v>69</v>
      </c>
      <c r="H1013" s="2">
        <v>0.45</v>
      </c>
      <c r="I1013" s="3">
        <v>1000</v>
      </c>
      <c r="J1013" s="3" t="str">
        <f t="shared" si="61"/>
        <v>Medium Price</v>
      </c>
      <c r="K1013" t="s">
        <v>9</v>
      </c>
      <c r="L1013" t="s">
        <v>33</v>
      </c>
      <c r="M1013" t="s">
        <v>25</v>
      </c>
      <c r="N1013">
        <v>0.72</v>
      </c>
      <c r="O1013" t="str">
        <f t="shared" si="62"/>
        <v>Medium</v>
      </c>
      <c r="P1013">
        <f t="shared" si="63"/>
        <v>9000</v>
      </c>
      <c r="Q1013" s="2">
        <f t="shared" si="64"/>
        <v>0.42857142857142855</v>
      </c>
    </row>
    <row r="1014" spans="1:17" x14ac:dyDescent="0.3">
      <c r="A1014" s="3">
        <v>5</v>
      </c>
      <c r="B1014" s="3">
        <v>1</v>
      </c>
      <c r="C1014" s="6">
        <v>1.8</v>
      </c>
      <c r="D1014" t="s">
        <v>13</v>
      </c>
      <c r="E1014" s="3">
        <v>200</v>
      </c>
      <c r="F1014" s="6">
        <v>2</v>
      </c>
      <c r="G1014" t="s">
        <v>72</v>
      </c>
      <c r="H1014" s="2">
        <v>-0.9</v>
      </c>
      <c r="I1014" s="3">
        <v>300</v>
      </c>
      <c r="J1014" s="3" t="str">
        <f t="shared" si="61"/>
        <v>Low Price</v>
      </c>
      <c r="K1014" t="s">
        <v>9</v>
      </c>
      <c r="L1014" t="s">
        <v>29</v>
      </c>
      <c r="M1014" t="s">
        <v>34</v>
      </c>
      <c r="N1014">
        <v>0.01</v>
      </c>
      <c r="O1014" t="str">
        <f t="shared" si="62"/>
        <v>Low</v>
      </c>
      <c r="P1014">
        <f t="shared" si="63"/>
        <v>300</v>
      </c>
      <c r="Q1014" s="2">
        <f t="shared" si="64"/>
        <v>0.2</v>
      </c>
    </row>
    <row r="1015" spans="1:17" x14ac:dyDescent="0.3">
      <c r="A1015" s="3">
        <v>37</v>
      </c>
      <c r="B1015" s="3">
        <v>13</v>
      </c>
      <c r="C1015" s="6">
        <v>4.7</v>
      </c>
      <c r="D1015" t="s">
        <v>20</v>
      </c>
      <c r="E1015" s="3">
        <v>900</v>
      </c>
      <c r="F1015" s="6">
        <v>4.5999999999999996</v>
      </c>
      <c r="G1015" t="s">
        <v>31</v>
      </c>
      <c r="H1015" s="2">
        <v>0.75</v>
      </c>
      <c r="I1015" s="3">
        <v>600</v>
      </c>
      <c r="J1015" s="3" t="str">
        <f t="shared" si="61"/>
        <v>Low Price</v>
      </c>
      <c r="K1015" t="s">
        <v>179</v>
      </c>
      <c r="L1015" t="s">
        <v>33</v>
      </c>
      <c r="M1015" t="s">
        <v>18</v>
      </c>
      <c r="N1015">
        <v>0.77</v>
      </c>
      <c r="O1015" t="str">
        <f t="shared" si="62"/>
        <v>Medium</v>
      </c>
      <c r="P1015">
        <f t="shared" si="63"/>
        <v>7800</v>
      </c>
      <c r="Q1015" s="2">
        <f t="shared" si="64"/>
        <v>0.35135135135135137</v>
      </c>
    </row>
    <row r="1016" spans="1:17" x14ac:dyDescent="0.3">
      <c r="A1016" s="3">
        <v>22</v>
      </c>
      <c r="B1016" s="3">
        <v>8</v>
      </c>
      <c r="C1016" s="6">
        <v>3.9</v>
      </c>
      <c r="D1016" t="s">
        <v>13</v>
      </c>
      <c r="E1016" s="3">
        <v>4000</v>
      </c>
      <c r="F1016" s="6">
        <v>4.0999999999999996</v>
      </c>
      <c r="G1016" t="s">
        <v>50</v>
      </c>
      <c r="H1016" s="2">
        <v>0.6</v>
      </c>
      <c r="I1016" s="3">
        <v>900</v>
      </c>
      <c r="J1016" s="3" t="str">
        <f t="shared" si="61"/>
        <v>Low Price</v>
      </c>
      <c r="K1016" t="s">
        <v>9</v>
      </c>
      <c r="L1016" t="s">
        <v>17</v>
      </c>
      <c r="M1016" t="s">
        <v>25</v>
      </c>
      <c r="N1016">
        <v>0.76</v>
      </c>
      <c r="O1016" t="str">
        <f t="shared" si="62"/>
        <v>Medium</v>
      </c>
      <c r="P1016">
        <f t="shared" si="63"/>
        <v>7200</v>
      </c>
      <c r="Q1016" s="2">
        <f t="shared" si="64"/>
        <v>0.36363636363636365</v>
      </c>
    </row>
    <row r="1017" spans="1:17" x14ac:dyDescent="0.3">
      <c r="A1017" s="3">
        <v>40</v>
      </c>
      <c r="B1017" s="3">
        <v>15</v>
      </c>
      <c r="C1017" s="6">
        <v>4.8</v>
      </c>
      <c r="D1017" t="s">
        <v>20</v>
      </c>
      <c r="E1017" s="3">
        <v>700</v>
      </c>
      <c r="F1017" s="6">
        <v>4.9000000000000004</v>
      </c>
      <c r="G1017" t="s">
        <v>48</v>
      </c>
      <c r="H1017" s="2">
        <v>0.9</v>
      </c>
      <c r="I1017" s="3">
        <v>500</v>
      </c>
      <c r="J1017" s="3" t="str">
        <f t="shared" si="61"/>
        <v>Low Price</v>
      </c>
      <c r="K1017" t="s">
        <v>179</v>
      </c>
      <c r="L1017" t="s">
        <v>33</v>
      </c>
      <c r="M1017" t="s">
        <v>25</v>
      </c>
      <c r="N1017">
        <v>0.82</v>
      </c>
      <c r="O1017" t="str">
        <f t="shared" si="62"/>
        <v>High</v>
      </c>
      <c r="P1017">
        <f t="shared" si="63"/>
        <v>7500</v>
      </c>
      <c r="Q1017" s="2">
        <f t="shared" si="64"/>
        <v>0.375</v>
      </c>
    </row>
    <row r="1018" spans="1:17" x14ac:dyDescent="0.3">
      <c r="A1018" s="3">
        <v>12</v>
      </c>
      <c r="B1018" s="3">
        <v>4</v>
      </c>
      <c r="C1018" s="6">
        <v>3</v>
      </c>
      <c r="D1018" t="s">
        <v>13</v>
      </c>
      <c r="E1018" s="3">
        <v>5000</v>
      </c>
      <c r="F1018" s="6">
        <v>3.2</v>
      </c>
      <c r="G1018" t="s">
        <v>27</v>
      </c>
      <c r="H1018" s="2">
        <v>0.1</v>
      </c>
      <c r="I1018" s="3">
        <v>600</v>
      </c>
      <c r="J1018" s="3" t="str">
        <f t="shared" si="61"/>
        <v>Low Price</v>
      </c>
      <c r="K1018" t="s">
        <v>179</v>
      </c>
      <c r="L1018" t="s">
        <v>33</v>
      </c>
      <c r="M1018" t="s">
        <v>18</v>
      </c>
      <c r="N1018">
        <v>0.41</v>
      </c>
      <c r="O1018" t="str">
        <f t="shared" si="62"/>
        <v>Medium</v>
      </c>
      <c r="P1018">
        <f t="shared" si="63"/>
        <v>2400</v>
      </c>
      <c r="Q1018" s="2">
        <f>B1018/A1018</f>
        <v>0.33333333333333331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5C2E-ABD6-42DC-A975-FF51512D6F5A}">
  <dimension ref="A2:E91"/>
  <sheetViews>
    <sheetView zoomScale="85" zoomScaleNormal="85" workbookViewId="0">
      <selection activeCell="C84" sqref="C84"/>
    </sheetView>
  </sheetViews>
  <sheetFormatPr defaultRowHeight="14.4" x14ac:dyDescent="0.3"/>
  <cols>
    <col min="1" max="1" width="18.44140625" bestFit="1" customWidth="1"/>
    <col min="2" max="2" width="31.44140625" customWidth="1"/>
    <col min="3" max="3" width="34.77734375" bestFit="1" customWidth="1"/>
    <col min="4" max="4" width="8.109375" bestFit="1" customWidth="1"/>
    <col min="5" max="5" width="17.44140625" customWidth="1"/>
    <col min="6" max="26" width="8.109375" bestFit="1" customWidth="1"/>
    <col min="27" max="27" width="18.44140625" bestFit="1" customWidth="1"/>
    <col min="28" max="30" width="4" bestFit="1" customWidth="1"/>
    <col min="31" max="31" width="2" bestFit="1" customWidth="1"/>
    <col min="32" max="40" width="4" bestFit="1" customWidth="1"/>
    <col min="41" max="41" width="2" bestFit="1" customWidth="1"/>
    <col min="42" max="44" width="18.44140625" bestFit="1" customWidth="1"/>
    <col min="45" max="45" width="5.21875" bestFit="1" customWidth="1"/>
    <col min="46" max="46" width="12.109375" bestFit="1" customWidth="1"/>
    <col min="47" max="51" width="5.21875" bestFit="1" customWidth="1"/>
    <col min="52" max="52" width="12.109375" bestFit="1" customWidth="1"/>
    <col min="53" max="58" width="5.21875" bestFit="1" customWidth="1"/>
    <col min="59" max="59" width="12.109375" bestFit="1" customWidth="1"/>
    <col min="60" max="64" width="5.21875" bestFit="1" customWidth="1"/>
    <col min="65" max="65" width="12.109375" bestFit="1" customWidth="1"/>
    <col min="66" max="72" width="5.21875" bestFit="1" customWidth="1"/>
    <col min="73" max="73" width="12.109375" bestFit="1" customWidth="1"/>
    <col min="74" max="80" width="5.21875" bestFit="1" customWidth="1"/>
    <col min="81" max="81" width="12.109375" bestFit="1" customWidth="1"/>
    <col min="82" max="86" width="5.21875" bestFit="1" customWidth="1"/>
    <col min="87" max="87" width="12.109375" bestFit="1" customWidth="1"/>
    <col min="88" max="95" width="5.21875" bestFit="1" customWidth="1"/>
    <col min="96" max="96" width="12.109375" bestFit="1" customWidth="1"/>
    <col min="97" max="103" width="5.21875" bestFit="1" customWidth="1"/>
    <col min="104" max="104" width="12.109375" bestFit="1" customWidth="1"/>
    <col min="105" max="113" width="5.21875" bestFit="1" customWidth="1"/>
    <col min="114" max="114" width="12.109375" bestFit="1" customWidth="1"/>
    <col min="115" max="125" width="5.21875" bestFit="1" customWidth="1"/>
    <col min="126" max="126" width="12.109375" bestFit="1" customWidth="1"/>
    <col min="127" max="136" width="5.21875" bestFit="1" customWidth="1"/>
    <col min="137" max="137" width="12.109375" bestFit="1" customWidth="1"/>
    <col min="138" max="145" width="5.21875" bestFit="1" customWidth="1"/>
    <col min="146" max="146" width="12.109375" bestFit="1" customWidth="1"/>
    <col min="147" max="156" width="5.21875" bestFit="1" customWidth="1"/>
    <col min="157" max="157" width="12.109375" bestFit="1" customWidth="1"/>
    <col min="158" max="173" width="6" bestFit="1" customWidth="1"/>
    <col min="174" max="174" width="12.109375" bestFit="1" customWidth="1"/>
    <col min="175" max="183" width="5.21875" bestFit="1" customWidth="1"/>
    <col min="184" max="184" width="12.109375" bestFit="1" customWidth="1"/>
    <col min="185" max="194" width="6" bestFit="1" customWidth="1"/>
    <col min="195" max="195" width="12.109375" bestFit="1" customWidth="1"/>
    <col min="196" max="210" width="5.21875" bestFit="1" customWidth="1"/>
    <col min="211" max="211" width="12.109375" bestFit="1" customWidth="1"/>
    <col min="212" max="224" width="5.21875" bestFit="1" customWidth="1"/>
    <col min="225" max="225" width="12.109375" bestFit="1" customWidth="1"/>
    <col min="226" max="236" width="5.21875" bestFit="1" customWidth="1"/>
    <col min="237" max="237" width="12.109375" bestFit="1" customWidth="1"/>
    <col min="238" max="246" width="5.21875" bestFit="1" customWidth="1"/>
    <col min="247" max="247" width="12.109375" bestFit="1" customWidth="1"/>
    <col min="248" max="259" width="5.21875" bestFit="1" customWidth="1"/>
    <col min="260" max="260" width="12.109375" bestFit="1" customWidth="1"/>
    <col min="261" max="275" width="5.21875" bestFit="1" customWidth="1"/>
    <col min="276" max="276" width="12.109375" bestFit="1" customWidth="1"/>
    <col min="277" max="291" width="6" bestFit="1" customWidth="1"/>
    <col min="292" max="292" width="12.109375" bestFit="1" customWidth="1"/>
    <col min="293" max="311" width="6" bestFit="1" customWidth="1"/>
    <col min="312" max="312" width="12.109375" bestFit="1" customWidth="1"/>
    <col min="313" max="331" width="5.21875" bestFit="1" customWidth="1"/>
    <col min="332" max="332" width="12.109375" bestFit="1" customWidth="1"/>
    <col min="333" max="356" width="5.21875" bestFit="1" customWidth="1"/>
    <col min="357" max="357" width="12.109375" bestFit="1" customWidth="1"/>
    <col min="358" max="377" width="6" bestFit="1" customWidth="1"/>
    <col min="378" max="378" width="12.109375" bestFit="1" customWidth="1"/>
    <col min="379" max="394" width="6" bestFit="1" customWidth="1"/>
    <col min="395" max="395" width="12.109375" bestFit="1" customWidth="1"/>
    <col min="396" max="405" width="5.21875" bestFit="1" customWidth="1"/>
    <col min="406" max="406" width="12.109375" bestFit="1" customWidth="1"/>
    <col min="407" max="407" width="18.44140625" bestFit="1" customWidth="1"/>
  </cols>
  <sheetData>
    <row r="2" spans="1:5" x14ac:dyDescent="0.3">
      <c r="A2" s="4" t="s">
        <v>178</v>
      </c>
      <c r="B2" s="4" t="s">
        <v>177</v>
      </c>
    </row>
    <row r="3" spans="1:5" x14ac:dyDescent="0.3">
      <c r="A3" s="4" t="s">
        <v>175</v>
      </c>
      <c r="B3" t="s">
        <v>34</v>
      </c>
      <c r="C3" t="s">
        <v>25</v>
      </c>
      <c r="D3" t="s">
        <v>18</v>
      </c>
      <c r="E3" t="s">
        <v>176</v>
      </c>
    </row>
    <row r="4" spans="1:5" x14ac:dyDescent="0.3">
      <c r="A4" s="5" t="s">
        <v>24</v>
      </c>
      <c r="B4" s="3">
        <v>150</v>
      </c>
      <c r="C4" s="3">
        <v>585</v>
      </c>
      <c r="D4" s="3">
        <v>264</v>
      </c>
      <c r="E4" s="3">
        <v>999</v>
      </c>
    </row>
    <row r="5" spans="1:5" x14ac:dyDescent="0.3">
      <c r="A5" s="5" t="s">
        <v>29</v>
      </c>
      <c r="B5" s="3">
        <v>190</v>
      </c>
      <c r="C5" s="3">
        <v>128</v>
      </c>
      <c r="D5" s="3">
        <v>763</v>
      </c>
      <c r="E5" s="3">
        <v>1081</v>
      </c>
    </row>
    <row r="6" spans="1:5" x14ac:dyDescent="0.3">
      <c r="A6" s="5" t="s">
        <v>33</v>
      </c>
      <c r="B6" s="3">
        <v>755</v>
      </c>
      <c r="C6" s="3">
        <v>573</v>
      </c>
      <c r="D6" s="3">
        <v>2002</v>
      </c>
      <c r="E6" s="3">
        <v>3330</v>
      </c>
    </row>
    <row r="7" spans="1:5" x14ac:dyDescent="0.3">
      <c r="A7" s="5" t="s">
        <v>17</v>
      </c>
      <c r="B7" s="3">
        <v>203</v>
      </c>
      <c r="C7" s="3">
        <v>1679</v>
      </c>
      <c r="D7" s="3">
        <v>1888</v>
      </c>
      <c r="E7" s="3">
        <v>3770</v>
      </c>
    </row>
    <row r="8" spans="1:5" x14ac:dyDescent="0.3">
      <c r="A8" s="5" t="s">
        <v>176</v>
      </c>
      <c r="B8" s="3">
        <v>1298</v>
      </c>
      <c r="C8" s="3">
        <v>2965</v>
      </c>
      <c r="D8" s="3">
        <v>4917</v>
      </c>
      <c r="E8" s="3">
        <v>9180</v>
      </c>
    </row>
    <row r="11" spans="1:5" x14ac:dyDescent="0.3">
      <c r="A11" s="4" t="s">
        <v>175</v>
      </c>
      <c r="B11" t="s">
        <v>186</v>
      </c>
    </row>
    <row r="12" spans="1:5" x14ac:dyDescent="0.3">
      <c r="A12" s="5" t="s">
        <v>24</v>
      </c>
      <c r="B12">
        <v>4359770</v>
      </c>
    </row>
    <row r="13" spans="1:5" x14ac:dyDescent="0.3">
      <c r="A13" s="8" t="s">
        <v>34</v>
      </c>
      <c r="B13">
        <v>73470</v>
      </c>
    </row>
    <row r="14" spans="1:5" x14ac:dyDescent="0.3">
      <c r="A14" s="8" t="s">
        <v>25</v>
      </c>
      <c r="B14">
        <v>4143800</v>
      </c>
    </row>
    <row r="15" spans="1:5" x14ac:dyDescent="0.3">
      <c r="A15" s="8" t="s">
        <v>18</v>
      </c>
      <c r="B15">
        <v>142500</v>
      </c>
    </row>
    <row r="16" spans="1:5" x14ac:dyDescent="0.3">
      <c r="A16" s="5" t="s">
        <v>29</v>
      </c>
      <c r="B16">
        <v>1109310</v>
      </c>
    </row>
    <row r="17" spans="1:2" x14ac:dyDescent="0.3">
      <c r="A17" s="8" t="s">
        <v>34</v>
      </c>
      <c r="B17">
        <v>158100</v>
      </c>
    </row>
    <row r="18" spans="1:2" x14ac:dyDescent="0.3">
      <c r="A18" s="8" t="s">
        <v>25</v>
      </c>
      <c r="B18">
        <v>243100</v>
      </c>
    </row>
    <row r="19" spans="1:2" x14ac:dyDescent="0.3">
      <c r="A19" s="8" t="s">
        <v>18</v>
      </c>
      <c r="B19">
        <v>708110</v>
      </c>
    </row>
    <row r="20" spans="1:2" x14ac:dyDescent="0.3">
      <c r="A20" s="5" t="s">
        <v>33</v>
      </c>
      <c r="B20">
        <v>2378900</v>
      </c>
    </row>
    <row r="21" spans="1:2" x14ac:dyDescent="0.3">
      <c r="A21" s="8" t="s">
        <v>34</v>
      </c>
      <c r="B21">
        <v>569900</v>
      </c>
    </row>
    <row r="22" spans="1:2" x14ac:dyDescent="0.3">
      <c r="A22" s="8" t="s">
        <v>25</v>
      </c>
      <c r="B22">
        <v>461000</v>
      </c>
    </row>
    <row r="23" spans="1:2" x14ac:dyDescent="0.3">
      <c r="A23" s="8" t="s">
        <v>18</v>
      </c>
      <c r="B23">
        <v>1348000</v>
      </c>
    </row>
    <row r="24" spans="1:2" x14ac:dyDescent="0.3">
      <c r="A24" s="5" t="s">
        <v>17</v>
      </c>
      <c r="B24">
        <v>9746700</v>
      </c>
    </row>
    <row r="25" spans="1:2" x14ac:dyDescent="0.3">
      <c r="A25" s="8" t="s">
        <v>34</v>
      </c>
      <c r="B25">
        <v>126900</v>
      </c>
    </row>
    <row r="26" spans="1:2" x14ac:dyDescent="0.3">
      <c r="A26" s="8" t="s">
        <v>25</v>
      </c>
      <c r="B26">
        <v>7922250</v>
      </c>
    </row>
    <row r="27" spans="1:2" x14ac:dyDescent="0.3">
      <c r="A27" s="8" t="s">
        <v>18</v>
      </c>
      <c r="B27">
        <v>1697550</v>
      </c>
    </row>
    <row r="28" spans="1:2" x14ac:dyDescent="0.3">
      <c r="A28" s="5" t="s">
        <v>176</v>
      </c>
      <c r="B28">
        <v>17594680</v>
      </c>
    </row>
    <row r="31" spans="1:2" x14ac:dyDescent="0.3">
      <c r="A31" s="4" t="s">
        <v>175</v>
      </c>
      <c r="B31" t="s">
        <v>188</v>
      </c>
    </row>
    <row r="32" spans="1:2" x14ac:dyDescent="0.3">
      <c r="A32" s="5" t="s">
        <v>183</v>
      </c>
      <c r="B32" s="9">
        <v>8.4043432949060831E-2</v>
      </c>
    </row>
    <row r="33" spans="1:2" x14ac:dyDescent="0.3">
      <c r="A33" s="5" t="s">
        <v>182</v>
      </c>
      <c r="B33" s="9">
        <v>0.1839137467806905</v>
      </c>
    </row>
    <row r="34" spans="1:2" x14ac:dyDescent="0.3">
      <c r="A34" s="5" t="s">
        <v>181</v>
      </c>
      <c r="B34" s="9">
        <v>0.7320428202702487</v>
      </c>
    </row>
    <row r="35" spans="1:2" x14ac:dyDescent="0.3">
      <c r="A35" s="5" t="s">
        <v>176</v>
      </c>
      <c r="B35" s="9">
        <v>1</v>
      </c>
    </row>
    <row r="38" spans="1:2" x14ac:dyDescent="0.3">
      <c r="A38" s="4" t="s">
        <v>175</v>
      </c>
      <c r="B38" t="s">
        <v>184</v>
      </c>
    </row>
    <row r="39" spans="1:2" x14ac:dyDescent="0.3">
      <c r="A39" s="5" t="s">
        <v>183</v>
      </c>
      <c r="B39" s="6">
        <v>4.7227848101265852</v>
      </c>
    </row>
    <row r="40" spans="1:2" x14ac:dyDescent="0.3">
      <c r="A40" s="5" t="s">
        <v>182</v>
      </c>
      <c r="B40" s="6">
        <v>4.1474576271186407</v>
      </c>
    </row>
    <row r="41" spans="1:2" x14ac:dyDescent="0.3">
      <c r="A41" s="5" t="s">
        <v>181</v>
      </c>
      <c r="B41" s="6">
        <v>3.9109067017082806</v>
      </c>
    </row>
    <row r="42" spans="1:2" x14ac:dyDescent="0.3">
      <c r="A42" s="5" t="s">
        <v>176</v>
      </c>
      <c r="B42" s="6">
        <v>4.0151425762045276</v>
      </c>
    </row>
    <row r="45" spans="1:2" x14ac:dyDescent="0.3">
      <c r="A45" s="4" t="s">
        <v>175</v>
      </c>
      <c r="B45" t="s">
        <v>189</v>
      </c>
    </row>
    <row r="46" spans="1:2" x14ac:dyDescent="0.3">
      <c r="A46" s="5" t="s">
        <v>20</v>
      </c>
      <c r="B46" s="3">
        <v>2567.5944333996022</v>
      </c>
    </row>
    <row r="47" spans="1:2" x14ac:dyDescent="0.3">
      <c r="A47" s="5" t="s">
        <v>13</v>
      </c>
      <c r="B47" s="3">
        <v>3547.6653696498056</v>
      </c>
    </row>
    <row r="48" spans="1:2" x14ac:dyDescent="0.3">
      <c r="A48" s="5" t="s">
        <v>176</v>
      </c>
      <c r="B48" s="3">
        <v>3062.9301868239922</v>
      </c>
    </row>
    <row r="51" spans="1:2" x14ac:dyDescent="0.3">
      <c r="A51" s="4" t="s">
        <v>175</v>
      </c>
      <c r="B51" t="s">
        <v>186</v>
      </c>
    </row>
    <row r="52" spans="1:2" x14ac:dyDescent="0.3">
      <c r="A52" s="5" t="s">
        <v>53</v>
      </c>
      <c r="B52" s="10">
        <v>437100</v>
      </c>
    </row>
    <row r="53" spans="1:2" x14ac:dyDescent="0.3">
      <c r="A53" s="5" t="s">
        <v>39</v>
      </c>
      <c r="B53" s="10">
        <v>508310</v>
      </c>
    </row>
    <row r="54" spans="1:2" x14ac:dyDescent="0.3">
      <c r="A54" s="5" t="s">
        <v>42</v>
      </c>
      <c r="B54" s="10">
        <v>571000</v>
      </c>
    </row>
    <row r="55" spans="1:2" x14ac:dyDescent="0.3">
      <c r="A55" s="5" t="s">
        <v>66</v>
      </c>
      <c r="B55" s="10">
        <v>633100</v>
      </c>
    </row>
    <row r="56" spans="1:2" x14ac:dyDescent="0.3">
      <c r="A56" s="5" t="s">
        <v>73</v>
      </c>
      <c r="B56" s="10">
        <v>640000</v>
      </c>
    </row>
    <row r="57" spans="1:2" x14ac:dyDescent="0.3">
      <c r="A57" s="5" t="s">
        <v>80</v>
      </c>
      <c r="B57" s="10">
        <v>1283270</v>
      </c>
    </row>
    <row r="58" spans="1:2" x14ac:dyDescent="0.3">
      <c r="A58" s="5" t="s">
        <v>77</v>
      </c>
      <c r="B58" s="10">
        <v>1298800</v>
      </c>
    </row>
    <row r="59" spans="1:2" x14ac:dyDescent="0.3">
      <c r="A59" s="5" t="s">
        <v>74</v>
      </c>
      <c r="B59" s="10">
        <v>1644100</v>
      </c>
    </row>
    <row r="60" spans="1:2" x14ac:dyDescent="0.3">
      <c r="A60" s="5" t="s">
        <v>69</v>
      </c>
      <c r="B60" s="10">
        <v>2522100</v>
      </c>
    </row>
    <row r="61" spans="1:2" x14ac:dyDescent="0.3">
      <c r="A61" s="5" t="s">
        <v>65</v>
      </c>
      <c r="B61" s="10">
        <v>3367000</v>
      </c>
    </row>
    <row r="62" spans="1:2" x14ac:dyDescent="0.3">
      <c r="A62" s="5" t="s">
        <v>176</v>
      </c>
      <c r="B62" s="10">
        <v>12904780</v>
      </c>
    </row>
    <row r="65" spans="1:2" x14ac:dyDescent="0.3">
      <c r="A65" s="4" t="s">
        <v>175</v>
      </c>
      <c r="B65" t="s">
        <v>189</v>
      </c>
    </row>
    <row r="66" spans="1:2" x14ac:dyDescent="0.3">
      <c r="A66" s="5" t="s">
        <v>20</v>
      </c>
      <c r="B66" s="3">
        <v>2567.5944333996022</v>
      </c>
    </row>
    <row r="67" spans="1:2" x14ac:dyDescent="0.3">
      <c r="A67" s="5" t="s">
        <v>13</v>
      </c>
      <c r="B67" s="3">
        <v>3547.6653696498056</v>
      </c>
    </row>
    <row r="68" spans="1:2" x14ac:dyDescent="0.3">
      <c r="A68" s="5" t="s">
        <v>176</v>
      </c>
      <c r="B68" s="3">
        <v>3062.9301868239922</v>
      </c>
    </row>
    <row r="71" spans="1:2" x14ac:dyDescent="0.3">
      <c r="A71" s="4" t="s">
        <v>175</v>
      </c>
      <c r="B71" t="s">
        <v>188</v>
      </c>
    </row>
    <row r="72" spans="1:2" x14ac:dyDescent="0.3">
      <c r="A72" s="5" t="s">
        <v>183</v>
      </c>
      <c r="B72" s="9">
        <v>8.4043432949060831E-2</v>
      </c>
    </row>
    <row r="73" spans="1:2" x14ac:dyDescent="0.3">
      <c r="A73" s="5" t="s">
        <v>182</v>
      </c>
      <c r="B73" s="9">
        <v>0.1839137467806905</v>
      </c>
    </row>
    <row r="74" spans="1:2" x14ac:dyDescent="0.3">
      <c r="A74" s="5" t="s">
        <v>181</v>
      </c>
      <c r="B74" s="9">
        <v>0.7320428202702487</v>
      </c>
    </row>
    <row r="75" spans="1:2" x14ac:dyDescent="0.3">
      <c r="A75" s="5" t="s">
        <v>176</v>
      </c>
      <c r="B75" s="9">
        <v>1</v>
      </c>
    </row>
    <row r="78" spans="1:2" x14ac:dyDescent="0.3">
      <c r="A78" s="4" t="s">
        <v>175</v>
      </c>
      <c r="B78" t="s">
        <v>194</v>
      </c>
    </row>
    <row r="79" spans="1:2" x14ac:dyDescent="0.3">
      <c r="A79" s="5" t="s">
        <v>183</v>
      </c>
      <c r="B79" s="3">
        <v>136075.94936708861</v>
      </c>
    </row>
    <row r="80" spans="1:2" x14ac:dyDescent="0.3">
      <c r="A80" s="8" t="s">
        <v>191</v>
      </c>
      <c r="B80" s="3">
        <v>138181.81818181818</v>
      </c>
    </row>
    <row r="81" spans="1:2" x14ac:dyDescent="0.3">
      <c r="A81" s="8" t="s">
        <v>193</v>
      </c>
      <c r="B81" s="3">
        <v>60000</v>
      </c>
    </row>
    <row r="82" spans="1:2" x14ac:dyDescent="0.3">
      <c r="A82" s="8" t="s">
        <v>192</v>
      </c>
      <c r="B82" s="3">
        <v>50000</v>
      </c>
    </row>
    <row r="83" spans="1:2" x14ac:dyDescent="0.3">
      <c r="A83" s="5" t="s">
        <v>182</v>
      </c>
      <c r="B83" s="3">
        <v>17212.429378531073</v>
      </c>
    </row>
    <row r="84" spans="1:2" x14ac:dyDescent="0.3">
      <c r="A84" s="8" t="s">
        <v>191</v>
      </c>
      <c r="B84" s="3">
        <v>21654.117647058825</v>
      </c>
    </row>
    <row r="85" spans="1:2" x14ac:dyDescent="0.3">
      <c r="A85" s="8" t="s">
        <v>193</v>
      </c>
      <c r="B85" s="3">
        <v>14118.072289156626</v>
      </c>
    </row>
    <row r="86" spans="1:2" x14ac:dyDescent="0.3">
      <c r="A86" s="8" t="s">
        <v>192</v>
      </c>
      <c r="B86" s="3">
        <v>3800</v>
      </c>
    </row>
    <row r="87" spans="1:2" x14ac:dyDescent="0.3">
      <c r="A87" s="5" t="s">
        <v>181</v>
      </c>
      <c r="B87" s="3">
        <v>4990.9067017082789</v>
      </c>
    </row>
    <row r="88" spans="1:2" x14ac:dyDescent="0.3">
      <c r="A88" s="8" t="s">
        <v>191</v>
      </c>
      <c r="B88" s="3">
        <v>8063.2080924855491</v>
      </c>
    </row>
    <row r="89" spans="1:2" x14ac:dyDescent="0.3">
      <c r="A89" s="8" t="s">
        <v>193</v>
      </c>
      <c r="B89" s="3">
        <v>3680.5911330049262</v>
      </c>
    </row>
    <row r="90" spans="1:2" x14ac:dyDescent="0.3">
      <c r="A90" s="8" t="s">
        <v>192</v>
      </c>
      <c r="B90" s="3">
        <v>1231.367924528302</v>
      </c>
    </row>
    <row r="91" spans="1:2" x14ac:dyDescent="0.3">
      <c r="A91" s="5" t="s">
        <v>176</v>
      </c>
      <c r="B91" s="3">
        <v>17300.570304818091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F32F-77A4-4F2A-B00C-04975117E449}">
  <dimension ref="A1:AC4"/>
  <sheetViews>
    <sheetView showGridLines="0" tabSelected="1" zoomScale="70" zoomScaleNormal="70" workbookViewId="0">
      <selection activeCell="M34" sqref="M34"/>
    </sheetView>
  </sheetViews>
  <sheetFormatPr defaultRowHeight="14.4" x14ac:dyDescent="0.3"/>
  <cols>
    <col min="1" max="1" width="8.88671875" customWidth="1"/>
  </cols>
  <sheetData>
    <row r="1" spans="1:29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raw_data</vt:lpstr>
      <vt:lpstr>clean_data</vt:lpstr>
      <vt:lpstr>pivot_tables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alisa</dc:creator>
  <cp:lastModifiedBy>Ткаченко Аліса Максимівна</cp:lastModifiedBy>
  <dcterms:created xsi:type="dcterms:W3CDTF">2026-04-01T16:28:36Z</dcterms:created>
  <dcterms:modified xsi:type="dcterms:W3CDTF">2026-04-13T18:22:19Z</dcterms:modified>
</cp:coreProperties>
</file>